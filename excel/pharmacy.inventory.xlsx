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Pharmacy Inventory Analysis\"/>
    </mc:Choice>
  </mc:AlternateContent>
  <xr:revisionPtr revIDLastSave="0" documentId="8_{072C2AAE-7DC7-4E58-ACAA-5685AFA92CBB}" xr6:coauthVersionLast="47" xr6:coauthVersionMax="47" xr10:uidLastSave="{00000000-0000-0000-0000-000000000000}"/>
  <bookViews>
    <workbookView xWindow="-120" yWindow="-120" windowWidth="20730" windowHeight="11040" xr2:uid="{A5BED28B-1317-4AA1-82DB-EA752A046B55}"/>
  </bookViews>
  <sheets>
    <sheet name="meds_formula" sheetId="1" r:id="rId1"/>
    <sheet name="meds_data" sheetId="4" r:id="rId2"/>
    <sheet name="sales_formula" sheetId="2" r:id="rId3"/>
    <sheet name="sales_data" sheetId="5" r:id="rId4"/>
    <sheet name="mappin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115" i="2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134" i="2"/>
  <c r="B134" i="2"/>
  <c r="C134" i="2"/>
  <c r="D134" i="2"/>
  <c r="A135" i="2"/>
  <c r="B135" i="2"/>
  <c r="C135" i="2"/>
  <c r="D135" i="2"/>
  <c r="A136" i="2"/>
  <c r="B136" i="2"/>
  <c r="C136" i="2"/>
  <c r="D136" i="2"/>
  <c r="A137" i="2"/>
  <c r="B137" i="2"/>
  <c r="C137" i="2"/>
  <c r="D137" i="2"/>
  <c r="A138" i="2"/>
  <c r="B138" i="2"/>
  <c r="C138" i="2"/>
  <c r="D138" i="2"/>
  <c r="A139" i="2"/>
  <c r="B139" i="2"/>
  <c r="C139" i="2"/>
  <c r="D139" i="2"/>
  <c r="A140" i="2"/>
  <c r="B140" i="2"/>
  <c r="C140" i="2"/>
  <c r="D140" i="2"/>
  <c r="A141" i="2"/>
  <c r="B141" i="2"/>
  <c r="C141" i="2"/>
  <c r="D141" i="2"/>
  <c r="A142" i="2"/>
  <c r="B142" i="2"/>
  <c r="C142" i="2"/>
  <c r="D142" i="2"/>
  <c r="A143" i="2"/>
  <c r="B143" i="2"/>
  <c r="C143" i="2"/>
  <c r="D143" i="2"/>
  <c r="A144" i="2"/>
  <c r="B144" i="2"/>
  <c r="C144" i="2"/>
  <c r="D144" i="2"/>
  <c r="A145" i="2"/>
  <c r="B145" i="2"/>
  <c r="C145" i="2"/>
  <c r="D145" i="2"/>
  <c r="A146" i="2"/>
  <c r="B146" i="2"/>
  <c r="C146" i="2"/>
  <c r="D146" i="2"/>
  <c r="A147" i="2"/>
  <c r="B147" i="2"/>
  <c r="C147" i="2"/>
  <c r="D147" i="2"/>
  <c r="A148" i="2"/>
  <c r="B148" i="2"/>
  <c r="C148" i="2"/>
  <c r="D148" i="2"/>
  <c r="A149" i="2"/>
  <c r="B149" i="2"/>
  <c r="C149" i="2"/>
  <c r="D149" i="2"/>
  <c r="A150" i="2"/>
  <c r="B150" i="2"/>
  <c r="C150" i="2"/>
  <c r="D150" i="2"/>
  <c r="A151" i="2"/>
  <c r="B151" i="2"/>
  <c r="C151" i="2"/>
  <c r="D151" i="2"/>
  <c r="A152" i="2"/>
  <c r="B152" i="2"/>
  <c r="C152" i="2"/>
  <c r="D152" i="2"/>
  <c r="A153" i="2"/>
  <c r="B153" i="2"/>
  <c r="C153" i="2"/>
  <c r="D153" i="2"/>
  <c r="A154" i="2"/>
  <c r="B154" i="2"/>
  <c r="C154" i="2"/>
  <c r="D154" i="2"/>
  <c r="A155" i="2"/>
  <c r="B155" i="2"/>
  <c r="C155" i="2"/>
  <c r="D155" i="2"/>
  <c r="A156" i="2"/>
  <c r="B156" i="2"/>
  <c r="C156" i="2"/>
  <c r="D156" i="2"/>
  <c r="A157" i="2"/>
  <c r="B157" i="2"/>
  <c r="C157" i="2"/>
  <c r="D157" i="2"/>
  <c r="A158" i="2"/>
  <c r="B158" i="2"/>
  <c r="C158" i="2"/>
  <c r="D158" i="2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B173" i="2"/>
  <c r="C173" i="2"/>
  <c r="D173" i="2"/>
  <c r="A174" i="2"/>
  <c r="B174" i="2"/>
  <c r="C174" i="2"/>
  <c r="D174" i="2"/>
  <c r="A175" i="2"/>
  <c r="B175" i="2"/>
  <c r="C175" i="2"/>
  <c r="D175" i="2"/>
  <c r="A176" i="2"/>
  <c r="B176" i="2"/>
  <c r="C176" i="2"/>
  <c r="D176" i="2"/>
  <c r="A177" i="2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B182" i="2"/>
  <c r="C182" i="2"/>
  <c r="D182" i="2"/>
  <c r="A183" i="2"/>
  <c r="B183" i="2"/>
  <c r="C183" i="2"/>
  <c r="D183" i="2"/>
  <c r="A184" i="2"/>
  <c r="B184" i="2"/>
  <c r="C184" i="2"/>
  <c r="D184" i="2"/>
  <c r="A185" i="2"/>
  <c r="B185" i="2"/>
  <c r="C185" i="2"/>
  <c r="D185" i="2"/>
  <c r="A186" i="2"/>
  <c r="B186" i="2"/>
  <c r="C186" i="2"/>
  <c r="D186" i="2"/>
  <c r="A187" i="2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B191" i="2"/>
  <c r="C191" i="2"/>
  <c r="D191" i="2"/>
  <c r="A192" i="2"/>
  <c r="B192" i="2"/>
  <c r="C192" i="2"/>
  <c r="D192" i="2"/>
  <c r="A193" i="2"/>
  <c r="B193" i="2"/>
  <c r="C193" i="2"/>
  <c r="D193" i="2"/>
  <c r="A194" i="2"/>
  <c r="B194" i="2"/>
  <c r="C194" i="2"/>
  <c r="D194" i="2"/>
  <c r="A195" i="2"/>
  <c r="B195" i="2"/>
  <c r="C195" i="2"/>
  <c r="D195" i="2"/>
  <c r="A196" i="2"/>
  <c r="B196" i="2"/>
  <c r="C196" i="2"/>
  <c r="D196" i="2"/>
  <c r="A197" i="2"/>
  <c r="B197" i="2"/>
  <c r="C197" i="2"/>
  <c r="D197" i="2"/>
  <c r="A198" i="2"/>
  <c r="B198" i="2"/>
  <c r="C198" i="2"/>
  <c r="D198" i="2"/>
  <c r="A199" i="2"/>
  <c r="B199" i="2"/>
  <c r="C199" i="2"/>
  <c r="D199" i="2"/>
  <c r="A200" i="2"/>
  <c r="B200" i="2"/>
  <c r="C200" i="2"/>
  <c r="D200" i="2"/>
  <c r="A201" i="2"/>
  <c r="B201" i="2"/>
  <c r="C201" i="2"/>
  <c r="D201" i="2"/>
  <c r="A202" i="2"/>
  <c r="B202" i="2"/>
  <c r="C202" i="2"/>
  <c r="D202" i="2"/>
  <c r="A203" i="2"/>
  <c r="B203" i="2"/>
  <c r="C203" i="2"/>
  <c r="D203" i="2"/>
  <c r="A204" i="2"/>
  <c r="B204" i="2"/>
  <c r="C204" i="2"/>
  <c r="D204" i="2"/>
  <c r="A205" i="2"/>
  <c r="B205" i="2"/>
  <c r="C205" i="2"/>
  <c r="D205" i="2"/>
  <c r="A206" i="2"/>
  <c r="B206" i="2"/>
  <c r="C206" i="2"/>
  <c r="D206" i="2"/>
  <c r="A207" i="2"/>
  <c r="B207" i="2"/>
  <c r="C207" i="2"/>
  <c r="D207" i="2"/>
  <c r="A208" i="2"/>
  <c r="B208" i="2"/>
  <c r="C208" i="2"/>
  <c r="D208" i="2"/>
  <c r="A209" i="2"/>
  <c r="B209" i="2"/>
  <c r="C209" i="2"/>
  <c r="D209" i="2"/>
  <c r="A210" i="2"/>
  <c r="B210" i="2"/>
  <c r="C210" i="2"/>
  <c r="D210" i="2"/>
  <c r="A211" i="2"/>
  <c r="B211" i="2"/>
  <c r="C211" i="2"/>
  <c r="D211" i="2"/>
  <c r="A212" i="2"/>
  <c r="B212" i="2"/>
  <c r="C212" i="2"/>
  <c r="D212" i="2"/>
  <c r="A213" i="2"/>
  <c r="B213" i="2"/>
  <c r="C213" i="2"/>
  <c r="D213" i="2"/>
  <c r="A214" i="2"/>
  <c r="B214" i="2"/>
  <c r="C214" i="2"/>
  <c r="D214" i="2"/>
  <c r="A215" i="2"/>
  <c r="B215" i="2"/>
  <c r="C215" i="2"/>
  <c r="D215" i="2"/>
  <c r="A216" i="2"/>
  <c r="B216" i="2"/>
  <c r="C216" i="2"/>
  <c r="D216" i="2"/>
  <c r="A217" i="2"/>
  <c r="B217" i="2"/>
  <c r="C217" i="2"/>
  <c r="D217" i="2"/>
  <c r="A218" i="2"/>
  <c r="B218" i="2"/>
  <c r="C218" i="2"/>
  <c r="D218" i="2"/>
  <c r="A219" i="2"/>
  <c r="B219" i="2"/>
  <c r="C219" i="2"/>
  <c r="D219" i="2"/>
  <c r="A220" i="2"/>
  <c r="B220" i="2"/>
  <c r="C220" i="2"/>
  <c r="D220" i="2"/>
  <c r="A221" i="2"/>
  <c r="B221" i="2"/>
  <c r="C221" i="2"/>
  <c r="D221" i="2"/>
  <c r="A222" i="2"/>
  <c r="B222" i="2"/>
  <c r="C222" i="2"/>
  <c r="D222" i="2"/>
  <c r="A223" i="2"/>
  <c r="B223" i="2"/>
  <c r="C223" i="2"/>
  <c r="D223" i="2"/>
  <c r="A224" i="2"/>
  <c r="B224" i="2"/>
  <c r="C224" i="2"/>
  <c r="D224" i="2"/>
  <c r="A225" i="2"/>
  <c r="B225" i="2"/>
  <c r="C225" i="2"/>
  <c r="D225" i="2"/>
  <c r="A226" i="2"/>
  <c r="B226" i="2"/>
  <c r="C226" i="2"/>
  <c r="D226" i="2"/>
  <c r="A227" i="2"/>
  <c r="B227" i="2"/>
  <c r="C227" i="2"/>
  <c r="D227" i="2"/>
  <c r="A228" i="2"/>
  <c r="B228" i="2"/>
  <c r="C228" i="2"/>
  <c r="D228" i="2"/>
  <c r="A229" i="2"/>
  <c r="B229" i="2"/>
  <c r="C229" i="2"/>
  <c r="D229" i="2"/>
  <c r="A230" i="2"/>
  <c r="B230" i="2"/>
  <c r="C230" i="2"/>
  <c r="D230" i="2"/>
  <c r="A231" i="2"/>
  <c r="B231" i="2"/>
  <c r="C231" i="2"/>
  <c r="D231" i="2"/>
  <c r="A232" i="2"/>
  <c r="B232" i="2"/>
  <c r="C232" i="2"/>
  <c r="D232" i="2"/>
  <c r="A233" i="2"/>
  <c r="B233" i="2"/>
  <c r="C233" i="2"/>
  <c r="D233" i="2"/>
  <c r="A234" i="2"/>
  <c r="B234" i="2"/>
  <c r="C234" i="2"/>
  <c r="D234" i="2"/>
  <c r="A235" i="2"/>
  <c r="B235" i="2"/>
  <c r="C235" i="2"/>
  <c r="D235" i="2"/>
  <c r="A236" i="2"/>
  <c r="B236" i="2"/>
  <c r="C236" i="2"/>
  <c r="D236" i="2"/>
  <c r="A237" i="2"/>
  <c r="B237" i="2"/>
  <c r="C237" i="2"/>
  <c r="D237" i="2"/>
  <c r="A238" i="2"/>
  <c r="B238" i="2"/>
  <c r="C238" i="2"/>
  <c r="D238" i="2"/>
  <c r="A239" i="2"/>
  <c r="B239" i="2"/>
  <c r="C239" i="2"/>
  <c r="D239" i="2"/>
  <c r="A240" i="2"/>
  <c r="B240" i="2"/>
  <c r="C240" i="2"/>
  <c r="D240" i="2"/>
  <c r="A241" i="2"/>
  <c r="B241" i="2"/>
  <c r="C241" i="2"/>
  <c r="D241" i="2"/>
  <c r="A242" i="2"/>
  <c r="B242" i="2"/>
  <c r="C242" i="2"/>
  <c r="D242" i="2"/>
  <c r="A243" i="2"/>
  <c r="B243" i="2"/>
  <c r="C243" i="2"/>
  <c r="D243" i="2"/>
  <c r="A244" i="2"/>
  <c r="B244" i="2"/>
  <c r="C244" i="2"/>
  <c r="D244" i="2"/>
  <c r="A245" i="2"/>
  <c r="B245" i="2"/>
  <c r="C245" i="2"/>
  <c r="D245" i="2"/>
  <c r="A246" i="2"/>
  <c r="B246" i="2"/>
  <c r="C246" i="2"/>
  <c r="D246" i="2"/>
  <c r="A247" i="2"/>
  <c r="B247" i="2"/>
  <c r="C247" i="2"/>
  <c r="D247" i="2"/>
  <c r="A248" i="2"/>
  <c r="B248" i="2"/>
  <c r="C248" i="2"/>
  <c r="D248" i="2"/>
  <c r="A249" i="2"/>
  <c r="B249" i="2"/>
  <c r="C249" i="2"/>
  <c r="D249" i="2"/>
  <c r="A250" i="2"/>
  <c r="B250" i="2"/>
  <c r="C250" i="2"/>
  <c r="D250" i="2"/>
  <c r="A251" i="2"/>
  <c r="B251" i="2"/>
  <c r="C251" i="2"/>
  <c r="D251" i="2"/>
  <c r="A252" i="2"/>
  <c r="B252" i="2"/>
  <c r="C252" i="2"/>
  <c r="D252" i="2"/>
  <c r="A253" i="2"/>
  <c r="B253" i="2"/>
  <c r="C253" i="2"/>
  <c r="D253" i="2"/>
  <c r="A254" i="2"/>
  <c r="B254" i="2"/>
  <c r="C254" i="2"/>
  <c r="D254" i="2"/>
  <c r="A255" i="2"/>
  <c r="B255" i="2"/>
  <c r="C255" i="2"/>
  <c r="D255" i="2"/>
  <c r="A256" i="2"/>
  <c r="B256" i="2"/>
  <c r="C256" i="2"/>
  <c r="D256" i="2"/>
  <c r="A257" i="2"/>
  <c r="B257" i="2"/>
  <c r="C257" i="2"/>
  <c r="D257" i="2"/>
  <c r="A258" i="2"/>
  <c r="B258" i="2"/>
  <c r="C258" i="2"/>
  <c r="D258" i="2"/>
  <c r="A259" i="2"/>
  <c r="B259" i="2"/>
  <c r="C259" i="2"/>
  <c r="D259" i="2"/>
  <c r="A260" i="2"/>
  <c r="B260" i="2"/>
  <c r="C260" i="2"/>
  <c r="D260" i="2"/>
  <c r="A261" i="2"/>
  <c r="B261" i="2"/>
  <c r="C261" i="2"/>
  <c r="D261" i="2"/>
  <c r="A262" i="2"/>
  <c r="B262" i="2"/>
  <c r="C262" i="2"/>
  <c r="D262" i="2"/>
  <c r="A263" i="2"/>
  <c r="B263" i="2"/>
  <c r="C263" i="2"/>
  <c r="D263" i="2"/>
  <c r="A264" i="2"/>
  <c r="B264" i="2"/>
  <c r="C264" i="2"/>
  <c r="D264" i="2"/>
  <c r="A265" i="2"/>
  <c r="B265" i="2"/>
  <c r="C265" i="2"/>
  <c r="D265" i="2"/>
  <c r="A266" i="2"/>
  <c r="B266" i="2"/>
  <c r="C266" i="2"/>
  <c r="D266" i="2"/>
  <c r="A267" i="2"/>
  <c r="B267" i="2"/>
  <c r="C267" i="2"/>
  <c r="D267" i="2"/>
  <c r="A268" i="2"/>
  <c r="B268" i="2"/>
  <c r="C268" i="2"/>
  <c r="D268" i="2"/>
  <c r="A269" i="2"/>
  <c r="B269" i="2"/>
  <c r="C269" i="2"/>
  <c r="D269" i="2"/>
  <c r="A270" i="2"/>
  <c r="B270" i="2"/>
  <c r="C270" i="2"/>
  <c r="D270" i="2"/>
  <c r="A271" i="2"/>
  <c r="B271" i="2"/>
  <c r="C271" i="2"/>
  <c r="D271" i="2"/>
  <c r="A272" i="2"/>
  <c r="B272" i="2"/>
  <c r="C272" i="2"/>
  <c r="D272" i="2"/>
  <c r="A273" i="2"/>
  <c r="B273" i="2"/>
  <c r="C273" i="2"/>
  <c r="D273" i="2"/>
  <c r="A274" i="2"/>
  <c r="B274" i="2"/>
  <c r="C274" i="2"/>
  <c r="D274" i="2"/>
  <c r="A275" i="2"/>
  <c r="B275" i="2"/>
  <c r="C275" i="2"/>
  <c r="D275" i="2"/>
  <c r="A276" i="2"/>
  <c r="B276" i="2"/>
  <c r="C276" i="2"/>
  <c r="D276" i="2"/>
  <c r="A277" i="2"/>
  <c r="B277" i="2"/>
  <c r="C277" i="2"/>
  <c r="D277" i="2"/>
  <c r="A278" i="2"/>
  <c r="B278" i="2"/>
  <c r="C278" i="2"/>
  <c r="D278" i="2"/>
  <c r="A279" i="2"/>
  <c r="B279" i="2"/>
  <c r="C279" i="2"/>
  <c r="D279" i="2"/>
  <c r="A280" i="2"/>
  <c r="B280" i="2"/>
  <c r="C280" i="2"/>
  <c r="D280" i="2"/>
  <c r="A281" i="2"/>
  <c r="B281" i="2"/>
  <c r="C281" i="2"/>
  <c r="D281" i="2"/>
  <c r="A282" i="2"/>
  <c r="B282" i="2"/>
  <c r="C282" i="2"/>
  <c r="D282" i="2"/>
  <c r="A283" i="2"/>
  <c r="B283" i="2"/>
  <c r="C283" i="2"/>
  <c r="D283" i="2"/>
  <c r="A284" i="2"/>
  <c r="B284" i="2"/>
  <c r="C284" i="2"/>
  <c r="D284" i="2"/>
  <c r="A285" i="2"/>
  <c r="B285" i="2"/>
  <c r="C285" i="2"/>
  <c r="D285" i="2"/>
  <c r="A286" i="2"/>
  <c r="B286" i="2"/>
  <c r="C286" i="2"/>
  <c r="D286" i="2"/>
  <c r="A287" i="2"/>
  <c r="B287" i="2"/>
  <c r="C287" i="2"/>
  <c r="D287" i="2"/>
  <c r="A288" i="2"/>
  <c r="B288" i="2"/>
  <c r="C288" i="2"/>
  <c r="D288" i="2"/>
  <c r="A289" i="2"/>
  <c r="B289" i="2"/>
  <c r="C289" i="2"/>
  <c r="D289" i="2"/>
  <c r="A290" i="2"/>
  <c r="B290" i="2"/>
  <c r="C290" i="2"/>
  <c r="D290" i="2"/>
  <c r="A291" i="2"/>
  <c r="B291" i="2"/>
  <c r="C291" i="2"/>
  <c r="D291" i="2"/>
  <c r="A292" i="2"/>
  <c r="B292" i="2"/>
  <c r="C292" i="2"/>
  <c r="D292" i="2"/>
  <c r="A293" i="2"/>
  <c r="B293" i="2"/>
  <c r="C293" i="2"/>
  <c r="D293" i="2"/>
  <c r="A294" i="2"/>
  <c r="B294" i="2"/>
  <c r="C294" i="2"/>
  <c r="D294" i="2"/>
  <c r="A295" i="2"/>
  <c r="B295" i="2"/>
  <c r="C295" i="2"/>
  <c r="D295" i="2"/>
  <c r="A296" i="2"/>
  <c r="B296" i="2"/>
  <c r="C296" i="2"/>
  <c r="D296" i="2"/>
  <c r="A297" i="2"/>
  <c r="B297" i="2"/>
  <c r="C297" i="2"/>
  <c r="D297" i="2"/>
  <c r="A298" i="2"/>
  <c r="B298" i="2"/>
  <c r="C298" i="2"/>
  <c r="D298" i="2"/>
  <c r="A299" i="2"/>
  <c r="B299" i="2"/>
  <c r="C299" i="2"/>
  <c r="D299" i="2"/>
  <c r="A300" i="2"/>
  <c r="B300" i="2"/>
  <c r="C300" i="2"/>
  <c r="D300" i="2"/>
  <c r="A301" i="2"/>
  <c r="B301" i="2"/>
  <c r="C301" i="2"/>
  <c r="D301" i="2"/>
  <c r="A302" i="2"/>
  <c r="B302" i="2"/>
  <c r="C302" i="2"/>
  <c r="D302" i="2"/>
  <c r="A303" i="2"/>
  <c r="B303" i="2"/>
  <c r="C303" i="2"/>
  <c r="D303" i="2"/>
  <c r="A304" i="2"/>
  <c r="B304" i="2"/>
  <c r="C304" i="2"/>
  <c r="D304" i="2"/>
  <c r="A305" i="2"/>
  <c r="B305" i="2"/>
  <c r="C305" i="2"/>
  <c r="D305" i="2"/>
  <c r="A306" i="2"/>
  <c r="B306" i="2"/>
  <c r="C306" i="2"/>
  <c r="D306" i="2"/>
  <c r="A307" i="2"/>
  <c r="B307" i="2"/>
  <c r="C307" i="2"/>
  <c r="D307" i="2"/>
  <c r="A308" i="2"/>
  <c r="B308" i="2"/>
  <c r="C308" i="2"/>
  <c r="D308" i="2"/>
  <c r="A309" i="2"/>
  <c r="B309" i="2"/>
  <c r="C309" i="2"/>
  <c r="D309" i="2"/>
  <c r="A310" i="2"/>
  <c r="B310" i="2"/>
  <c r="C310" i="2"/>
  <c r="D310" i="2"/>
  <c r="A311" i="2"/>
  <c r="B311" i="2"/>
  <c r="C311" i="2"/>
  <c r="D311" i="2"/>
  <c r="A312" i="2"/>
  <c r="B312" i="2"/>
  <c r="C312" i="2"/>
  <c r="D312" i="2"/>
  <c r="A313" i="2"/>
  <c r="B313" i="2"/>
  <c r="C313" i="2"/>
  <c r="D313" i="2"/>
  <c r="A314" i="2"/>
  <c r="B314" i="2"/>
  <c r="C314" i="2"/>
  <c r="D314" i="2"/>
  <c r="A315" i="2"/>
  <c r="B315" i="2"/>
  <c r="C315" i="2"/>
  <c r="D315" i="2"/>
  <c r="A316" i="2"/>
  <c r="B316" i="2"/>
  <c r="C316" i="2"/>
  <c r="D316" i="2"/>
  <c r="A317" i="2"/>
  <c r="B317" i="2"/>
  <c r="C317" i="2"/>
  <c r="D317" i="2"/>
  <c r="A318" i="2"/>
  <c r="B318" i="2"/>
  <c r="C318" i="2"/>
  <c r="D318" i="2"/>
  <c r="A319" i="2"/>
  <c r="B319" i="2"/>
  <c r="C319" i="2"/>
  <c r="D319" i="2"/>
  <c r="A320" i="2"/>
  <c r="B320" i="2"/>
  <c r="C320" i="2"/>
  <c r="D320" i="2"/>
  <c r="A321" i="2"/>
  <c r="B321" i="2"/>
  <c r="C321" i="2"/>
  <c r="D321" i="2"/>
  <c r="A322" i="2"/>
  <c r="B322" i="2"/>
  <c r="C322" i="2"/>
  <c r="D322" i="2"/>
  <c r="A323" i="2"/>
  <c r="B323" i="2"/>
  <c r="C323" i="2"/>
  <c r="D323" i="2"/>
  <c r="A324" i="2"/>
  <c r="B324" i="2"/>
  <c r="C324" i="2"/>
  <c r="D324" i="2"/>
  <c r="A325" i="2"/>
  <c r="B325" i="2"/>
  <c r="C325" i="2"/>
  <c r="D325" i="2"/>
  <c r="A326" i="2"/>
  <c r="B326" i="2"/>
  <c r="C326" i="2"/>
  <c r="D326" i="2"/>
  <c r="A327" i="2"/>
  <c r="B327" i="2"/>
  <c r="C327" i="2"/>
  <c r="D327" i="2"/>
  <c r="A328" i="2"/>
  <c r="B328" i="2"/>
  <c r="C328" i="2"/>
  <c r="D328" i="2"/>
  <c r="A329" i="2"/>
  <c r="B329" i="2"/>
  <c r="C329" i="2"/>
  <c r="D329" i="2"/>
  <c r="A330" i="2"/>
  <c r="B330" i="2"/>
  <c r="C330" i="2"/>
  <c r="D330" i="2"/>
  <c r="A331" i="2"/>
  <c r="B331" i="2"/>
  <c r="C331" i="2"/>
  <c r="D331" i="2"/>
  <c r="A332" i="2"/>
  <c r="B332" i="2"/>
  <c r="C332" i="2"/>
  <c r="D332" i="2"/>
  <c r="A333" i="2"/>
  <c r="B333" i="2"/>
  <c r="C333" i="2"/>
  <c r="D333" i="2"/>
  <c r="A334" i="2"/>
  <c r="B334" i="2"/>
  <c r="C334" i="2"/>
  <c r="D334" i="2"/>
  <c r="A335" i="2"/>
  <c r="B335" i="2"/>
  <c r="C335" i="2"/>
  <c r="D335" i="2"/>
  <c r="A336" i="2"/>
  <c r="B336" i="2"/>
  <c r="C336" i="2"/>
  <c r="D336" i="2"/>
  <c r="A337" i="2"/>
  <c r="B337" i="2"/>
  <c r="C337" i="2"/>
  <c r="D337" i="2"/>
  <c r="A338" i="2"/>
  <c r="B338" i="2"/>
  <c r="C338" i="2"/>
  <c r="D338" i="2"/>
  <c r="A339" i="2"/>
  <c r="B339" i="2"/>
  <c r="C339" i="2"/>
  <c r="D339" i="2"/>
  <c r="A340" i="2"/>
  <c r="B340" i="2"/>
  <c r="C340" i="2"/>
  <c r="D340" i="2"/>
  <c r="A341" i="2"/>
  <c r="B341" i="2"/>
  <c r="C341" i="2"/>
  <c r="D341" i="2"/>
  <c r="A342" i="2"/>
  <c r="B342" i="2"/>
  <c r="C342" i="2"/>
  <c r="D342" i="2"/>
  <c r="A343" i="2"/>
  <c r="B343" i="2"/>
  <c r="C343" i="2"/>
  <c r="D343" i="2"/>
  <c r="A344" i="2"/>
  <c r="B344" i="2"/>
  <c r="C344" i="2"/>
  <c r="D344" i="2"/>
  <c r="A345" i="2"/>
  <c r="B345" i="2"/>
  <c r="C345" i="2"/>
  <c r="D345" i="2"/>
  <c r="A346" i="2"/>
  <c r="B346" i="2"/>
  <c r="C346" i="2"/>
  <c r="D346" i="2"/>
  <c r="A347" i="2"/>
  <c r="B347" i="2"/>
  <c r="C347" i="2"/>
  <c r="D347" i="2"/>
  <c r="A348" i="2"/>
  <c r="B348" i="2"/>
  <c r="C348" i="2"/>
  <c r="D348" i="2"/>
  <c r="A349" i="2"/>
  <c r="B349" i="2"/>
  <c r="C349" i="2"/>
  <c r="D349" i="2"/>
  <c r="A350" i="2"/>
  <c r="B350" i="2"/>
  <c r="C350" i="2"/>
  <c r="D350" i="2"/>
  <c r="A351" i="2"/>
  <c r="B351" i="2"/>
  <c r="C351" i="2"/>
  <c r="D351" i="2"/>
  <c r="A352" i="2"/>
  <c r="B352" i="2"/>
  <c r="C352" i="2"/>
  <c r="D352" i="2"/>
  <c r="A353" i="2"/>
  <c r="B353" i="2"/>
  <c r="C353" i="2"/>
  <c r="D353" i="2"/>
  <c r="A354" i="2"/>
  <c r="B354" i="2"/>
  <c r="C354" i="2"/>
  <c r="D354" i="2"/>
  <c r="A355" i="2"/>
  <c r="B355" i="2"/>
  <c r="C355" i="2"/>
  <c r="D355" i="2"/>
  <c r="A356" i="2"/>
  <c r="B356" i="2"/>
  <c r="C356" i="2"/>
  <c r="D356" i="2"/>
  <c r="A357" i="2"/>
  <c r="B357" i="2"/>
  <c r="C357" i="2"/>
  <c r="D357" i="2"/>
  <c r="A358" i="2"/>
  <c r="B358" i="2"/>
  <c r="C358" i="2"/>
  <c r="D358" i="2"/>
  <c r="A359" i="2"/>
  <c r="B359" i="2"/>
  <c r="C359" i="2"/>
  <c r="D359" i="2"/>
  <c r="A360" i="2"/>
  <c r="B360" i="2"/>
  <c r="C360" i="2"/>
  <c r="D360" i="2"/>
  <c r="A361" i="2"/>
  <c r="B361" i="2"/>
  <c r="C361" i="2"/>
  <c r="D361" i="2"/>
  <c r="A362" i="2"/>
  <c r="B362" i="2"/>
  <c r="C362" i="2"/>
  <c r="D362" i="2"/>
  <c r="A363" i="2"/>
  <c r="B363" i="2"/>
  <c r="C363" i="2"/>
  <c r="D363" i="2"/>
  <c r="A364" i="2"/>
  <c r="B364" i="2"/>
  <c r="C364" i="2"/>
  <c r="D364" i="2"/>
  <c r="A365" i="2"/>
  <c r="B365" i="2"/>
  <c r="C365" i="2"/>
  <c r="D365" i="2"/>
  <c r="A366" i="2"/>
  <c r="B366" i="2"/>
  <c r="C366" i="2"/>
  <c r="D366" i="2"/>
  <c r="A367" i="2"/>
  <c r="B367" i="2"/>
  <c r="C367" i="2"/>
  <c r="D367" i="2"/>
  <c r="A368" i="2"/>
  <c r="B368" i="2"/>
  <c r="C368" i="2"/>
  <c r="D368" i="2"/>
  <c r="A369" i="2"/>
  <c r="B369" i="2"/>
  <c r="C369" i="2"/>
  <c r="D369" i="2"/>
  <c r="A370" i="2"/>
  <c r="B370" i="2"/>
  <c r="C370" i="2"/>
  <c r="D370" i="2"/>
  <c r="A371" i="2"/>
  <c r="B371" i="2"/>
  <c r="C371" i="2"/>
  <c r="D371" i="2"/>
  <c r="A372" i="2"/>
  <c r="B372" i="2"/>
  <c r="C372" i="2"/>
  <c r="D372" i="2"/>
  <c r="A373" i="2"/>
  <c r="B373" i="2"/>
  <c r="C373" i="2"/>
  <c r="D373" i="2"/>
  <c r="A374" i="2"/>
  <c r="B374" i="2"/>
  <c r="C374" i="2"/>
  <c r="D374" i="2"/>
  <c r="A375" i="2"/>
  <c r="B375" i="2"/>
  <c r="C375" i="2"/>
  <c r="D375" i="2"/>
  <c r="A376" i="2"/>
  <c r="B376" i="2"/>
  <c r="C376" i="2"/>
  <c r="D376" i="2"/>
  <c r="A377" i="2"/>
  <c r="B377" i="2"/>
  <c r="C377" i="2"/>
  <c r="D377" i="2"/>
  <c r="A378" i="2"/>
  <c r="B378" i="2"/>
  <c r="C378" i="2"/>
  <c r="D378" i="2"/>
  <c r="A379" i="2"/>
  <c r="B379" i="2"/>
  <c r="C379" i="2"/>
  <c r="D379" i="2"/>
  <c r="A380" i="2"/>
  <c r="B380" i="2"/>
  <c r="C380" i="2"/>
  <c r="D380" i="2"/>
  <c r="A381" i="2"/>
  <c r="B381" i="2"/>
  <c r="C381" i="2"/>
  <c r="D381" i="2"/>
  <c r="A382" i="2"/>
  <c r="B382" i="2"/>
  <c r="C382" i="2"/>
  <c r="D382" i="2"/>
  <c r="A383" i="2"/>
  <c r="B383" i="2"/>
  <c r="C383" i="2"/>
  <c r="D383" i="2"/>
  <c r="A384" i="2"/>
  <c r="B384" i="2"/>
  <c r="C384" i="2"/>
  <c r="D384" i="2"/>
  <c r="A385" i="2"/>
  <c r="B385" i="2"/>
  <c r="C385" i="2"/>
  <c r="D385" i="2"/>
  <c r="A386" i="2"/>
  <c r="B386" i="2"/>
  <c r="C386" i="2"/>
  <c r="D386" i="2"/>
  <c r="A387" i="2"/>
  <c r="B387" i="2"/>
  <c r="C387" i="2"/>
  <c r="D387" i="2"/>
  <c r="A388" i="2"/>
  <c r="B388" i="2"/>
  <c r="C388" i="2"/>
  <c r="D388" i="2"/>
  <c r="A389" i="2"/>
  <c r="B389" i="2"/>
  <c r="C389" i="2"/>
  <c r="D389" i="2"/>
  <c r="A390" i="2"/>
  <c r="B390" i="2"/>
  <c r="C390" i="2"/>
  <c r="D390" i="2"/>
  <c r="A391" i="2"/>
  <c r="B391" i="2"/>
  <c r="C391" i="2"/>
  <c r="D391" i="2"/>
  <c r="A392" i="2"/>
  <c r="B392" i="2"/>
  <c r="C392" i="2"/>
  <c r="D392" i="2"/>
  <c r="A393" i="2"/>
  <c r="B393" i="2"/>
  <c r="C393" i="2"/>
  <c r="D393" i="2"/>
  <c r="A394" i="2"/>
  <c r="B394" i="2"/>
  <c r="C394" i="2"/>
  <c r="D394" i="2"/>
  <c r="A395" i="2"/>
  <c r="B395" i="2"/>
  <c r="C395" i="2"/>
  <c r="D395" i="2"/>
  <c r="A396" i="2"/>
  <c r="B396" i="2"/>
  <c r="C396" i="2"/>
  <c r="D396" i="2"/>
  <c r="A397" i="2"/>
  <c r="B397" i="2"/>
  <c r="C397" i="2"/>
  <c r="D397" i="2"/>
  <c r="A398" i="2"/>
  <c r="B398" i="2"/>
  <c r="C398" i="2"/>
  <c r="D398" i="2"/>
  <c r="A399" i="2"/>
  <c r="B399" i="2"/>
  <c r="C399" i="2"/>
  <c r="D399" i="2"/>
  <c r="A400" i="2"/>
  <c r="B400" i="2"/>
  <c r="C400" i="2"/>
  <c r="D400" i="2"/>
  <c r="A401" i="2"/>
  <c r="B401" i="2"/>
  <c r="C401" i="2"/>
  <c r="D401" i="2"/>
  <c r="A402" i="2"/>
  <c r="B402" i="2"/>
  <c r="C402" i="2"/>
  <c r="D402" i="2"/>
  <c r="A403" i="2"/>
  <c r="B403" i="2"/>
  <c r="C403" i="2"/>
  <c r="D403" i="2"/>
  <c r="A404" i="2"/>
  <c r="B404" i="2"/>
  <c r="C404" i="2"/>
  <c r="D404" i="2"/>
  <c r="A405" i="2"/>
  <c r="B405" i="2"/>
  <c r="C405" i="2"/>
  <c r="D405" i="2"/>
  <c r="A406" i="2"/>
  <c r="B406" i="2"/>
  <c r="C406" i="2"/>
  <c r="D406" i="2"/>
  <c r="A407" i="2"/>
  <c r="B407" i="2"/>
  <c r="C407" i="2"/>
  <c r="D407" i="2"/>
  <c r="A408" i="2"/>
  <c r="B408" i="2"/>
  <c r="C408" i="2"/>
  <c r="D408" i="2"/>
  <c r="A409" i="2"/>
  <c r="B409" i="2"/>
  <c r="C409" i="2"/>
  <c r="D409" i="2"/>
  <c r="A410" i="2"/>
  <c r="B410" i="2"/>
  <c r="C410" i="2"/>
  <c r="D410" i="2"/>
  <c r="A411" i="2"/>
  <c r="B411" i="2"/>
  <c r="C411" i="2"/>
  <c r="D411" i="2"/>
  <c r="A412" i="2"/>
  <c r="B412" i="2"/>
  <c r="C412" i="2"/>
  <c r="D412" i="2"/>
  <c r="A413" i="2"/>
  <c r="B413" i="2"/>
  <c r="C413" i="2"/>
  <c r="D413" i="2"/>
  <c r="A414" i="2"/>
  <c r="B414" i="2"/>
  <c r="C414" i="2"/>
  <c r="D414" i="2"/>
  <c r="A415" i="2"/>
  <c r="B415" i="2"/>
  <c r="C415" i="2"/>
  <c r="D415" i="2"/>
  <c r="A416" i="2"/>
  <c r="B416" i="2"/>
  <c r="C416" i="2"/>
  <c r="D416" i="2"/>
  <c r="A417" i="2"/>
  <c r="B417" i="2"/>
  <c r="C417" i="2"/>
  <c r="D417" i="2"/>
  <c r="A418" i="2"/>
  <c r="B418" i="2"/>
  <c r="C418" i="2"/>
  <c r="D418" i="2"/>
  <c r="A419" i="2"/>
  <c r="B419" i="2"/>
  <c r="C419" i="2"/>
  <c r="D419" i="2"/>
  <c r="A420" i="2"/>
  <c r="B420" i="2"/>
  <c r="C420" i="2"/>
  <c r="D420" i="2"/>
  <c r="A421" i="2"/>
  <c r="B421" i="2"/>
  <c r="C421" i="2"/>
  <c r="D421" i="2"/>
  <c r="A422" i="2"/>
  <c r="B422" i="2"/>
  <c r="C422" i="2"/>
  <c r="D422" i="2"/>
  <c r="A423" i="2"/>
  <c r="B423" i="2"/>
  <c r="C423" i="2"/>
  <c r="D423" i="2"/>
  <c r="A424" i="2"/>
  <c r="B424" i="2"/>
  <c r="C424" i="2"/>
  <c r="D424" i="2"/>
  <c r="A425" i="2"/>
  <c r="B425" i="2"/>
  <c r="C425" i="2"/>
  <c r="D425" i="2"/>
  <c r="A426" i="2"/>
  <c r="B426" i="2"/>
  <c r="C426" i="2"/>
  <c r="D426" i="2"/>
  <c r="A427" i="2"/>
  <c r="B427" i="2"/>
  <c r="C427" i="2"/>
  <c r="D427" i="2"/>
  <c r="A428" i="2"/>
  <c r="B428" i="2"/>
  <c r="C428" i="2"/>
  <c r="D428" i="2"/>
  <c r="A429" i="2"/>
  <c r="B429" i="2"/>
  <c r="C429" i="2"/>
  <c r="D429" i="2"/>
  <c r="A430" i="2"/>
  <c r="B430" i="2"/>
  <c r="C430" i="2"/>
  <c r="D430" i="2"/>
  <c r="A431" i="2"/>
  <c r="B431" i="2"/>
  <c r="C431" i="2"/>
  <c r="D431" i="2"/>
  <c r="A432" i="2"/>
  <c r="B432" i="2"/>
  <c r="C432" i="2"/>
  <c r="D432" i="2"/>
  <c r="A433" i="2"/>
  <c r="B433" i="2"/>
  <c r="C433" i="2"/>
  <c r="D433" i="2"/>
  <c r="A434" i="2"/>
  <c r="B434" i="2"/>
  <c r="C434" i="2"/>
  <c r="D434" i="2"/>
  <c r="A435" i="2"/>
  <c r="B435" i="2"/>
  <c r="C435" i="2"/>
  <c r="D435" i="2"/>
  <c r="A436" i="2"/>
  <c r="B436" i="2"/>
  <c r="C436" i="2"/>
  <c r="D436" i="2"/>
  <c r="A437" i="2"/>
  <c r="B437" i="2"/>
  <c r="C437" i="2"/>
  <c r="D437" i="2"/>
  <c r="A438" i="2"/>
  <c r="B438" i="2"/>
  <c r="C438" i="2"/>
  <c r="D438" i="2"/>
  <c r="A439" i="2"/>
  <c r="B439" i="2"/>
  <c r="C439" i="2"/>
  <c r="D439" i="2"/>
  <c r="A440" i="2"/>
  <c r="B440" i="2"/>
  <c r="C440" i="2"/>
  <c r="D440" i="2"/>
  <c r="A441" i="2"/>
  <c r="B441" i="2"/>
  <c r="C441" i="2"/>
  <c r="D441" i="2"/>
  <c r="A442" i="2"/>
  <c r="B442" i="2"/>
  <c r="C442" i="2"/>
  <c r="D442" i="2"/>
  <c r="A443" i="2"/>
  <c r="B443" i="2"/>
  <c r="C443" i="2"/>
  <c r="D443" i="2"/>
  <c r="A444" i="2"/>
  <c r="B444" i="2"/>
  <c r="C444" i="2"/>
  <c r="D444" i="2"/>
  <c r="A445" i="2"/>
  <c r="B445" i="2"/>
  <c r="C445" i="2"/>
  <c r="D445" i="2"/>
  <c r="A446" i="2"/>
  <c r="B446" i="2"/>
  <c r="C446" i="2"/>
  <c r="D446" i="2"/>
  <c r="A447" i="2"/>
  <c r="B447" i="2"/>
  <c r="C447" i="2"/>
  <c r="D447" i="2"/>
  <c r="A448" i="2"/>
  <c r="B448" i="2"/>
  <c r="C448" i="2"/>
  <c r="D448" i="2"/>
  <c r="A449" i="2"/>
  <c r="B449" i="2"/>
  <c r="C449" i="2"/>
  <c r="D449" i="2"/>
  <c r="A450" i="2"/>
  <c r="B450" i="2"/>
  <c r="C450" i="2"/>
  <c r="D450" i="2"/>
  <c r="A451" i="2"/>
  <c r="B451" i="2"/>
  <c r="C451" i="2"/>
  <c r="D451" i="2"/>
  <c r="A452" i="2"/>
  <c r="B452" i="2"/>
  <c r="C452" i="2"/>
  <c r="D452" i="2"/>
  <c r="A453" i="2"/>
  <c r="B453" i="2"/>
  <c r="C453" i="2"/>
  <c r="D453" i="2"/>
  <c r="A454" i="2"/>
  <c r="B454" i="2"/>
  <c r="C454" i="2"/>
  <c r="D454" i="2"/>
  <c r="A455" i="2"/>
  <c r="B455" i="2"/>
  <c r="C455" i="2"/>
  <c r="D455" i="2"/>
  <c r="A456" i="2"/>
  <c r="B456" i="2"/>
  <c r="C456" i="2"/>
  <c r="D456" i="2"/>
  <c r="A457" i="2"/>
  <c r="B457" i="2"/>
  <c r="C457" i="2"/>
  <c r="D457" i="2"/>
  <c r="A458" i="2"/>
  <c r="B458" i="2"/>
  <c r="C458" i="2"/>
  <c r="D458" i="2"/>
  <c r="A459" i="2"/>
  <c r="B459" i="2"/>
  <c r="C459" i="2"/>
  <c r="D459" i="2"/>
  <c r="A460" i="2"/>
  <c r="B460" i="2"/>
  <c r="C460" i="2"/>
  <c r="D460" i="2"/>
  <c r="A461" i="2"/>
  <c r="B461" i="2"/>
  <c r="C461" i="2"/>
  <c r="D461" i="2"/>
  <c r="A462" i="2"/>
  <c r="B462" i="2"/>
  <c r="C462" i="2"/>
  <c r="D462" i="2"/>
  <c r="A463" i="2"/>
  <c r="B463" i="2"/>
  <c r="C463" i="2"/>
  <c r="D463" i="2"/>
  <c r="A464" i="2"/>
  <c r="B464" i="2"/>
  <c r="C464" i="2"/>
  <c r="D464" i="2"/>
  <c r="A465" i="2"/>
  <c r="B465" i="2"/>
  <c r="C465" i="2"/>
  <c r="D465" i="2"/>
  <c r="A466" i="2"/>
  <c r="B466" i="2"/>
  <c r="C466" i="2"/>
  <c r="D466" i="2"/>
  <c r="A467" i="2"/>
  <c r="B467" i="2"/>
  <c r="C467" i="2"/>
  <c r="D467" i="2"/>
  <c r="A468" i="2"/>
  <c r="B468" i="2"/>
  <c r="C468" i="2"/>
  <c r="D468" i="2"/>
  <c r="A469" i="2"/>
  <c r="B469" i="2"/>
  <c r="C469" i="2"/>
  <c r="D469" i="2"/>
  <c r="A470" i="2"/>
  <c r="B470" i="2"/>
  <c r="C470" i="2"/>
  <c r="D470" i="2"/>
  <c r="A471" i="2"/>
  <c r="B471" i="2"/>
  <c r="C471" i="2"/>
  <c r="D471" i="2"/>
  <c r="A472" i="2"/>
  <c r="B472" i="2"/>
  <c r="C472" i="2"/>
  <c r="D472" i="2"/>
  <c r="A473" i="2"/>
  <c r="B473" i="2"/>
  <c r="C473" i="2"/>
  <c r="D473" i="2"/>
  <c r="A474" i="2"/>
  <c r="B474" i="2"/>
  <c r="C474" i="2"/>
  <c r="D474" i="2"/>
  <c r="A475" i="2"/>
  <c r="B475" i="2"/>
  <c r="C475" i="2"/>
  <c r="D475" i="2"/>
  <c r="A476" i="2"/>
  <c r="B476" i="2"/>
  <c r="C476" i="2"/>
  <c r="D476" i="2"/>
  <c r="A477" i="2"/>
  <c r="B477" i="2"/>
  <c r="C477" i="2"/>
  <c r="D477" i="2"/>
  <c r="A478" i="2"/>
  <c r="B478" i="2"/>
  <c r="C478" i="2"/>
  <c r="D478" i="2"/>
  <c r="A479" i="2"/>
  <c r="B479" i="2"/>
  <c r="C479" i="2"/>
  <c r="D479" i="2"/>
  <c r="A480" i="2"/>
  <c r="B480" i="2"/>
  <c r="C480" i="2"/>
  <c r="D480" i="2"/>
  <c r="A481" i="2"/>
  <c r="B481" i="2"/>
  <c r="C481" i="2"/>
  <c r="D481" i="2"/>
  <c r="A482" i="2"/>
  <c r="B482" i="2"/>
  <c r="C482" i="2"/>
  <c r="D482" i="2"/>
  <c r="A483" i="2"/>
  <c r="B483" i="2"/>
  <c r="C483" i="2"/>
  <c r="D483" i="2"/>
  <c r="A484" i="2"/>
  <c r="B484" i="2"/>
  <c r="C484" i="2"/>
  <c r="D484" i="2"/>
  <c r="A485" i="2"/>
  <c r="B485" i="2"/>
  <c r="C485" i="2"/>
  <c r="D485" i="2"/>
  <c r="A486" i="2"/>
  <c r="B486" i="2"/>
  <c r="C486" i="2"/>
  <c r="D486" i="2"/>
  <c r="A487" i="2"/>
  <c r="B487" i="2"/>
  <c r="C487" i="2"/>
  <c r="D487" i="2"/>
  <c r="A488" i="2"/>
  <c r="B488" i="2"/>
  <c r="C488" i="2"/>
  <c r="D488" i="2"/>
  <c r="A489" i="2"/>
  <c r="B489" i="2"/>
  <c r="C489" i="2"/>
  <c r="D489" i="2"/>
  <c r="A490" i="2"/>
  <c r="B490" i="2"/>
  <c r="C490" i="2"/>
  <c r="D490" i="2"/>
  <c r="A491" i="2"/>
  <c r="B491" i="2"/>
  <c r="C491" i="2"/>
  <c r="D491" i="2"/>
  <c r="A492" i="2"/>
  <c r="B492" i="2"/>
  <c r="C492" i="2"/>
  <c r="D492" i="2"/>
  <c r="A493" i="2"/>
  <c r="B493" i="2"/>
  <c r="C493" i="2"/>
  <c r="D493" i="2"/>
  <c r="A494" i="2"/>
  <c r="B494" i="2"/>
  <c r="C494" i="2"/>
  <c r="D494" i="2"/>
  <c r="A495" i="2"/>
  <c r="B495" i="2"/>
  <c r="C495" i="2"/>
  <c r="D495" i="2"/>
  <c r="A496" i="2"/>
  <c r="B496" i="2"/>
  <c r="C496" i="2"/>
  <c r="D496" i="2"/>
  <c r="A497" i="2"/>
  <c r="B497" i="2"/>
  <c r="C497" i="2"/>
  <c r="D497" i="2"/>
  <c r="A498" i="2"/>
  <c r="B498" i="2"/>
  <c r="C498" i="2"/>
  <c r="D498" i="2"/>
  <c r="A499" i="2"/>
  <c r="B499" i="2"/>
  <c r="C499" i="2"/>
  <c r="D499" i="2"/>
  <c r="A500" i="2"/>
  <c r="B500" i="2"/>
  <c r="C500" i="2"/>
  <c r="D500" i="2"/>
  <c r="A501" i="2"/>
  <c r="B501" i="2"/>
  <c r="C501" i="2"/>
  <c r="D501" i="2"/>
  <c r="A502" i="2"/>
  <c r="B502" i="2"/>
  <c r="C502" i="2"/>
  <c r="D502" i="2"/>
  <c r="A503" i="2"/>
  <c r="B503" i="2"/>
  <c r="C503" i="2"/>
  <c r="D503" i="2"/>
  <c r="A504" i="2"/>
  <c r="B504" i="2"/>
  <c r="C504" i="2"/>
  <c r="D504" i="2"/>
  <c r="A505" i="2"/>
  <c r="B505" i="2"/>
  <c r="C505" i="2"/>
  <c r="D505" i="2"/>
  <c r="A506" i="2"/>
  <c r="B506" i="2"/>
  <c r="C506" i="2"/>
  <c r="D506" i="2"/>
  <c r="A507" i="2"/>
  <c r="B507" i="2"/>
  <c r="C507" i="2"/>
  <c r="D507" i="2"/>
  <c r="A508" i="2"/>
  <c r="B508" i="2"/>
  <c r="C508" i="2"/>
  <c r="D508" i="2"/>
  <c r="A509" i="2"/>
  <c r="B509" i="2"/>
  <c r="C509" i="2"/>
  <c r="D509" i="2"/>
  <c r="A510" i="2"/>
  <c r="B510" i="2"/>
  <c r="C510" i="2"/>
  <c r="D510" i="2"/>
  <c r="A511" i="2"/>
  <c r="B511" i="2"/>
  <c r="C511" i="2"/>
  <c r="D511" i="2"/>
  <c r="A512" i="2"/>
  <c r="B512" i="2"/>
  <c r="C512" i="2"/>
  <c r="D512" i="2"/>
  <c r="A513" i="2"/>
  <c r="B513" i="2"/>
  <c r="C513" i="2"/>
  <c r="D513" i="2"/>
  <c r="A514" i="2"/>
  <c r="B514" i="2"/>
  <c r="C514" i="2"/>
  <c r="D514" i="2"/>
  <c r="A515" i="2"/>
  <c r="B515" i="2"/>
  <c r="C515" i="2"/>
  <c r="D515" i="2"/>
  <c r="A516" i="2"/>
  <c r="B516" i="2"/>
  <c r="C516" i="2"/>
  <c r="D516" i="2"/>
  <c r="A517" i="2"/>
  <c r="B517" i="2"/>
  <c r="C517" i="2"/>
  <c r="D517" i="2"/>
  <c r="A518" i="2"/>
  <c r="B518" i="2"/>
  <c r="C518" i="2"/>
  <c r="D518" i="2"/>
  <c r="A519" i="2"/>
  <c r="B519" i="2"/>
  <c r="C519" i="2"/>
  <c r="D519" i="2"/>
  <c r="A520" i="2"/>
  <c r="B520" i="2"/>
  <c r="C520" i="2"/>
  <c r="D520" i="2"/>
  <c r="A521" i="2"/>
  <c r="B521" i="2"/>
  <c r="C521" i="2"/>
  <c r="D521" i="2"/>
  <c r="A522" i="2"/>
  <c r="B522" i="2"/>
  <c r="C522" i="2"/>
  <c r="D522" i="2"/>
  <c r="A523" i="2"/>
  <c r="B523" i="2"/>
  <c r="C523" i="2"/>
  <c r="D523" i="2"/>
  <c r="A524" i="2"/>
  <c r="B524" i="2"/>
  <c r="C524" i="2"/>
  <c r="D524" i="2"/>
  <c r="A525" i="2"/>
  <c r="B525" i="2"/>
  <c r="C525" i="2"/>
  <c r="D525" i="2"/>
  <c r="A526" i="2"/>
  <c r="B526" i="2"/>
  <c r="C526" i="2"/>
  <c r="D526" i="2"/>
  <c r="A527" i="2"/>
  <c r="B527" i="2"/>
  <c r="C527" i="2"/>
  <c r="D527" i="2"/>
  <c r="A528" i="2"/>
  <c r="B528" i="2"/>
  <c r="C528" i="2"/>
  <c r="D528" i="2"/>
  <c r="A529" i="2"/>
  <c r="B529" i="2"/>
  <c r="C529" i="2"/>
  <c r="D529" i="2"/>
  <c r="A530" i="2"/>
  <c r="B530" i="2"/>
  <c r="C530" i="2"/>
  <c r="D530" i="2"/>
  <c r="A531" i="2"/>
  <c r="B531" i="2"/>
  <c r="C531" i="2"/>
  <c r="D531" i="2"/>
  <c r="A532" i="2"/>
  <c r="B532" i="2"/>
  <c r="C532" i="2"/>
  <c r="D532" i="2"/>
  <c r="A533" i="2"/>
  <c r="B533" i="2"/>
  <c r="C533" i="2"/>
  <c r="D533" i="2"/>
  <c r="A534" i="2"/>
  <c r="B534" i="2"/>
  <c r="C534" i="2"/>
  <c r="D534" i="2"/>
  <c r="A535" i="2"/>
  <c r="B535" i="2"/>
  <c r="C535" i="2"/>
  <c r="D535" i="2"/>
  <c r="A536" i="2"/>
  <c r="B536" i="2"/>
  <c r="C536" i="2"/>
  <c r="D536" i="2"/>
  <c r="A537" i="2"/>
  <c r="B537" i="2"/>
  <c r="C537" i="2"/>
  <c r="D537" i="2"/>
  <c r="A538" i="2"/>
  <c r="B538" i="2"/>
  <c r="C538" i="2"/>
  <c r="D538" i="2"/>
  <c r="A539" i="2"/>
  <c r="B539" i="2"/>
  <c r="C539" i="2"/>
  <c r="D539" i="2"/>
  <c r="A540" i="2"/>
  <c r="B540" i="2"/>
  <c r="C540" i="2"/>
  <c r="D540" i="2"/>
  <c r="A541" i="2"/>
  <c r="B541" i="2"/>
  <c r="C541" i="2"/>
  <c r="D541" i="2"/>
  <c r="A542" i="2"/>
  <c r="B542" i="2"/>
  <c r="C542" i="2"/>
  <c r="D542" i="2"/>
  <c r="A543" i="2"/>
  <c r="B543" i="2"/>
  <c r="C543" i="2"/>
  <c r="D543" i="2"/>
  <c r="A544" i="2"/>
  <c r="B544" i="2"/>
  <c r="C544" i="2"/>
  <c r="D544" i="2"/>
  <c r="A545" i="2"/>
  <c r="B545" i="2"/>
  <c r="C545" i="2"/>
  <c r="D545" i="2"/>
  <c r="A546" i="2"/>
  <c r="B546" i="2"/>
  <c r="C546" i="2"/>
  <c r="D546" i="2"/>
  <c r="A547" i="2"/>
  <c r="B547" i="2"/>
  <c r="C547" i="2"/>
  <c r="D547" i="2"/>
  <c r="A548" i="2"/>
  <c r="B548" i="2"/>
  <c r="C548" i="2"/>
  <c r="D548" i="2"/>
  <c r="A549" i="2"/>
  <c r="B549" i="2"/>
  <c r="C549" i="2"/>
  <c r="D549" i="2"/>
  <c r="A550" i="2"/>
  <c r="B550" i="2"/>
  <c r="C550" i="2"/>
  <c r="D550" i="2"/>
  <c r="A551" i="2"/>
  <c r="B551" i="2"/>
  <c r="C551" i="2"/>
  <c r="D551" i="2"/>
  <c r="A552" i="2"/>
  <c r="B552" i="2"/>
  <c r="C552" i="2"/>
  <c r="D552" i="2"/>
  <c r="A553" i="2"/>
  <c r="B553" i="2"/>
  <c r="C553" i="2"/>
  <c r="D553" i="2"/>
  <c r="A554" i="2"/>
  <c r="B554" i="2"/>
  <c r="C554" i="2"/>
  <c r="D554" i="2"/>
  <c r="A555" i="2"/>
  <c r="B555" i="2"/>
  <c r="C555" i="2"/>
  <c r="D555" i="2"/>
  <c r="A556" i="2"/>
  <c r="B556" i="2"/>
  <c r="C556" i="2"/>
  <c r="D556" i="2"/>
  <c r="A557" i="2"/>
  <c r="B557" i="2"/>
  <c r="C557" i="2"/>
  <c r="D557" i="2"/>
  <c r="A558" i="2"/>
  <c r="B558" i="2"/>
  <c r="C558" i="2"/>
  <c r="D558" i="2"/>
  <c r="A559" i="2"/>
  <c r="B559" i="2"/>
  <c r="C559" i="2"/>
  <c r="D559" i="2"/>
  <c r="A560" i="2"/>
  <c r="B560" i="2"/>
  <c r="C560" i="2"/>
  <c r="D560" i="2"/>
  <c r="A561" i="2"/>
  <c r="B561" i="2"/>
  <c r="C561" i="2"/>
  <c r="D561" i="2"/>
  <c r="A562" i="2"/>
  <c r="B562" i="2"/>
  <c r="C562" i="2"/>
  <c r="D562" i="2"/>
  <c r="A563" i="2"/>
  <c r="B563" i="2"/>
  <c r="C563" i="2"/>
  <c r="D563" i="2"/>
  <c r="A564" i="2"/>
  <c r="B564" i="2"/>
  <c r="C564" i="2"/>
  <c r="D564" i="2"/>
  <c r="A565" i="2"/>
  <c r="B565" i="2"/>
  <c r="C565" i="2"/>
  <c r="D565" i="2"/>
  <c r="A566" i="2"/>
  <c r="B566" i="2"/>
  <c r="C566" i="2"/>
  <c r="D566" i="2"/>
  <c r="A567" i="2"/>
  <c r="B567" i="2"/>
  <c r="C567" i="2"/>
  <c r="D567" i="2"/>
  <c r="A568" i="2"/>
  <c r="B568" i="2"/>
  <c r="C568" i="2"/>
  <c r="D568" i="2"/>
  <c r="A569" i="2"/>
  <c r="B569" i="2"/>
  <c r="C569" i="2"/>
  <c r="D569" i="2"/>
  <c r="A570" i="2"/>
  <c r="B570" i="2"/>
  <c r="C570" i="2"/>
  <c r="D570" i="2"/>
  <c r="A571" i="2"/>
  <c r="B571" i="2"/>
  <c r="C571" i="2"/>
  <c r="D571" i="2"/>
  <c r="A572" i="2"/>
  <c r="B572" i="2"/>
  <c r="C572" i="2"/>
  <c r="D572" i="2"/>
  <c r="A573" i="2"/>
  <c r="B573" i="2"/>
  <c r="C573" i="2"/>
  <c r="D573" i="2"/>
  <c r="A574" i="2"/>
  <c r="B574" i="2"/>
  <c r="C574" i="2"/>
  <c r="D574" i="2"/>
  <c r="A575" i="2"/>
  <c r="B575" i="2"/>
  <c r="C575" i="2"/>
  <c r="D575" i="2"/>
  <c r="A576" i="2"/>
  <c r="B576" i="2"/>
  <c r="C576" i="2"/>
  <c r="D576" i="2"/>
  <c r="A577" i="2"/>
  <c r="B577" i="2"/>
  <c r="C577" i="2"/>
  <c r="D577" i="2"/>
  <c r="A578" i="2"/>
  <c r="B578" i="2"/>
  <c r="C578" i="2"/>
  <c r="D578" i="2"/>
  <c r="A579" i="2"/>
  <c r="B579" i="2"/>
  <c r="C579" i="2"/>
  <c r="D579" i="2"/>
  <c r="A580" i="2"/>
  <c r="B580" i="2"/>
  <c r="C580" i="2"/>
  <c r="D580" i="2"/>
  <c r="A581" i="2"/>
  <c r="B581" i="2"/>
  <c r="C581" i="2"/>
  <c r="D581" i="2"/>
  <c r="A582" i="2"/>
  <c r="B582" i="2"/>
  <c r="C582" i="2"/>
  <c r="D582" i="2"/>
  <c r="A583" i="2"/>
  <c r="B583" i="2"/>
  <c r="C583" i="2"/>
  <c r="D583" i="2"/>
  <c r="A584" i="2"/>
  <c r="B584" i="2"/>
  <c r="C584" i="2"/>
  <c r="D584" i="2"/>
  <c r="A585" i="2"/>
  <c r="B585" i="2"/>
  <c r="C585" i="2"/>
  <c r="D585" i="2"/>
  <c r="A586" i="2"/>
  <c r="B586" i="2"/>
  <c r="C586" i="2"/>
  <c r="D586" i="2"/>
  <c r="A587" i="2"/>
  <c r="B587" i="2"/>
  <c r="C587" i="2"/>
  <c r="D587" i="2"/>
  <c r="A588" i="2"/>
  <c r="B588" i="2"/>
  <c r="C588" i="2"/>
  <c r="D588" i="2"/>
  <c r="A589" i="2"/>
  <c r="B589" i="2"/>
  <c r="C589" i="2"/>
  <c r="D589" i="2"/>
  <c r="A590" i="2"/>
  <c r="B590" i="2"/>
  <c r="C590" i="2"/>
  <c r="D590" i="2"/>
  <c r="A591" i="2"/>
  <c r="B591" i="2"/>
  <c r="C591" i="2"/>
  <c r="D591" i="2"/>
  <c r="A592" i="2"/>
  <c r="B592" i="2"/>
  <c r="C592" i="2"/>
  <c r="D592" i="2"/>
  <c r="A593" i="2"/>
  <c r="B593" i="2"/>
  <c r="C593" i="2"/>
  <c r="D593" i="2"/>
  <c r="A594" i="2"/>
  <c r="B594" i="2"/>
  <c r="C594" i="2"/>
  <c r="D594" i="2"/>
  <c r="A595" i="2"/>
  <c r="B595" i="2"/>
  <c r="C595" i="2"/>
  <c r="D595" i="2"/>
  <c r="A596" i="2"/>
  <c r="B596" i="2"/>
  <c r="C596" i="2"/>
  <c r="D596" i="2"/>
  <c r="A597" i="2"/>
  <c r="B597" i="2"/>
  <c r="C597" i="2"/>
  <c r="D597" i="2"/>
  <c r="A598" i="2"/>
  <c r="B598" i="2"/>
  <c r="C598" i="2"/>
  <c r="D598" i="2"/>
  <c r="A599" i="2"/>
  <c r="B599" i="2"/>
  <c r="C599" i="2"/>
  <c r="D599" i="2"/>
  <c r="A600" i="2"/>
  <c r="B600" i="2"/>
  <c r="C600" i="2"/>
  <c r="D600" i="2"/>
  <c r="A601" i="2"/>
  <c r="B601" i="2"/>
  <c r="C601" i="2"/>
  <c r="D601" i="2"/>
  <c r="A602" i="2"/>
  <c r="B602" i="2"/>
  <c r="C602" i="2"/>
  <c r="D602" i="2"/>
  <c r="A603" i="2"/>
  <c r="B603" i="2"/>
  <c r="C603" i="2"/>
  <c r="D603" i="2"/>
  <c r="A604" i="2"/>
  <c r="B604" i="2"/>
  <c r="C604" i="2"/>
  <c r="D604" i="2"/>
  <c r="A605" i="2"/>
  <c r="B605" i="2"/>
  <c r="C605" i="2"/>
  <c r="D605" i="2"/>
  <c r="A606" i="2"/>
  <c r="B606" i="2"/>
  <c r="C606" i="2"/>
  <c r="D606" i="2"/>
  <c r="A607" i="2"/>
  <c r="B607" i="2"/>
  <c r="C607" i="2"/>
  <c r="D607" i="2"/>
  <c r="A608" i="2"/>
  <c r="B608" i="2"/>
  <c r="C608" i="2"/>
  <c r="D608" i="2"/>
  <c r="A609" i="2"/>
  <c r="B609" i="2"/>
  <c r="C609" i="2"/>
  <c r="D609" i="2"/>
  <c r="A610" i="2"/>
  <c r="B610" i="2"/>
  <c r="C610" i="2"/>
  <c r="D610" i="2"/>
  <c r="A611" i="2"/>
  <c r="B611" i="2"/>
  <c r="C611" i="2"/>
  <c r="D611" i="2"/>
  <c r="A612" i="2"/>
  <c r="B612" i="2"/>
  <c r="C612" i="2"/>
  <c r="D612" i="2"/>
  <c r="A613" i="2"/>
  <c r="B613" i="2"/>
  <c r="C613" i="2"/>
  <c r="D613" i="2"/>
  <c r="A614" i="2"/>
  <c r="B614" i="2"/>
  <c r="C614" i="2"/>
  <c r="D614" i="2"/>
  <c r="A615" i="2"/>
  <c r="B615" i="2"/>
  <c r="C615" i="2"/>
  <c r="D615" i="2"/>
  <c r="A616" i="2"/>
  <c r="B616" i="2"/>
  <c r="C616" i="2"/>
  <c r="D616" i="2"/>
  <c r="A617" i="2"/>
  <c r="B617" i="2"/>
  <c r="C617" i="2"/>
  <c r="D617" i="2"/>
  <c r="A618" i="2"/>
  <c r="B618" i="2"/>
  <c r="C618" i="2"/>
  <c r="D618" i="2"/>
  <c r="A619" i="2"/>
  <c r="B619" i="2"/>
  <c r="C619" i="2"/>
  <c r="D619" i="2"/>
  <c r="A620" i="2"/>
  <c r="B620" i="2"/>
  <c r="C620" i="2"/>
  <c r="D620" i="2"/>
  <c r="A621" i="2"/>
  <c r="B621" i="2"/>
  <c r="C621" i="2"/>
  <c r="D621" i="2"/>
  <c r="A622" i="2"/>
  <c r="B622" i="2"/>
  <c r="C622" i="2"/>
  <c r="D622" i="2"/>
  <c r="A623" i="2"/>
  <c r="B623" i="2"/>
  <c r="C623" i="2"/>
  <c r="D623" i="2"/>
  <c r="A624" i="2"/>
  <c r="B624" i="2"/>
  <c r="C624" i="2"/>
  <c r="D624" i="2"/>
  <c r="A625" i="2"/>
  <c r="B625" i="2"/>
  <c r="C625" i="2"/>
  <c r="D625" i="2"/>
  <c r="A626" i="2"/>
  <c r="B626" i="2"/>
  <c r="C626" i="2"/>
  <c r="D626" i="2"/>
  <c r="A627" i="2"/>
  <c r="B627" i="2"/>
  <c r="C627" i="2"/>
  <c r="D627" i="2"/>
  <c r="A628" i="2"/>
  <c r="B628" i="2"/>
  <c r="C628" i="2"/>
  <c r="D628" i="2"/>
  <c r="A629" i="2"/>
  <c r="B629" i="2"/>
  <c r="C629" i="2"/>
  <c r="D629" i="2"/>
  <c r="A630" i="2"/>
  <c r="B630" i="2"/>
  <c r="C630" i="2"/>
  <c r="D630" i="2"/>
  <c r="A631" i="2"/>
  <c r="B631" i="2"/>
  <c r="C631" i="2"/>
  <c r="D631" i="2"/>
  <c r="A632" i="2"/>
  <c r="B632" i="2"/>
  <c r="C632" i="2"/>
  <c r="D632" i="2"/>
  <c r="A633" i="2"/>
  <c r="B633" i="2"/>
  <c r="C633" i="2"/>
  <c r="D633" i="2"/>
  <c r="A634" i="2"/>
  <c r="B634" i="2"/>
  <c r="C634" i="2"/>
  <c r="D634" i="2"/>
  <c r="A635" i="2"/>
  <c r="B635" i="2"/>
  <c r="C635" i="2"/>
  <c r="D635" i="2"/>
  <c r="A636" i="2"/>
  <c r="B636" i="2"/>
  <c r="C636" i="2"/>
  <c r="D636" i="2"/>
  <c r="A637" i="2"/>
  <c r="B637" i="2"/>
  <c r="C637" i="2"/>
  <c r="D637" i="2"/>
  <c r="A638" i="2"/>
  <c r="B638" i="2"/>
  <c r="C638" i="2"/>
  <c r="D638" i="2"/>
  <c r="A639" i="2"/>
  <c r="B639" i="2"/>
  <c r="C639" i="2"/>
  <c r="D639" i="2"/>
  <c r="A640" i="2"/>
  <c r="B640" i="2"/>
  <c r="C640" i="2"/>
  <c r="D640" i="2"/>
  <c r="A641" i="2"/>
  <c r="B641" i="2"/>
  <c r="C641" i="2"/>
  <c r="D641" i="2"/>
  <c r="A642" i="2"/>
  <c r="B642" i="2"/>
  <c r="C642" i="2"/>
  <c r="D642" i="2"/>
  <c r="A643" i="2"/>
  <c r="B643" i="2"/>
  <c r="C643" i="2"/>
  <c r="D643" i="2"/>
  <c r="A644" i="2"/>
  <c r="B644" i="2"/>
  <c r="C644" i="2"/>
  <c r="D644" i="2"/>
  <c r="A645" i="2"/>
  <c r="B645" i="2"/>
  <c r="C645" i="2"/>
  <c r="D645" i="2"/>
  <c r="A646" i="2"/>
  <c r="B646" i="2"/>
  <c r="C646" i="2"/>
  <c r="D646" i="2"/>
  <c r="A647" i="2"/>
  <c r="B647" i="2"/>
  <c r="C647" i="2"/>
  <c r="D647" i="2"/>
  <c r="A648" i="2"/>
  <c r="B648" i="2"/>
  <c r="C648" i="2"/>
  <c r="D648" i="2"/>
  <c r="A649" i="2"/>
  <c r="B649" i="2"/>
  <c r="C649" i="2"/>
  <c r="D649" i="2"/>
  <c r="A650" i="2"/>
  <c r="B650" i="2"/>
  <c r="C650" i="2"/>
  <c r="D650" i="2"/>
  <c r="A651" i="2"/>
  <c r="B651" i="2"/>
  <c r="C651" i="2"/>
  <c r="D651" i="2"/>
  <c r="A652" i="2"/>
  <c r="B652" i="2"/>
  <c r="C652" i="2"/>
  <c r="D652" i="2"/>
  <c r="A653" i="2"/>
  <c r="B653" i="2"/>
  <c r="C653" i="2"/>
  <c r="D653" i="2"/>
  <c r="A654" i="2"/>
  <c r="B654" i="2"/>
  <c r="C654" i="2"/>
  <c r="D654" i="2"/>
  <c r="A655" i="2"/>
  <c r="B655" i="2"/>
  <c r="C655" i="2"/>
  <c r="D655" i="2"/>
  <c r="A656" i="2"/>
  <c r="B656" i="2"/>
  <c r="C656" i="2"/>
  <c r="D656" i="2"/>
  <c r="A657" i="2"/>
  <c r="B657" i="2"/>
  <c r="C657" i="2"/>
  <c r="D657" i="2"/>
  <c r="A658" i="2"/>
  <c r="B658" i="2"/>
  <c r="C658" i="2"/>
  <c r="D658" i="2"/>
  <c r="A659" i="2"/>
  <c r="B659" i="2"/>
  <c r="C659" i="2"/>
  <c r="D659" i="2"/>
  <c r="A660" i="2"/>
  <c r="B660" i="2"/>
  <c r="C660" i="2"/>
  <c r="D660" i="2"/>
  <c r="A661" i="2"/>
  <c r="B661" i="2"/>
  <c r="C661" i="2"/>
  <c r="D661" i="2"/>
  <c r="A662" i="2"/>
  <c r="B662" i="2"/>
  <c r="C662" i="2"/>
  <c r="D662" i="2"/>
  <c r="A663" i="2"/>
  <c r="B663" i="2"/>
  <c r="C663" i="2"/>
  <c r="D663" i="2"/>
  <c r="A664" i="2"/>
  <c r="B664" i="2"/>
  <c r="C664" i="2"/>
  <c r="D664" i="2"/>
  <c r="A665" i="2"/>
  <c r="B665" i="2"/>
  <c r="C665" i="2"/>
  <c r="D665" i="2"/>
  <c r="A666" i="2"/>
  <c r="B666" i="2"/>
  <c r="C666" i="2"/>
  <c r="D666" i="2"/>
  <c r="A667" i="2"/>
  <c r="B667" i="2"/>
  <c r="C667" i="2"/>
  <c r="D667" i="2"/>
  <c r="A668" i="2"/>
  <c r="B668" i="2"/>
  <c r="C668" i="2"/>
  <c r="D668" i="2"/>
  <c r="A669" i="2"/>
  <c r="B669" i="2"/>
  <c r="C669" i="2"/>
  <c r="D669" i="2"/>
  <c r="A670" i="2"/>
  <c r="B670" i="2"/>
  <c r="C670" i="2"/>
  <c r="D670" i="2"/>
  <c r="A671" i="2"/>
  <c r="B671" i="2"/>
  <c r="C671" i="2"/>
  <c r="D671" i="2"/>
  <c r="A672" i="2"/>
  <c r="B672" i="2"/>
  <c r="C672" i="2"/>
  <c r="D672" i="2"/>
  <c r="A673" i="2"/>
  <c r="B673" i="2"/>
  <c r="C673" i="2"/>
  <c r="D673" i="2"/>
  <c r="A674" i="2"/>
  <c r="B674" i="2"/>
  <c r="C674" i="2"/>
  <c r="D674" i="2"/>
  <c r="A675" i="2"/>
  <c r="B675" i="2"/>
  <c r="C675" i="2"/>
  <c r="D675" i="2"/>
  <c r="A676" i="2"/>
  <c r="B676" i="2"/>
  <c r="C676" i="2"/>
  <c r="D676" i="2"/>
  <c r="A677" i="2"/>
  <c r="B677" i="2"/>
  <c r="C677" i="2"/>
  <c r="D677" i="2"/>
  <c r="A678" i="2"/>
  <c r="B678" i="2"/>
  <c r="C678" i="2"/>
  <c r="D678" i="2"/>
  <c r="A679" i="2"/>
  <c r="B679" i="2"/>
  <c r="C679" i="2"/>
  <c r="D679" i="2"/>
  <c r="A680" i="2"/>
  <c r="B680" i="2"/>
  <c r="C680" i="2"/>
  <c r="D680" i="2"/>
  <c r="A681" i="2"/>
  <c r="B681" i="2"/>
  <c r="C681" i="2"/>
  <c r="D681" i="2"/>
  <c r="A682" i="2"/>
  <c r="B682" i="2"/>
  <c r="C682" i="2"/>
  <c r="D682" i="2"/>
  <c r="A683" i="2"/>
  <c r="B683" i="2"/>
  <c r="C683" i="2"/>
  <c r="D683" i="2"/>
  <c r="A684" i="2"/>
  <c r="B684" i="2"/>
  <c r="C684" i="2"/>
  <c r="D684" i="2"/>
  <c r="A685" i="2"/>
  <c r="B685" i="2"/>
  <c r="C685" i="2"/>
  <c r="D685" i="2"/>
  <c r="A686" i="2"/>
  <c r="B686" i="2"/>
  <c r="C686" i="2"/>
  <c r="D686" i="2"/>
  <c r="A687" i="2"/>
  <c r="B687" i="2"/>
  <c r="C687" i="2"/>
  <c r="D687" i="2"/>
  <c r="A688" i="2"/>
  <c r="B688" i="2"/>
  <c r="C688" i="2"/>
  <c r="D688" i="2"/>
  <c r="A689" i="2"/>
  <c r="B689" i="2"/>
  <c r="C689" i="2"/>
  <c r="D689" i="2"/>
  <c r="A690" i="2"/>
  <c r="B690" i="2"/>
  <c r="C690" i="2"/>
  <c r="D690" i="2"/>
  <c r="A691" i="2"/>
  <c r="B691" i="2"/>
  <c r="C691" i="2"/>
  <c r="D691" i="2"/>
  <c r="A692" i="2"/>
  <c r="B692" i="2"/>
  <c r="C692" i="2"/>
  <c r="D692" i="2"/>
  <c r="A693" i="2"/>
  <c r="B693" i="2"/>
  <c r="C693" i="2"/>
  <c r="D693" i="2"/>
  <c r="A694" i="2"/>
  <c r="B694" i="2"/>
  <c r="C694" i="2"/>
  <c r="D694" i="2"/>
  <c r="A695" i="2"/>
  <c r="B695" i="2"/>
  <c r="C695" i="2"/>
  <c r="D695" i="2"/>
  <c r="A696" i="2"/>
  <c r="B696" i="2"/>
  <c r="C696" i="2"/>
  <c r="D696" i="2"/>
  <c r="A697" i="2"/>
  <c r="B697" i="2"/>
  <c r="C697" i="2"/>
  <c r="D697" i="2"/>
  <c r="A698" i="2"/>
  <c r="B698" i="2"/>
  <c r="C698" i="2"/>
  <c r="D698" i="2"/>
  <c r="A699" i="2"/>
  <c r="B699" i="2"/>
  <c r="C699" i="2"/>
  <c r="D699" i="2"/>
  <c r="A700" i="2"/>
  <c r="B700" i="2"/>
  <c r="C700" i="2"/>
  <c r="D700" i="2"/>
  <c r="A701" i="2"/>
  <c r="B701" i="2"/>
  <c r="C701" i="2"/>
  <c r="D701" i="2"/>
  <c r="A702" i="2"/>
  <c r="B702" i="2"/>
  <c r="C702" i="2"/>
  <c r="D702" i="2"/>
  <c r="A703" i="2"/>
  <c r="B703" i="2"/>
  <c r="C703" i="2"/>
  <c r="D703" i="2"/>
  <c r="A704" i="2"/>
  <c r="B704" i="2"/>
  <c r="C704" i="2"/>
  <c r="D704" i="2"/>
  <c r="A705" i="2"/>
  <c r="B705" i="2"/>
  <c r="C705" i="2"/>
  <c r="D705" i="2"/>
  <c r="A706" i="2"/>
  <c r="B706" i="2"/>
  <c r="C706" i="2"/>
  <c r="D706" i="2"/>
  <c r="A707" i="2"/>
  <c r="B707" i="2"/>
  <c r="C707" i="2"/>
  <c r="D707" i="2"/>
  <c r="A708" i="2"/>
  <c r="B708" i="2"/>
  <c r="C708" i="2"/>
  <c r="D708" i="2"/>
  <c r="A709" i="2"/>
  <c r="B709" i="2"/>
  <c r="C709" i="2"/>
  <c r="D709" i="2"/>
  <c r="A710" i="2"/>
  <c r="B710" i="2"/>
  <c r="C710" i="2"/>
  <c r="D710" i="2"/>
  <c r="A711" i="2"/>
  <c r="B711" i="2"/>
  <c r="C711" i="2"/>
  <c r="D711" i="2"/>
  <c r="A712" i="2"/>
  <c r="B712" i="2"/>
  <c r="C712" i="2"/>
  <c r="D712" i="2"/>
  <c r="A713" i="2"/>
  <c r="B713" i="2"/>
  <c r="C713" i="2"/>
  <c r="D713" i="2"/>
  <c r="A714" i="2"/>
  <c r="B714" i="2"/>
  <c r="C714" i="2"/>
  <c r="D714" i="2"/>
  <c r="A715" i="2"/>
  <c r="B715" i="2"/>
  <c r="C715" i="2"/>
  <c r="D715" i="2"/>
  <c r="A716" i="2"/>
  <c r="B716" i="2"/>
  <c r="C716" i="2"/>
  <c r="D716" i="2"/>
  <c r="A717" i="2"/>
  <c r="B717" i="2"/>
  <c r="C717" i="2"/>
  <c r="D717" i="2"/>
  <c r="A718" i="2"/>
  <c r="B718" i="2"/>
  <c r="C718" i="2"/>
  <c r="D718" i="2"/>
  <c r="A719" i="2"/>
  <c r="B719" i="2"/>
  <c r="C719" i="2"/>
  <c r="D719" i="2"/>
  <c r="A720" i="2"/>
  <c r="B720" i="2"/>
  <c r="C720" i="2"/>
  <c r="D720" i="2"/>
  <c r="A721" i="2"/>
  <c r="B721" i="2"/>
  <c r="C721" i="2"/>
  <c r="D721" i="2"/>
  <c r="A722" i="2"/>
  <c r="B722" i="2"/>
  <c r="C722" i="2"/>
  <c r="D722" i="2"/>
  <c r="A723" i="2"/>
  <c r="B723" i="2"/>
  <c r="C723" i="2"/>
  <c r="D723" i="2"/>
  <c r="A724" i="2"/>
  <c r="B724" i="2"/>
  <c r="C724" i="2"/>
  <c r="D724" i="2"/>
  <c r="A725" i="2"/>
  <c r="B725" i="2"/>
  <c r="C725" i="2"/>
  <c r="D725" i="2"/>
  <c r="A726" i="2"/>
  <c r="B726" i="2"/>
  <c r="C726" i="2"/>
  <c r="D726" i="2"/>
  <c r="A727" i="2"/>
  <c r="B727" i="2"/>
  <c r="C727" i="2"/>
  <c r="D727" i="2"/>
  <c r="A728" i="2"/>
  <c r="B728" i="2"/>
  <c r="C728" i="2"/>
  <c r="D728" i="2"/>
  <c r="A729" i="2"/>
  <c r="B729" i="2"/>
  <c r="C729" i="2"/>
  <c r="D729" i="2"/>
  <c r="A730" i="2"/>
  <c r="B730" i="2"/>
  <c r="C730" i="2"/>
  <c r="D730" i="2"/>
  <c r="A731" i="2"/>
  <c r="B731" i="2"/>
  <c r="C731" i="2"/>
  <c r="D731" i="2"/>
  <c r="A732" i="2"/>
  <c r="B732" i="2"/>
  <c r="C732" i="2"/>
  <c r="D732" i="2"/>
  <c r="A733" i="2"/>
  <c r="B733" i="2"/>
  <c r="C733" i="2"/>
  <c r="D733" i="2"/>
  <c r="A734" i="2"/>
  <c r="B734" i="2"/>
  <c r="C734" i="2"/>
  <c r="D734" i="2"/>
  <c r="A735" i="2"/>
  <c r="B735" i="2"/>
  <c r="C735" i="2"/>
  <c r="D735" i="2"/>
  <c r="A736" i="2"/>
  <c r="B736" i="2"/>
  <c r="C736" i="2"/>
  <c r="D736" i="2"/>
  <c r="A737" i="2"/>
  <c r="B737" i="2"/>
  <c r="C737" i="2"/>
  <c r="D737" i="2"/>
  <c r="A738" i="2"/>
  <c r="B738" i="2"/>
  <c r="C738" i="2"/>
  <c r="D738" i="2"/>
  <c r="A739" i="2"/>
  <c r="B739" i="2"/>
  <c r="C739" i="2"/>
  <c r="D739" i="2"/>
  <c r="A740" i="2"/>
  <c r="B740" i="2"/>
  <c r="C740" i="2"/>
  <c r="D740" i="2"/>
  <c r="A741" i="2"/>
  <c r="B741" i="2"/>
  <c r="C741" i="2"/>
  <c r="D741" i="2"/>
  <c r="A742" i="2"/>
  <c r="B742" i="2"/>
  <c r="C742" i="2"/>
  <c r="D742" i="2"/>
  <c r="A743" i="2"/>
  <c r="B743" i="2"/>
  <c r="C743" i="2"/>
  <c r="D743" i="2"/>
  <c r="A744" i="2"/>
  <c r="B744" i="2"/>
  <c r="C744" i="2"/>
  <c r="D744" i="2"/>
  <c r="A745" i="2"/>
  <c r="B745" i="2"/>
  <c r="C745" i="2"/>
  <c r="D745" i="2"/>
  <c r="A746" i="2"/>
  <c r="B746" i="2"/>
  <c r="C746" i="2"/>
  <c r="D746" i="2"/>
  <c r="A747" i="2"/>
  <c r="B747" i="2"/>
  <c r="C747" i="2"/>
  <c r="D747" i="2"/>
  <c r="A748" i="2"/>
  <c r="B748" i="2"/>
  <c r="C748" i="2"/>
  <c r="D748" i="2"/>
  <c r="A749" i="2"/>
  <c r="B749" i="2"/>
  <c r="C749" i="2"/>
  <c r="D749" i="2"/>
  <c r="A750" i="2"/>
  <c r="B750" i="2"/>
  <c r="C750" i="2"/>
  <c r="D750" i="2"/>
  <c r="A751" i="2"/>
  <c r="B751" i="2"/>
  <c r="C751" i="2"/>
  <c r="D751" i="2"/>
  <c r="A752" i="2"/>
  <c r="B752" i="2"/>
  <c r="C752" i="2"/>
  <c r="D752" i="2"/>
  <c r="A753" i="2"/>
  <c r="B753" i="2"/>
  <c r="C753" i="2"/>
  <c r="D753" i="2"/>
  <c r="A754" i="2"/>
  <c r="B754" i="2"/>
  <c r="C754" i="2"/>
  <c r="D754" i="2"/>
  <c r="A755" i="2"/>
  <c r="B755" i="2"/>
  <c r="C755" i="2"/>
  <c r="D755" i="2"/>
  <c r="A756" i="2"/>
  <c r="B756" i="2"/>
  <c r="C756" i="2"/>
  <c r="D756" i="2"/>
  <c r="A757" i="2"/>
  <c r="B757" i="2"/>
  <c r="C757" i="2"/>
  <c r="D757" i="2"/>
  <c r="A758" i="2"/>
  <c r="B758" i="2"/>
  <c r="C758" i="2"/>
  <c r="D758" i="2"/>
  <c r="A759" i="2"/>
  <c r="B759" i="2"/>
  <c r="C759" i="2"/>
  <c r="D759" i="2"/>
  <c r="A760" i="2"/>
  <c r="B760" i="2"/>
  <c r="C760" i="2"/>
  <c r="D760" i="2"/>
  <c r="A761" i="2"/>
  <c r="B761" i="2"/>
  <c r="C761" i="2"/>
  <c r="D761" i="2"/>
  <c r="A762" i="2"/>
  <c r="B762" i="2"/>
  <c r="C762" i="2"/>
  <c r="D762" i="2"/>
  <c r="A763" i="2"/>
  <c r="B763" i="2"/>
  <c r="C763" i="2"/>
  <c r="D763" i="2"/>
  <c r="A764" i="2"/>
  <c r="B764" i="2"/>
  <c r="C764" i="2"/>
  <c r="D764" i="2"/>
  <c r="A765" i="2"/>
  <c r="B765" i="2"/>
  <c r="C765" i="2"/>
  <c r="D765" i="2"/>
  <c r="A766" i="2"/>
  <c r="B766" i="2"/>
  <c r="C766" i="2"/>
  <c r="D766" i="2"/>
  <c r="A767" i="2"/>
  <c r="B767" i="2"/>
  <c r="C767" i="2"/>
  <c r="D767" i="2"/>
  <c r="A768" i="2"/>
  <c r="B768" i="2"/>
  <c r="C768" i="2"/>
  <c r="D768" i="2"/>
  <c r="A769" i="2"/>
  <c r="B769" i="2"/>
  <c r="C769" i="2"/>
  <c r="D769" i="2"/>
  <c r="A770" i="2"/>
  <c r="B770" i="2"/>
  <c r="C770" i="2"/>
  <c r="D770" i="2"/>
  <c r="A771" i="2"/>
  <c r="B771" i="2"/>
  <c r="C771" i="2"/>
  <c r="D771" i="2"/>
  <c r="A772" i="2"/>
  <c r="B772" i="2"/>
  <c r="C772" i="2"/>
  <c r="D772" i="2"/>
  <c r="A773" i="2"/>
  <c r="B773" i="2"/>
  <c r="C773" i="2"/>
  <c r="D773" i="2"/>
  <c r="A774" i="2"/>
  <c r="B774" i="2"/>
  <c r="C774" i="2"/>
  <c r="D774" i="2"/>
  <c r="A775" i="2"/>
  <c r="B775" i="2"/>
  <c r="C775" i="2"/>
  <c r="D775" i="2"/>
  <c r="A776" i="2"/>
  <c r="B776" i="2"/>
  <c r="C776" i="2"/>
  <c r="D776" i="2"/>
  <c r="A777" i="2"/>
  <c r="B777" i="2"/>
  <c r="C777" i="2"/>
  <c r="D777" i="2"/>
  <c r="A778" i="2"/>
  <c r="B778" i="2"/>
  <c r="C778" i="2"/>
  <c r="D778" i="2"/>
  <c r="A779" i="2"/>
  <c r="B779" i="2"/>
  <c r="C779" i="2"/>
  <c r="D779" i="2"/>
  <c r="A780" i="2"/>
  <c r="B780" i="2"/>
  <c r="C780" i="2"/>
  <c r="D780" i="2"/>
  <c r="A781" i="2"/>
  <c r="B781" i="2"/>
  <c r="C781" i="2"/>
  <c r="D781" i="2"/>
  <c r="A782" i="2"/>
  <c r="B782" i="2"/>
  <c r="C782" i="2"/>
  <c r="D782" i="2"/>
  <c r="A783" i="2"/>
  <c r="B783" i="2"/>
  <c r="C783" i="2"/>
  <c r="D783" i="2"/>
  <c r="A784" i="2"/>
  <c r="B784" i="2"/>
  <c r="C784" i="2"/>
  <c r="D784" i="2"/>
  <c r="A785" i="2"/>
  <c r="B785" i="2"/>
  <c r="C785" i="2"/>
  <c r="D785" i="2"/>
  <c r="A786" i="2"/>
  <c r="B786" i="2"/>
  <c r="C786" i="2"/>
  <c r="D786" i="2"/>
  <c r="A787" i="2"/>
  <c r="B787" i="2"/>
  <c r="C787" i="2"/>
  <c r="D787" i="2"/>
  <c r="A788" i="2"/>
  <c r="B788" i="2"/>
  <c r="C788" i="2"/>
  <c r="D788" i="2"/>
  <c r="A789" i="2"/>
  <c r="B789" i="2"/>
  <c r="C789" i="2"/>
  <c r="D789" i="2"/>
  <c r="A790" i="2"/>
  <c r="B790" i="2"/>
  <c r="C790" i="2"/>
  <c r="D790" i="2"/>
  <c r="A791" i="2"/>
  <c r="B791" i="2"/>
  <c r="C791" i="2"/>
  <c r="D791" i="2"/>
  <c r="A792" i="2"/>
  <c r="B792" i="2"/>
  <c r="C792" i="2"/>
  <c r="D792" i="2"/>
  <c r="A793" i="2"/>
  <c r="B793" i="2"/>
  <c r="C793" i="2"/>
  <c r="D793" i="2"/>
  <c r="A794" i="2"/>
  <c r="B794" i="2"/>
  <c r="C794" i="2"/>
  <c r="D794" i="2"/>
  <c r="A795" i="2"/>
  <c r="B795" i="2"/>
  <c r="C795" i="2"/>
  <c r="D795" i="2"/>
  <c r="A796" i="2"/>
  <c r="B796" i="2"/>
  <c r="C796" i="2"/>
  <c r="D796" i="2"/>
  <c r="A797" i="2"/>
  <c r="B797" i="2"/>
  <c r="C797" i="2"/>
  <c r="D797" i="2"/>
  <c r="A798" i="2"/>
  <c r="B798" i="2"/>
  <c r="C798" i="2"/>
  <c r="D798" i="2"/>
  <c r="A799" i="2"/>
  <c r="B799" i="2"/>
  <c r="C799" i="2"/>
  <c r="D799" i="2"/>
  <c r="A800" i="2"/>
  <c r="B800" i="2"/>
  <c r="C800" i="2"/>
  <c r="D800" i="2"/>
  <c r="A801" i="2"/>
  <c r="B801" i="2"/>
  <c r="C801" i="2"/>
  <c r="D801" i="2"/>
  <c r="A802" i="2"/>
  <c r="B802" i="2"/>
  <c r="C802" i="2"/>
  <c r="D802" i="2"/>
  <c r="A803" i="2"/>
  <c r="B803" i="2"/>
  <c r="C803" i="2"/>
  <c r="D803" i="2"/>
  <c r="A804" i="2"/>
  <c r="B804" i="2"/>
  <c r="C804" i="2"/>
  <c r="D804" i="2"/>
  <c r="A805" i="2"/>
  <c r="B805" i="2"/>
  <c r="C805" i="2"/>
  <c r="D805" i="2"/>
  <c r="A806" i="2"/>
  <c r="B806" i="2"/>
  <c r="C806" i="2"/>
  <c r="D806" i="2"/>
  <c r="A807" i="2"/>
  <c r="B807" i="2"/>
  <c r="C807" i="2"/>
  <c r="D807" i="2"/>
  <c r="A808" i="2"/>
  <c r="B808" i="2"/>
  <c r="C808" i="2"/>
  <c r="D808" i="2"/>
  <c r="A809" i="2"/>
  <c r="B809" i="2"/>
  <c r="C809" i="2"/>
  <c r="D809" i="2"/>
  <c r="A810" i="2"/>
  <c r="B810" i="2"/>
  <c r="C810" i="2"/>
  <c r="D810" i="2"/>
  <c r="A811" i="2"/>
  <c r="B811" i="2"/>
  <c r="C811" i="2"/>
  <c r="D811" i="2"/>
  <c r="A812" i="2"/>
  <c r="B812" i="2"/>
  <c r="C812" i="2"/>
  <c r="D812" i="2"/>
  <c r="A813" i="2"/>
  <c r="B813" i="2"/>
  <c r="C813" i="2"/>
  <c r="D813" i="2"/>
  <c r="A814" i="2"/>
  <c r="B814" i="2"/>
  <c r="C814" i="2"/>
  <c r="D814" i="2"/>
  <c r="A815" i="2"/>
  <c r="B815" i="2"/>
  <c r="C815" i="2"/>
  <c r="D815" i="2"/>
  <c r="A816" i="2"/>
  <c r="B816" i="2"/>
  <c r="C816" i="2"/>
  <c r="D816" i="2"/>
  <c r="A817" i="2"/>
  <c r="B817" i="2"/>
  <c r="C817" i="2"/>
  <c r="D817" i="2"/>
  <c r="A818" i="2"/>
  <c r="B818" i="2"/>
  <c r="C818" i="2"/>
  <c r="D818" i="2"/>
  <c r="A819" i="2"/>
  <c r="B819" i="2"/>
  <c r="C819" i="2"/>
  <c r="D819" i="2"/>
  <c r="A820" i="2"/>
  <c r="B820" i="2"/>
  <c r="C820" i="2"/>
  <c r="D820" i="2"/>
  <c r="A821" i="2"/>
  <c r="B821" i="2"/>
  <c r="C821" i="2"/>
  <c r="D821" i="2"/>
  <c r="A822" i="2"/>
  <c r="B822" i="2"/>
  <c r="C822" i="2"/>
  <c r="D822" i="2"/>
  <c r="A823" i="2"/>
  <c r="B823" i="2"/>
  <c r="C823" i="2"/>
  <c r="D823" i="2"/>
  <c r="A824" i="2"/>
  <c r="B824" i="2"/>
  <c r="C824" i="2"/>
  <c r="D824" i="2"/>
  <c r="A825" i="2"/>
  <c r="B825" i="2"/>
  <c r="C825" i="2"/>
  <c r="D825" i="2"/>
  <c r="A826" i="2"/>
  <c r="B826" i="2"/>
  <c r="C826" i="2"/>
  <c r="D826" i="2"/>
  <c r="A827" i="2"/>
  <c r="B827" i="2"/>
  <c r="C827" i="2"/>
  <c r="D827" i="2"/>
  <c r="A828" i="2"/>
  <c r="B828" i="2"/>
  <c r="C828" i="2"/>
  <c r="D828" i="2"/>
  <c r="A829" i="2"/>
  <c r="B829" i="2"/>
  <c r="C829" i="2"/>
  <c r="D829" i="2"/>
  <c r="A830" i="2"/>
  <c r="B830" i="2"/>
  <c r="C830" i="2"/>
  <c r="D830" i="2"/>
  <c r="A831" i="2"/>
  <c r="B831" i="2"/>
  <c r="C831" i="2"/>
  <c r="D831" i="2"/>
  <c r="A832" i="2"/>
  <c r="B832" i="2"/>
  <c r="C832" i="2"/>
  <c r="D832" i="2"/>
  <c r="A833" i="2"/>
  <c r="B833" i="2"/>
  <c r="C833" i="2"/>
  <c r="D833" i="2"/>
  <c r="A834" i="2"/>
  <c r="B834" i="2"/>
  <c r="C834" i="2"/>
  <c r="D834" i="2"/>
  <c r="A835" i="2"/>
  <c r="B835" i="2"/>
  <c r="C835" i="2"/>
  <c r="D835" i="2"/>
  <c r="A836" i="2"/>
  <c r="B836" i="2"/>
  <c r="C836" i="2"/>
  <c r="D836" i="2"/>
  <c r="A837" i="2"/>
  <c r="B837" i="2"/>
  <c r="C837" i="2"/>
  <c r="D837" i="2"/>
  <c r="A838" i="2"/>
  <c r="B838" i="2"/>
  <c r="C838" i="2"/>
  <c r="D838" i="2"/>
  <c r="A839" i="2"/>
  <c r="B839" i="2"/>
  <c r="C839" i="2"/>
  <c r="D839" i="2"/>
  <c r="A840" i="2"/>
  <c r="B840" i="2"/>
  <c r="C840" i="2"/>
  <c r="D840" i="2"/>
  <c r="A841" i="2"/>
  <c r="B841" i="2"/>
  <c r="C841" i="2"/>
  <c r="D841" i="2"/>
  <c r="A842" i="2"/>
  <c r="B842" i="2"/>
  <c r="C842" i="2"/>
  <c r="D842" i="2"/>
  <c r="A843" i="2"/>
  <c r="B843" i="2"/>
  <c r="C843" i="2"/>
  <c r="D843" i="2"/>
  <c r="A844" i="2"/>
  <c r="B844" i="2"/>
  <c r="C844" i="2"/>
  <c r="D844" i="2"/>
  <c r="A845" i="2"/>
  <c r="B845" i="2"/>
  <c r="C845" i="2"/>
  <c r="D845" i="2"/>
  <c r="A846" i="2"/>
  <c r="B846" i="2"/>
  <c r="C846" i="2"/>
  <c r="D846" i="2"/>
  <c r="A847" i="2"/>
  <c r="B847" i="2"/>
  <c r="C847" i="2"/>
  <c r="D847" i="2"/>
  <c r="A848" i="2"/>
  <c r="B848" i="2"/>
  <c r="C848" i="2"/>
  <c r="D848" i="2"/>
  <c r="A849" i="2"/>
  <c r="B849" i="2"/>
  <c r="C849" i="2"/>
  <c r="D849" i="2"/>
  <c r="A850" i="2"/>
  <c r="B850" i="2"/>
  <c r="C850" i="2"/>
  <c r="D850" i="2"/>
  <c r="A851" i="2"/>
  <c r="B851" i="2"/>
  <c r="C851" i="2"/>
  <c r="D851" i="2"/>
  <c r="A852" i="2"/>
  <c r="B852" i="2"/>
  <c r="C852" i="2"/>
  <c r="D852" i="2"/>
  <c r="A853" i="2"/>
  <c r="B853" i="2"/>
  <c r="C853" i="2"/>
  <c r="D853" i="2"/>
  <c r="A854" i="2"/>
  <c r="B854" i="2"/>
  <c r="C854" i="2"/>
  <c r="D854" i="2"/>
  <c r="A855" i="2"/>
  <c r="B855" i="2"/>
  <c r="C855" i="2"/>
  <c r="D855" i="2"/>
  <c r="A856" i="2"/>
  <c r="B856" i="2"/>
  <c r="C856" i="2"/>
  <c r="D856" i="2"/>
  <c r="A857" i="2"/>
  <c r="B857" i="2"/>
  <c r="C857" i="2"/>
  <c r="D857" i="2"/>
  <c r="A858" i="2"/>
  <c r="B858" i="2"/>
  <c r="C858" i="2"/>
  <c r="D858" i="2"/>
  <c r="A859" i="2"/>
  <c r="B859" i="2"/>
  <c r="C859" i="2"/>
  <c r="D859" i="2"/>
  <c r="A860" i="2"/>
  <c r="B860" i="2"/>
  <c r="C860" i="2"/>
  <c r="D860" i="2"/>
  <c r="A861" i="2"/>
  <c r="B861" i="2"/>
  <c r="C861" i="2"/>
  <c r="D861" i="2"/>
  <c r="A862" i="2"/>
  <c r="B862" i="2"/>
  <c r="C862" i="2"/>
  <c r="D862" i="2"/>
  <c r="A863" i="2"/>
  <c r="B863" i="2"/>
  <c r="C863" i="2"/>
  <c r="D863" i="2"/>
  <c r="A864" i="2"/>
  <c r="B864" i="2"/>
  <c r="C864" i="2"/>
  <c r="D864" i="2"/>
  <c r="A865" i="2"/>
  <c r="B865" i="2"/>
  <c r="C865" i="2"/>
  <c r="D865" i="2"/>
  <c r="A866" i="2"/>
  <c r="B866" i="2"/>
  <c r="C866" i="2"/>
  <c r="D866" i="2"/>
  <c r="A867" i="2"/>
  <c r="B867" i="2"/>
  <c r="C867" i="2"/>
  <c r="D867" i="2"/>
  <c r="A868" i="2"/>
  <c r="B868" i="2"/>
  <c r="C868" i="2"/>
  <c r="D868" i="2"/>
  <c r="A869" i="2"/>
  <c r="B869" i="2"/>
  <c r="C869" i="2"/>
  <c r="D869" i="2"/>
  <c r="A870" i="2"/>
  <c r="B870" i="2"/>
  <c r="C870" i="2"/>
  <c r="D870" i="2"/>
  <c r="A871" i="2"/>
  <c r="B871" i="2"/>
  <c r="C871" i="2"/>
  <c r="D871" i="2"/>
  <c r="A872" i="2"/>
  <c r="B872" i="2"/>
  <c r="C872" i="2"/>
  <c r="D872" i="2"/>
  <c r="A873" i="2"/>
  <c r="B873" i="2"/>
  <c r="C873" i="2"/>
  <c r="D873" i="2"/>
  <c r="A874" i="2"/>
  <c r="B874" i="2"/>
  <c r="C874" i="2"/>
  <c r="D874" i="2"/>
  <c r="A875" i="2"/>
  <c r="B875" i="2"/>
  <c r="C875" i="2"/>
  <c r="D875" i="2"/>
  <c r="A876" i="2"/>
  <c r="B876" i="2"/>
  <c r="C876" i="2"/>
  <c r="D876" i="2"/>
  <c r="A877" i="2"/>
  <c r="B877" i="2"/>
  <c r="C877" i="2"/>
  <c r="D877" i="2"/>
  <c r="A878" i="2"/>
  <c r="B878" i="2"/>
  <c r="C878" i="2"/>
  <c r="D878" i="2"/>
  <c r="A879" i="2"/>
  <c r="B879" i="2"/>
  <c r="C879" i="2"/>
  <c r="D879" i="2"/>
  <c r="A880" i="2"/>
  <c r="B880" i="2"/>
  <c r="C880" i="2"/>
  <c r="D880" i="2"/>
  <c r="A881" i="2"/>
  <c r="B881" i="2"/>
  <c r="C881" i="2"/>
  <c r="D881" i="2"/>
  <c r="A882" i="2"/>
  <c r="B882" i="2"/>
  <c r="C882" i="2"/>
  <c r="D882" i="2"/>
  <c r="A883" i="2"/>
  <c r="B883" i="2"/>
  <c r="C883" i="2"/>
  <c r="D883" i="2"/>
  <c r="A884" i="2"/>
  <c r="B884" i="2"/>
  <c r="C884" i="2"/>
  <c r="D884" i="2"/>
  <c r="A885" i="2"/>
  <c r="B885" i="2"/>
  <c r="C885" i="2"/>
  <c r="D885" i="2"/>
  <c r="A886" i="2"/>
  <c r="B886" i="2"/>
  <c r="C886" i="2"/>
  <c r="D886" i="2"/>
  <c r="A887" i="2"/>
  <c r="B887" i="2"/>
  <c r="C887" i="2"/>
  <c r="D887" i="2"/>
  <c r="A888" i="2"/>
  <c r="B888" i="2"/>
  <c r="C888" i="2"/>
  <c r="D888" i="2"/>
  <c r="A889" i="2"/>
  <c r="B889" i="2"/>
  <c r="C889" i="2"/>
  <c r="D889" i="2"/>
  <c r="A890" i="2"/>
  <c r="B890" i="2"/>
  <c r="C890" i="2"/>
  <c r="D890" i="2"/>
  <c r="A891" i="2"/>
  <c r="B891" i="2"/>
  <c r="C891" i="2"/>
  <c r="D891" i="2"/>
  <c r="A892" i="2"/>
  <c r="B892" i="2"/>
  <c r="C892" i="2"/>
  <c r="D892" i="2"/>
  <c r="A893" i="2"/>
  <c r="B893" i="2"/>
  <c r="C893" i="2"/>
  <c r="D893" i="2"/>
  <c r="A894" i="2"/>
  <c r="B894" i="2"/>
  <c r="C894" i="2"/>
  <c r="D894" i="2"/>
  <c r="A895" i="2"/>
  <c r="B895" i="2"/>
  <c r="C895" i="2"/>
  <c r="D895" i="2"/>
  <c r="A896" i="2"/>
  <c r="B896" i="2"/>
  <c r="C896" i="2"/>
  <c r="D896" i="2"/>
  <c r="A897" i="2"/>
  <c r="B897" i="2"/>
  <c r="C897" i="2"/>
  <c r="D897" i="2"/>
  <c r="A898" i="2"/>
  <c r="B898" i="2"/>
  <c r="C898" i="2"/>
  <c r="D898" i="2"/>
  <c r="A899" i="2"/>
  <c r="B899" i="2"/>
  <c r="C899" i="2"/>
  <c r="D899" i="2"/>
  <c r="A900" i="2"/>
  <c r="B900" i="2"/>
  <c r="C900" i="2"/>
  <c r="D900" i="2"/>
  <c r="A901" i="2"/>
  <c r="B901" i="2"/>
  <c r="C901" i="2"/>
  <c r="D901" i="2"/>
  <c r="A902" i="2"/>
  <c r="B902" i="2"/>
  <c r="C902" i="2"/>
  <c r="D902" i="2"/>
  <c r="A903" i="2"/>
  <c r="B903" i="2"/>
  <c r="C903" i="2"/>
  <c r="D903" i="2"/>
  <c r="A904" i="2"/>
  <c r="B904" i="2"/>
  <c r="C904" i="2"/>
  <c r="D904" i="2"/>
  <c r="A905" i="2"/>
  <c r="B905" i="2"/>
  <c r="C905" i="2"/>
  <c r="D905" i="2"/>
  <c r="A906" i="2"/>
  <c r="B906" i="2"/>
  <c r="C906" i="2"/>
  <c r="D906" i="2"/>
  <c r="A907" i="2"/>
  <c r="B907" i="2"/>
  <c r="C907" i="2"/>
  <c r="D907" i="2"/>
  <c r="A908" i="2"/>
  <c r="B908" i="2"/>
  <c r="C908" i="2"/>
  <c r="D908" i="2"/>
  <c r="A909" i="2"/>
  <c r="B909" i="2"/>
  <c r="C909" i="2"/>
  <c r="D909" i="2"/>
  <c r="A910" i="2"/>
  <c r="B910" i="2"/>
  <c r="C910" i="2"/>
  <c r="D910" i="2"/>
  <c r="A911" i="2"/>
  <c r="B911" i="2"/>
  <c r="C911" i="2"/>
  <c r="D911" i="2"/>
  <c r="A912" i="2"/>
  <c r="B912" i="2"/>
  <c r="C912" i="2"/>
  <c r="D912" i="2"/>
  <c r="A913" i="2"/>
  <c r="B913" i="2"/>
  <c r="C913" i="2"/>
  <c r="D913" i="2"/>
  <c r="A914" i="2"/>
  <c r="B914" i="2"/>
  <c r="C914" i="2"/>
  <c r="D914" i="2"/>
  <c r="A915" i="2"/>
  <c r="B915" i="2"/>
  <c r="C915" i="2"/>
  <c r="D915" i="2"/>
  <c r="A916" i="2"/>
  <c r="B916" i="2"/>
  <c r="C916" i="2"/>
  <c r="D916" i="2"/>
  <c r="A917" i="2"/>
  <c r="B917" i="2"/>
  <c r="C917" i="2"/>
  <c r="D917" i="2"/>
  <c r="A918" i="2"/>
  <c r="B918" i="2"/>
  <c r="C918" i="2"/>
  <c r="D918" i="2"/>
  <c r="A919" i="2"/>
  <c r="B919" i="2"/>
  <c r="C919" i="2"/>
  <c r="D919" i="2"/>
  <c r="A920" i="2"/>
  <c r="B920" i="2"/>
  <c r="C920" i="2"/>
  <c r="D920" i="2"/>
  <c r="A921" i="2"/>
  <c r="B921" i="2"/>
  <c r="C921" i="2"/>
  <c r="D921" i="2"/>
  <c r="A922" i="2"/>
  <c r="B922" i="2"/>
  <c r="C922" i="2"/>
  <c r="D922" i="2"/>
  <c r="A923" i="2"/>
  <c r="B923" i="2"/>
  <c r="C923" i="2"/>
  <c r="D923" i="2"/>
  <c r="A924" i="2"/>
  <c r="B924" i="2"/>
  <c r="C924" i="2"/>
  <c r="D924" i="2"/>
  <c r="A925" i="2"/>
  <c r="B925" i="2"/>
  <c r="C925" i="2"/>
  <c r="D925" i="2"/>
  <c r="A926" i="2"/>
  <c r="B926" i="2"/>
  <c r="C926" i="2"/>
  <c r="D926" i="2"/>
  <c r="A927" i="2"/>
  <c r="B927" i="2"/>
  <c r="C927" i="2"/>
  <c r="D927" i="2"/>
  <c r="A928" i="2"/>
  <c r="B928" i="2"/>
  <c r="C928" i="2"/>
  <c r="D928" i="2"/>
  <c r="A929" i="2"/>
  <c r="B929" i="2"/>
  <c r="C929" i="2"/>
  <c r="D929" i="2"/>
  <c r="A930" i="2"/>
  <c r="B930" i="2"/>
  <c r="C930" i="2"/>
  <c r="D930" i="2"/>
  <c r="A931" i="2"/>
  <c r="B931" i="2"/>
  <c r="C931" i="2"/>
  <c r="D931" i="2"/>
  <c r="A932" i="2"/>
  <c r="B932" i="2"/>
  <c r="C932" i="2"/>
  <c r="D932" i="2"/>
  <c r="A933" i="2"/>
  <c r="B933" i="2"/>
  <c r="C933" i="2"/>
  <c r="D933" i="2"/>
  <c r="A934" i="2"/>
  <c r="B934" i="2"/>
  <c r="C934" i="2"/>
  <c r="D934" i="2"/>
  <c r="A935" i="2"/>
  <c r="B935" i="2"/>
  <c r="C935" i="2"/>
  <c r="D935" i="2"/>
  <c r="A936" i="2"/>
  <c r="B936" i="2"/>
  <c r="C936" i="2"/>
  <c r="D936" i="2"/>
  <c r="A937" i="2"/>
  <c r="B937" i="2"/>
  <c r="C937" i="2"/>
  <c r="D937" i="2"/>
  <c r="A938" i="2"/>
  <c r="B938" i="2"/>
  <c r="C938" i="2"/>
  <c r="D938" i="2"/>
  <c r="A939" i="2"/>
  <c r="B939" i="2"/>
  <c r="C939" i="2"/>
  <c r="D939" i="2"/>
  <c r="A940" i="2"/>
  <c r="B940" i="2"/>
  <c r="C940" i="2"/>
  <c r="D940" i="2"/>
  <c r="A941" i="2"/>
  <c r="B941" i="2"/>
  <c r="C941" i="2"/>
  <c r="D941" i="2"/>
  <c r="A942" i="2"/>
  <c r="B942" i="2"/>
  <c r="C942" i="2"/>
  <c r="D942" i="2"/>
  <c r="A943" i="2"/>
  <c r="B943" i="2"/>
  <c r="C943" i="2"/>
  <c r="D943" i="2"/>
  <c r="A944" i="2"/>
  <c r="B944" i="2"/>
  <c r="C944" i="2"/>
  <c r="D944" i="2"/>
  <c r="A945" i="2"/>
  <c r="B945" i="2"/>
  <c r="C945" i="2"/>
  <c r="D945" i="2"/>
  <c r="A946" i="2"/>
  <c r="B946" i="2"/>
  <c r="C946" i="2"/>
  <c r="D946" i="2"/>
  <c r="A947" i="2"/>
  <c r="B947" i="2"/>
  <c r="C947" i="2"/>
  <c r="D947" i="2"/>
  <c r="A948" i="2"/>
  <c r="B948" i="2"/>
  <c r="C948" i="2"/>
  <c r="D948" i="2"/>
  <c r="A949" i="2"/>
  <c r="B949" i="2"/>
  <c r="C949" i="2"/>
  <c r="D949" i="2"/>
  <c r="A950" i="2"/>
  <c r="B950" i="2"/>
  <c r="C950" i="2"/>
  <c r="D950" i="2"/>
  <c r="A951" i="2"/>
  <c r="B951" i="2"/>
  <c r="C951" i="2"/>
  <c r="D951" i="2"/>
  <c r="A952" i="2"/>
  <c r="B952" i="2"/>
  <c r="C952" i="2"/>
  <c r="D952" i="2"/>
  <c r="A953" i="2"/>
  <c r="B953" i="2"/>
  <c r="C953" i="2"/>
  <c r="D953" i="2"/>
  <c r="A954" i="2"/>
  <c r="B954" i="2"/>
  <c r="C954" i="2"/>
  <c r="D954" i="2"/>
  <c r="A955" i="2"/>
  <c r="B955" i="2"/>
  <c r="C955" i="2"/>
  <c r="D955" i="2"/>
  <c r="A956" i="2"/>
  <c r="B956" i="2"/>
  <c r="C956" i="2"/>
  <c r="D956" i="2"/>
  <c r="A957" i="2"/>
  <c r="B957" i="2"/>
  <c r="C957" i="2"/>
  <c r="D957" i="2"/>
  <c r="A958" i="2"/>
  <c r="B958" i="2"/>
  <c r="C958" i="2"/>
  <c r="D958" i="2"/>
  <c r="A959" i="2"/>
  <c r="B959" i="2"/>
  <c r="C959" i="2"/>
  <c r="D959" i="2"/>
  <c r="A960" i="2"/>
  <c r="B960" i="2"/>
  <c r="C960" i="2"/>
  <c r="D960" i="2"/>
  <c r="A961" i="2"/>
  <c r="B961" i="2"/>
  <c r="C961" i="2"/>
  <c r="D961" i="2"/>
  <c r="A962" i="2"/>
  <c r="B962" i="2"/>
  <c r="C962" i="2"/>
  <c r="D962" i="2"/>
  <c r="A963" i="2"/>
  <c r="B963" i="2"/>
  <c r="C963" i="2"/>
  <c r="D963" i="2"/>
  <c r="A964" i="2"/>
  <c r="B964" i="2"/>
  <c r="C964" i="2"/>
  <c r="D964" i="2"/>
  <c r="A965" i="2"/>
  <c r="B965" i="2"/>
  <c r="C965" i="2"/>
  <c r="D965" i="2"/>
  <c r="A966" i="2"/>
  <c r="B966" i="2"/>
  <c r="C966" i="2"/>
  <c r="D966" i="2"/>
  <c r="A967" i="2"/>
  <c r="B967" i="2"/>
  <c r="C967" i="2"/>
  <c r="D967" i="2"/>
  <c r="A968" i="2"/>
  <c r="B968" i="2"/>
  <c r="C968" i="2"/>
  <c r="D968" i="2"/>
  <c r="A969" i="2"/>
  <c r="B969" i="2"/>
  <c r="C969" i="2"/>
  <c r="D969" i="2"/>
  <c r="A970" i="2"/>
  <c r="B970" i="2"/>
  <c r="C970" i="2"/>
  <c r="D970" i="2"/>
  <c r="A971" i="2"/>
  <c r="B971" i="2"/>
  <c r="C971" i="2"/>
  <c r="D971" i="2"/>
  <c r="A972" i="2"/>
  <c r="B972" i="2"/>
  <c r="C972" i="2"/>
  <c r="D972" i="2"/>
  <c r="A973" i="2"/>
  <c r="B973" i="2"/>
  <c r="C973" i="2"/>
  <c r="D973" i="2"/>
  <c r="A974" i="2"/>
  <c r="B974" i="2"/>
  <c r="C974" i="2"/>
  <c r="D974" i="2"/>
  <c r="A975" i="2"/>
  <c r="B975" i="2"/>
  <c r="C975" i="2"/>
  <c r="D975" i="2"/>
  <c r="A976" i="2"/>
  <c r="B976" i="2"/>
  <c r="C976" i="2"/>
  <c r="D976" i="2"/>
  <c r="A977" i="2"/>
  <c r="B977" i="2"/>
  <c r="C977" i="2"/>
  <c r="D977" i="2"/>
  <c r="A978" i="2"/>
  <c r="B978" i="2"/>
  <c r="C978" i="2"/>
  <c r="D978" i="2"/>
  <c r="A979" i="2"/>
  <c r="B979" i="2"/>
  <c r="C979" i="2"/>
  <c r="D979" i="2"/>
  <c r="A980" i="2"/>
  <c r="B980" i="2"/>
  <c r="C980" i="2"/>
  <c r="D980" i="2"/>
  <c r="A981" i="2"/>
  <c r="B981" i="2"/>
  <c r="C981" i="2"/>
  <c r="D981" i="2"/>
  <c r="A982" i="2"/>
  <c r="B982" i="2"/>
  <c r="C982" i="2"/>
  <c r="D982" i="2"/>
  <c r="A983" i="2"/>
  <c r="B983" i="2"/>
  <c r="C983" i="2"/>
  <c r="D983" i="2"/>
  <c r="A984" i="2"/>
  <c r="B984" i="2"/>
  <c r="C984" i="2"/>
  <c r="D984" i="2"/>
  <c r="A985" i="2"/>
  <c r="B985" i="2"/>
  <c r="C985" i="2"/>
  <c r="D985" i="2"/>
  <c r="A986" i="2"/>
  <c r="B986" i="2"/>
  <c r="C986" i="2"/>
  <c r="D986" i="2"/>
  <c r="A987" i="2"/>
  <c r="B987" i="2"/>
  <c r="C987" i="2"/>
  <c r="D987" i="2"/>
  <c r="A988" i="2"/>
  <c r="B988" i="2"/>
  <c r="C988" i="2"/>
  <c r="D988" i="2"/>
  <c r="A989" i="2"/>
  <c r="B989" i="2"/>
  <c r="C989" i="2"/>
  <c r="D989" i="2"/>
  <c r="A990" i="2"/>
  <c r="B990" i="2"/>
  <c r="C990" i="2"/>
  <c r="D990" i="2"/>
  <c r="A991" i="2"/>
  <c r="B991" i="2"/>
  <c r="C991" i="2"/>
  <c r="D991" i="2"/>
  <c r="A992" i="2"/>
  <c r="B992" i="2"/>
  <c r="C992" i="2"/>
  <c r="D992" i="2"/>
  <c r="A993" i="2"/>
  <c r="B993" i="2"/>
  <c r="C993" i="2"/>
  <c r="D993" i="2"/>
  <c r="A994" i="2"/>
  <c r="B994" i="2"/>
  <c r="C994" i="2"/>
  <c r="D994" i="2"/>
  <c r="A995" i="2"/>
  <c r="B995" i="2"/>
  <c r="C995" i="2"/>
  <c r="D995" i="2"/>
  <c r="A996" i="2"/>
  <c r="B996" i="2"/>
  <c r="C996" i="2"/>
  <c r="D996" i="2"/>
  <c r="A997" i="2"/>
  <c r="B997" i="2"/>
  <c r="C997" i="2"/>
  <c r="D997" i="2"/>
  <c r="A998" i="2"/>
  <c r="B998" i="2"/>
  <c r="C998" i="2"/>
  <c r="D998" i="2"/>
  <c r="A999" i="2"/>
  <c r="B999" i="2"/>
  <c r="C999" i="2"/>
  <c r="D999" i="2"/>
  <c r="A1000" i="2"/>
  <c r="B1000" i="2"/>
  <c r="C1000" i="2"/>
  <c r="D1000" i="2"/>
  <c r="A1001" i="2"/>
  <c r="B1001" i="2"/>
  <c r="C1001" i="2"/>
  <c r="D1001" i="2"/>
  <c r="A1002" i="2"/>
  <c r="B1002" i="2"/>
  <c r="C1002" i="2"/>
  <c r="D1002" i="2"/>
  <c r="A1003" i="2"/>
  <c r="B1003" i="2"/>
  <c r="C1003" i="2"/>
  <c r="D1003" i="2"/>
  <c r="A1004" i="2"/>
  <c r="B1004" i="2"/>
  <c r="C1004" i="2"/>
  <c r="D1004" i="2"/>
  <c r="A1005" i="2"/>
  <c r="B1005" i="2"/>
  <c r="C1005" i="2"/>
  <c r="D1005" i="2"/>
  <c r="A1006" i="2"/>
  <c r="B1006" i="2"/>
  <c r="C1006" i="2"/>
  <c r="D1006" i="2"/>
  <c r="A1007" i="2"/>
  <c r="B1007" i="2"/>
  <c r="C1007" i="2"/>
  <c r="D1007" i="2"/>
  <c r="A1008" i="2"/>
  <c r="B1008" i="2"/>
  <c r="C1008" i="2"/>
  <c r="D1008" i="2"/>
  <c r="A1009" i="2"/>
  <c r="B1009" i="2"/>
  <c r="C1009" i="2"/>
  <c r="D1009" i="2"/>
  <c r="A1010" i="2"/>
  <c r="B1010" i="2"/>
  <c r="C1010" i="2"/>
  <c r="D1010" i="2"/>
  <c r="A1011" i="2"/>
  <c r="B1011" i="2"/>
  <c r="C1011" i="2"/>
  <c r="D1011" i="2"/>
  <c r="A1012" i="2"/>
  <c r="B1012" i="2"/>
  <c r="C1012" i="2"/>
  <c r="D1012" i="2"/>
  <c r="A1013" i="2"/>
  <c r="B1013" i="2"/>
  <c r="C1013" i="2"/>
  <c r="D1013" i="2"/>
  <c r="A1014" i="2"/>
  <c r="B1014" i="2"/>
  <c r="C1014" i="2"/>
  <c r="D1014" i="2"/>
  <c r="A1015" i="2"/>
  <c r="B1015" i="2"/>
  <c r="C1015" i="2"/>
  <c r="D1015" i="2"/>
  <c r="A1016" i="2"/>
  <c r="B1016" i="2"/>
  <c r="C1016" i="2"/>
  <c r="D1016" i="2"/>
  <c r="A1017" i="2"/>
  <c r="B1017" i="2"/>
  <c r="C1017" i="2"/>
  <c r="D1017" i="2"/>
  <c r="A1018" i="2"/>
  <c r="B1018" i="2"/>
  <c r="C1018" i="2"/>
  <c r="D1018" i="2"/>
  <c r="A1019" i="2"/>
  <c r="B1019" i="2"/>
  <c r="C1019" i="2"/>
  <c r="D1019" i="2"/>
  <c r="A1020" i="2"/>
  <c r="B1020" i="2"/>
  <c r="C1020" i="2"/>
  <c r="D1020" i="2"/>
  <c r="A1021" i="2"/>
  <c r="B1021" i="2"/>
  <c r="C1021" i="2"/>
  <c r="D1021" i="2"/>
  <c r="A1022" i="2"/>
  <c r="B1022" i="2"/>
  <c r="C1022" i="2"/>
  <c r="D1022" i="2"/>
  <c r="A1023" i="2"/>
  <c r="B1023" i="2"/>
  <c r="C1023" i="2"/>
  <c r="D1023" i="2"/>
  <c r="A1024" i="2"/>
  <c r="B1024" i="2"/>
  <c r="C1024" i="2"/>
  <c r="D1024" i="2"/>
  <c r="A1025" i="2"/>
  <c r="B1025" i="2"/>
  <c r="C1025" i="2"/>
  <c r="D1025" i="2"/>
  <c r="A1026" i="2"/>
  <c r="B1026" i="2"/>
  <c r="C1026" i="2"/>
  <c r="D1026" i="2"/>
  <c r="A1027" i="2"/>
  <c r="B1027" i="2"/>
  <c r="C1027" i="2"/>
  <c r="D1027" i="2"/>
  <c r="A1028" i="2"/>
  <c r="B1028" i="2"/>
  <c r="C1028" i="2"/>
  <c r="D1028" i="2"/>
  <c r="A1029" i="2"/>
  <c r="B1029" i="2"/>
  <c r="C1029" i="2"/>
  <c r="D1029" i="2"/>
  <c r="A1030" i="2"/>
  <c r="B1030" i="2"/>
  <c r="C1030" i="2"/>
  <c r="D1030" i="2"/>
  <c r="A1031" i="2"/>
  <c r="B1031" i="2"/>
  <c r="C1031" i="2"/>
  <c r="D1031" i="2"/>
  <c r="A1032" i="2"/>
  <c r="B1032" i="2"/>
  <c r="C1032" i="2"/>
  <c r="D1032" i="2"/>
  <c r="A1033" i="2"/>
  <c r="B1033" i="2"/>
  <c r="C1033" i="2"/>
  <c r="D1033" i="2"/>
  <c r="A1034" i="2"/>
  <c r="B1034" i="2"/>
  <c r="C1034" i="2"/>
  <c r="D1034" i="2"/>
  <c r="A1035" i="2"/>
  <c r="B1035" i="2"/>
  <c r="C1035" i="2"/>
  <c r="D1035" i="2"/>
  <c r="A1036" i="2"/>
  <c r="B1036" i="2"/>
  <c r="C1036" i="2"/>
  <c r="D1036" i="2"/>
  <c r="A1037" i="2"/>
  <c r="B1037" i="2"/>
  <c r="C1037" i="2"/>
  <c r="D1037" i="2"/>
  <c r="A1038" i="2"/>
  <c r="B1038" i="2"/>
  <c r="C1038" i="2"/>
  <c r="D1038" i="2"/>
  <c r="A1039" i="2"/>
  <c r="B1039" i="2"/>
  <c r="C1039" i="2"/>
  <c r="D1039" i="2"/>
  <c r="A1040" i="2"/>
  <c r="B1040" i="2"/>
  <c r="C1040" i="2"/>
  <c r="D1040" i="2"/>
  <c r="A1041" i="2"/>
  <c r="B1041" i="2"/>
  <c r="C1041" i="2"/>
  <c r="D1041" i="2"/>
  <c r="A1042" i="2"/>
  <c r="B1042" i="2"/>
  <c r="C1042" i="2"/>
  <c r="D1042" i="2"/>
  <c r="A1043" i="2"/>
  <c r="B1043" i="2"/>
  <c r="C1043" i="2"/>
  <c r="D1043" i="2"/>
  <c r="A1044" i="2"/>
  <c r="B1044" i="2"/>
  <c r="C1044" i="2"/>
  <c r="D1044" i="2"/>
  <c r="A1045" i="2"/>
  <c r="B1045" i="2"/>
  <c r="C1045" i="2"/>
  <c r="D1045" i="2"/>
  <c r="A1046" i="2"/>
  <c r="B1046" i="2"/>
  <c r="C1046" i="2"/>
  <c r="D1046" i="2"/>
  <c r="A1047" i="2"/>
  <c r="B1047" i="2"/>
  <c r="C1047" i="2"/>
  <c r="D1047" i="2"/>
  <c r="A1048" i="2"/>
  <c r="B1048" i="2"/>
  <c r="C1048" i="2"/>
  <c r="D1048" i="2"/>
  <c r="A1049" i="2"/>
  <c r="B1049" i="2"/>
  <c r="C1049" i="2"/>
  <c r="D1049" i="2"/>
  <c r="A1050" i="2"/>
  <c r="B1050" i="2"/>
  <c r="C1050" i="2"/>
  <c r="D1050" i="2"/>
  <c r="A1051" i="2"/>
  <c r="B1051" i="2"/>
  <c r="C1051" i="2"/>
  <c r="D1051" i="2"/>
  <c r="A1052" i="2"/>
  <c r="B1052" i="2"/>
  <c r="C1052" i="2"/>
  <c r="D1052" i="2"/>
  <c r="A1053" i="2"/>
  <c r="B1053" i="2"/>
  <c r="C1053" i="2"/>
  <c r="D1053" i="2"/>
  <c r="A1054" i="2"/>
  <c r="B1054" i="2"/>
  <c r="C1054" i="2"/>
  <c r="D1054" i="2"/>
  <c r="A1055" i="2"/>
  <c r="B1055" i="2"/>
  <c r="C1055" i="2"/>
  <c r="D1055" i="2"/>
  <c r="A1056" i="2"/>
  <c r="B1056" i="2"/>
  <c r="C1056" i="2"/>
  <c r="D1056" i="2"/>
  <c r="A1057" i="2"/>
  <c r="B1057" i="2"/>
  <c r="C1057" i="2"/>
  <c r="D1057" i="2"/>
  <c r="A1058" i="2"/>
  <c r="B1058" i="2"/>
  <c r="C1058" i="2"/>
  <c r="D1058" i="2"/>
  <c r="A1059" i="2"/>
  <c r="B1059" i="2"/>
  <c r="C1059" i="2"/>
  <c r="D1059" i="2"/>
  <c r="A1060" i="2"/>
  <c r="B1060" i="2"/>
  <c r="C1060" i="2"/>
  <c r="D1060" i="2"/>
  <c r="A1061" i="2"/>
  <c r="B1061" i="2"/>
  <c r="C1061" i="2"/>
  <c r="D1061" i="2"/>
  <c r="A1062" i="2"/>
  <c r="B1062" i="2"/>
  <c r="C1062" i="2"/>
  <c r="D1062" i="2"/>
  <c r="A1063" i="2"/>
  <c r="B1063" i="2"/>
  <c r="C1063" i="2"/>
  <c r="D1063" i="2"/>
  <c r="A1064" i="2"/>
  <c r="B1064" i="2"/>
  <c r="C1064" i="2"/>
  <c r="D1064" i="2"/>
  <c r="A1065" i="2"/>
  <c r="B1065" i="2"/>
  <c r="C1065" i="2"/>
  <c r="D1065" i="2"/>
  <c r="A1066" i="2"/>
  <c r="B1066" i="2"/>
  <c r="C1066" i="2"/>
  <c r="D1066" i="2"/>
  <c r="A1067" i="2"/>
  <c r="B1067" i="2"/>
  <c r="C1067" i="2"/>
  <c r="D1067" i="2"/>
  <c r="A1068" i="2"/>
  <c r="B1068" i="2"/>
  <c r="C1068" i="2"/>
  <c r="D1068" i="2"/>
  <c r="A1069" i="2"/>
  <c r="B1069" i="2"/>
  <c r="C1069" i="2"/>
  <c r="D1069" i="2"/>
  <c r="A1070" i="2"/>
  <c r="B1070" i="2"/>
  <c r="C1070" i="2"/>
  <c r="D1070" i="2"/>
  <c r="A1071" i="2"/>
  <c r="B1071" i="2"/>
  <c r="C1071" i="2"/>
  <c r="D1071" i="2"/>
  <c r="A1072" i="2"/>
  <c r="B1072" i="2"/>
  <c r="C1072" i="2"/>
  <c r="D1072" i="2"/>
  <c r="A1073" i="2"/>
  <c r="B1073" i="2"/>
  <c r="C1073" i="2"/>
  <c r="D1073" i="2"/>
  <c r="A1074" i="2"/>
  <c r="B1074" i="2"/>
  <c r="C1074" i="2"/>
  <c r="D1074" i="2"/>
  <c r="A1075" i="2"/>
  <c r="B1075" i="2"/>
  <c r="C1075" i="2"/>
  <c r="D1075" i="2"/>
  <c r="A1076" i="2"/>
  <c r="B1076" i="2"/>
  <c r="C1076" i="2"/>
  <c r="D1076" i="2"/>
  <c r="A1077" i="2"/>
  <c r="B1077" i="2"/>
  <c r="C1077" i="2"/>
  <c r="D1077" i="2"/>
  <c r="A1078" i="2"/>
  <c r="B1078" i="2"/>
  <c r="C1078" i="2"/>
  <c r="D1078" i="2"/>
  <c r="A1079" i="2"/>
  <c r="B1079" i="2"/>
  <c r="C1079" i="2"/>
  <c r="D1079" i="2"/>
  <c r="A1080" i="2"/>
  <c r="B1080" i="2"/>
  <c r="C1080" i="2"/>
  <c r="D1080" i="2"/>
  <c r="A1081" i="2"/>
  <c r="B1081" i="2"/>
  <c r="C1081" i="2"/>
  <c r="D1081" i="2"/>
  <c r="A1082" i="2"/>
  <c r="B1082" i="2"/>
  <c r="C1082" i="2"/>
  <c r="D1082" i="2"/>
  <c r="A1083" i="2"/>
  <c r="B1083" i="2"/>
  <c r="C1083" i="2"/>
  <c r="D1083" i="2"/>
  <c r="A1084" i="2"/>
  <c r="B1084" i="2"/>
  <c r="C1084" i="2"/>
  <c r="D1084" i="2"/>
  <c r="A1085" i="2"/>
  <c r="B1085" i="2"/>
  <c r="C1085" i="2"/>
  <c r="D1085" i="2"/>
  <c r="A1086" i="2"/>
  <c r="B1086" i="2"/>
  <c r="C1086" i="2"/>
  <c r="D1086" i="2"/>
  <c r="A1087" i="2"/>
  <c r="B1087" i="2"/>
  <c r="C1087" i="2"/>
  <c r="D1087" i="2"/>
  <c r="A1088" i="2"/>
  <c r="B1088" i="2"/>
  <c r="C1088" i="2"/>
  <c r="D1088" i="2"/>
  <c r="A1089" i="2"/>
  <c r="B1089" i="2"/>
  <c r="C1089" i="2"/>
  <c r="D1089" i="2"/>
  <c r="A1090" i="2"/>
  <c r="B1090" i="2"/>
  <c r="C1090" i="2"/>
  <c r="D1090" i="2"/>
  <c r="A1091" i="2"/>
  <c r="B1091" i="2"/>
  <c r="C1091" i="2"/>
  <c r="D1091" i="2"/>
  <c r="A1092" i="2"/>
  <c r="B1092" i="2"/>
  <c r="C1092" i="2"/>
  <c r="D1092" i="2"/>
  <c r="A1093" i="2"/>
  <c r="B1093" i="2"/>
  <c r="C1093" i="2"/>
  <c r="D1093" i="2"/>
  <c r="A1094" i="2"/>
  <c r="B1094" i="2"/>
  <c r="C1094" i="2"/>
  <c r="D1094" i="2"/>
  <c r="A1095" i="2"/>
  <c r="B1095" i="2"/>
  <c r="C1095" i="2"/>
  <c r="D1095" i="2"/>
  <c r="A1096" i="2"/>
  <c r="B1096" i="2"/>
  <c r="C1096" i="2"/>
  <c r="D1096" i="2"/>
  <c r="A1097" i="2"/>
  <c r="B1097" i="2"/>
  <c r="C1097" i="2"/>
  <c r="D1097" i="2"/>
  <c r="A1098" i="2"/>
  <c r="B1098" i="2"/>
  <c r="C1098" i="2"/>
  <c r="D1098" i="2"/>
  <c r="A1099" i="2"/>
  <c r="B1099" i="2"/>
  <c r="C1099" i="2"/>
  <c r="D1099" i="2"/>
  <c r="A1100" i="2"/>
  <c r="B1100" i="2"/>
  <c r="C1100" i="2"/>
  <c r="D1100" i="2"/>
  <c r="A1101" i="2"/>
  <c r="B1101" i="2"/>
  <c r="C1101" i="2"/>
  <c r="D1101" i="2"/>
  <c r="A1102" i="2"/>
  <c r="B1102" i="2"/>
  <c r="C1102" i="2"/>
  <c r="D1102" i="2"/>
  <c r="A1103" i="2"/>
  <c r="B1103" i="2"/>
  <c r="C1103" i="2"/>
  <c r="D1103" i="2"/>
  <c r="A1104" i="2"/>
  <c r="B1104" i="2"/>
  <c r="C1104" i="2"/>
  <c r="D1104" i="2"/>
  <c r="A1105" i="2"/>
  <c r="B1105" i="2"/>
  <c r="C1105" i="2"/>
  <c r="D1105" i="2"/>
  <c r="A1106" i="2"/>
  <c r="B1106" i="2"/>
  <c r="C1106" i="2"/>
  <c r="D1106" i="2"/>
  <c r="A1107" i="2"/>
  <c r="B1107" i="2"/>
  <c r="C1107" i="2"/>
  <c r="D1107" i="2"/>
  <c r="A1108" i="2"/>
  <c r="B1108" i="2"/>
  <c r="C1108" i="2"/>
  <c r="D1108" i="2"/>
  <c r="A1109" i="2"/>
  <c r="B1109" i="2"/>
  <c r="C1109" i="2"/>
  <c r="D1109" i="2"/>
  <c r="A1110" i="2"/>
  <c r="B1110" i="2"/>
  <c r="C1110" i="2"/>
  <c r="D1110" i="2"/>
  <c r="A1111" i="2"/>
  <c r="B1111" i="2"/>
  <c r="C1111" i="2"/>
  <c r="D1111" i="2"/>
  <c r="A1112" i="2"/>
  <c r="B1112" i="2"/>
  <c r="C1112" i="2"/>
  <c r="D1112" i="2"/>
  <c r="A1113" i="2"/>
  <c r="B1113" i="2"/>
  <c r="C1113" i="2"/>
  <c r="D1113" i="2"/>
  <c r="A1114" i="2"/>
  <c r="B1114" i="2"/>
  <c r="C1114" i="2"/>
  <c r="D1114" i="2"/>
  <c r="A1115" i="2"/>
  <c r="B1115" i="2"/>
  <c r="C1115" i="2"/>
  <c r="D1115" i="2"/>
  <c r="A1116" i="2"/>
  <c r="B1116" i="2"/>
  <c r="C1116" i="2"/>
  <c r="D1116" i="2"/>
  <c r="A1117" i="2"/>
  <c r="B1117" i="2"/>
  <c r="C1117" i="2"/>
  <c r="D1117" i="2"/>
  <c r="A1118" i="2"/>
  <c r="B1118" i="2"/>
  <c r="C1118" i="2"/>
  <c r="D1118" i="2"/>
  <c r="A1119" i="2"/>
  <c r="B1119" i="2"/>
  <c r="C1119" i="2"/>
  <c r="D1119" i="2"/>
  <c r="A1120" i="2"/>
  <c r="B1120" i="2"/>
  <c r="C1120" i="2"/>
  <c r="D1120" i="2"/>
  <c r="A1121" i="2"/>
  <c r="B1121" i="2"/>
  <c r="C1121" i="2"/>
  <c r="D1121" i="2"/>
  <c r="A1122" i="2"/>
  <c r="B1122" i="2"/>
  <c r="C1122" i="2"/>
  <c r="D1122" i="2"/>
  <c r="A1123" i="2"/>
  <c r="B1123" i="2"/>
  <c r="C1123" i="2"/>
  <c r="D1123" i="2"/>
  <c r="A1124" i="2"/>
  <c r="B1124" i="2"/>
  <c r="C1124" i="2"/>
  <c r="D1124" i="2"/>
  <c r="A1125" i="2"/>
  <c r="B1125" i="2"/>
  <c r="C1125" i="2"/>
  <c r="D1125" i="2"/>
  <c r="A1126" i="2"/>
  <c r="B1126" i="2"/>
  <c r="C1126" i="2"/>
  <c r="D1126" i="2"/>
  <c r="A1127" i="2"/>
  <c r="B1127" i="2"/>
  <c r="C1127" i="2"/>
  <c r="D1127" i="2"/>
  <c r="A1128" i="2"/>
  <c r="B1128" i="2"/>
  <c r="C1128" i="2"/>
  <c r="D1128" i="2"/>
  <c r="A1129" i="2"/>
  <c r="B1129" i="2"/>
  <c r="C1129" i="2"/>
  <c r="D1129" i="2"/>
  <c r="A1130" i="2"/>
  <c r="B1130" i="2"/>
  <c r="C1130" i="2"/>
  <c r="D1130" i="2"/>
  <c r="A1131" i="2"/>
  <c r="B1131" i="2"/>
  <c r="C1131" i="2"/>
  <c r="D1131" i="2"/>
  <c r="A1132" i="2"/>
  <c r="B1132" i="2"/>
  <c r="C1132" i="2"/>
  <c r="D1132" i="2"/>
  <c r="A1133" i="2"/>
  <c r="B1133" i="2"/>
  <c r="C1133" i="2"/>
  <c r="D1133" i="2"/>
  <c r="A1134" i="2"/>
  <c r="B1134" i="2"/>
  <c r="C1134" i="2"/>
  <c r="D1134" i="2"/>
  <c r="A1135" i="2"/>
  <c r="B1135" i="2"/>
  <c r="C1135" i="2"/>
  <c r="D1135" i="2"/>
  <c r="A1136" i="2"/>
  <c r="B1136" i="2"/>
  <c r="C1136" i="2"/>
  <c r="D1136" i="2"/>
  <c r="A1137" i="2"/>
  <c r="B1137" i="2"/>
  <c r="C1137" i="2"/>
  <c r="D1137" i="2"/>
  <c r="A1138" i="2"/>
  <c r="B1138" i="2"/>
  <c r="C1138" i="2"/>
  <c r="D1138" i="2"/>
  <c r="A1139" i="2"/>
  <c r="B1139" i="2"/>
  <c r="C1139" i="2"/>
  <c r="D1139" i="2"/>
  <c r="A1140" i="2"/>
  <c r="B1140" i="2"/>
  <c r="C1140" i="2"/>
  <c r="D1140" i="2"/>
  <c r="A1141" i="2"/>
  <c r="B1141" i="2"/>
  <c r="C1141" i="2"/>
  <c r="D1141" i="2"/>
  <c r="A1142" i="2"/>
  <c r="B1142" i="2"/>
  <c r="C1142" i="2"/>
  <c r="D1142" i="2"/>
  <c r="A1143" i="2"/>
  <c r="B1143" i="2"/>
  <c r="C1143" i="2"/>
  <c r="D1143" i="2"/>
  <c r="A1144" i="2"/>
  <c r="B1144" i="2"/>
  <c r="C1144" i="2"/>
  <c r="D1144" i="2"/>
  <c r="A1145" i="2"/>
  <c r="B1145" i="2"/>
  <c r="C1145" i="2"/>
  <c r="D1145" i="2"/>
  <c r="A1146" i="2"/>
  <c r="B1146" i="2"/>
  <c r="C1146" i="2"/>
  <c r="D1146" i="2"/>
  <c r="A1147" i="2"/>
  <c r="B1147" i="2"/>
  <c r="C1147" i="2"/>
  <c r="D1147" i="2"/>
  <c r="A1148" i="2"/>
  <c r="B1148" i="2"/>
  <c r="C1148" i="2"/>
  <c r="D1148" i="2"/>
  <c r="A1149" i="2"/>
  <c r="B1149" i="2"/>
  <c r="C1149" i="2"/>
  <c r="D1149" i="2"/>
  <c r="A1150" i="2"/>
  <c r="B1150" i="2"/>
  <c r="C1150" i="2"/>
  <c r="D1150" i="2"/>
  <c r="A1151" i="2"/>
  <c r="B1151" i="2"/>
  <c r="C1151" i="2"/>
  <c r="D1151" i="2"/>
  <c r="A1152" i="2"/>
  <c r="B1152" i="2"/>
  <c r="C1152" i="2"/>
  <c r="D1152" i="2"/>
  <c r="A1153" i="2"/>
  <c r="B1153" i="2"/>
  <c r="C1153" i="2"/>
  <c r="D1153" i="2"/>
  <c r="A1154" i="2"/>
  <c r="B1154" i="2"/>
  <c r="C1154" i="2"/>
  <c r="D1154" i="2"/>
  <c r="A1155" i="2"/>
  <c r="B1155" i="2"/>
  <c r="C1155" i="2"/>
  <c r="D1155" i="2"/>
  <c r="A1156" i="2"/>
  <c r="B1156" i="2"/>
  <c r="C1156" i="2"/>
  <c r="D1156" i="2"/>
  <c r="A1157" i="2"/>
  <c r="B1157" i="2"/>
  <c r="C1157" i="2"/>
  <c r="D1157" i="2"/>
  <c r="A1158" i="2"/>
  <c r="B1158" i="2"/>
  <c r="C1158" i="2"/>
  <c r="D1158" i="2"/>
  <c r="A1159" i="2"/>
  <c r="B1159" i="2"/>
  <c r="C1159" i="2"/>
  <c r="D1159" i="2"/>
  <c r="A1160" i="2"/>
  <c r="B1160" i="2"/>
  <c r="C1160" i="2"/>
  <c r="D1160" i="2"/>
  <c r="A1161" i="2"/>
  <c r="B1161" i="2"/>
  <c r="C1161" i="2"/>
  <c r="D1161" i="2"/>
  <c r="A1162" i="2"/>
  <c r="B1162" i="2"/>
  <c r="C1162" i="2"/>
  <c r="D1162" i="2"/>
  <c r="A1163" i="2"/>
  <c r="B1163" i="2"/>
  <c r="C1163" i="2"/>
  <c r="D1163" i="2"/>
  <c r="A1164" i="2"/>
  <c r="B1164" i="2"/>
  <c r="C1164" i="2"/>
  <c r="D1164" i="2"/>
  <c r="A1165" i="2"/>
  <c r="B1165" i="2"/>
  <c r="C1165" i="2"/>
  <c r="D1165" i="2"/>
  <c r="A1166" i="2"/>
  <c r="B1166" i="2"/>
  <c r="C1166" i="2"/>
  <c r="D1166" i="2"/>
  <c r="A1167" i="2"/>
  <c r="B1167" i="2"/>
  <c r="C1167" i="2"/>
  <c r="D1167" i="2"/>
  <c r="A1168" i="2"/>
  <c r="B1168" i="2"/>
  <c r="C1168" i="2"/>
  <c r="D1168" i="2"/>
  <c r="A1169" i="2"/>
  <c r="B1169" i="2"/>
  <c r="C1169" i="2"/>
  <c r="D1169" i="2"/>
  <c r="A1170" i="2"/>
  <c r="B1170" i="2"/>
  <c r="C1170" i="2"/>
  <c r="D1170" i="2"/>
  <c r="A1171" i="2"/>
  <c r="B1171" i="2"/>
  <c r="C1171" i="2"/>
  <c r="D1171" i="2"/>
  <c r="A1172" i="2"/>
  <c r="B1172" i="2"/>
  <c r="C1172" i="2"/>
  <c r="D1172" i="2"/>
  <c r="A1173" i="2"/>
  <c r="B1173" i="2"/>
  <c r="C1173" i="2"/>
  <c r="D1173" i="2"/>
  <c r="A1174" i="2"/>
  <c r="B1174" i="2"/>
  <c r="C1174" i="2"/>
  <c r="D1174" i="2"/>
  <c r="A1175" i="2"/>
  <c r="B1175" i="2"/>
  <c r="C1175" i="2"/>
  <c r="D1175" i="2"/>
  <c r="A1176" i="2"/>
  <c r="B1176" i="2"/>
  <c r="C1176" i="2"/>
  <c r="D1176" i="2"/>
  <c r="A1177" i="2"/>
  <c r="B1177" i="2"/>
  <c r="C1177" i="2"/>
  <c r="D1177" i="2"/>
  <c r="A1178" i="2"/>
  <c r="B1178" i="2"/>
  <c r="C1178" i="2"/>
  <c r="D1178" i="2"/>
  <c r="A1179" i="2"/>
  <c r="B1179" i="2"/>
  <c r="C1179" i="2"/>
  <c r="D1179" i="2"/>
  <c r="A1180" i="2"/>
  <c r="B1180" i="2"/>
  <c r="C1180" i="2"/>
  <c r="D1180" i="2"/>
  <c r="A1181" i="2"/>
  <c r="B1181" i="2"/>
  <c r="C1181" i="2"/>
  <c r="D1181" i="2"/>
  <c r="A1182" i="2"/>
  <c r="B1182" i="2"/>
  <c r="C1182" i="2"/>
  <c r="D1182" i="2"/>
  <c r="A1183" i="2"/>
  <c r="B1183" i="2"/>
  <c r="C1183" i="2"/>
  <c r="D1183" i="2"/>
  <c r="A1184" i="2"/>
  <c r="B1184" i="2"/>
  <c r="C1184" i="2"/>
  <c r="D1184" i="2"/>
  <c r="A1185" i="2"/>
  <c r="B1185" i="2"/>
  <c r="C1185" i="2"/>
  <c r="D1185" i="2"/>
  <c r="A1186" i="2"/>
  <c r="B1186" i="2"/>
  <c r="C1186" i="2"/>
  <c r="D1186" i="2"/>
  <c r="A1187" i="2"/>
  <c r="B1187" i="2"/>
  <c r="C1187" i="2"/>
  <c r="D1187" i="2"/>
  <c r="A1188" i="2"/>
  <c r="B1188" i="2"/>
  <c r="C1188" i="2"/>
  <c r="D1188" i="2"/>
  <c r="A1189" i="2"/>
  <c r="B1189" i="2"/>
  <c r="C1189" i="2"/>
  <c r="D1189" i="2"/>
  <c r="A1190" i="2"/>
  <c r="B1190" i="2"/>
  <c r="C1190" i="2"/>
  <c r="D1190" i="2"/>
  <c r="A1191" i="2"/>
  <c r="B1191" i="2"/>
  <c r="C1191" i="2"/>
  <c r="D1191" i="2"/>
  <c r="A1192" i="2"/>
  <c r="B1192" i="2"/>
  <c r="C1192" i="2"/>
  <c r="D1192" i="2"/>
  <c r="A1193" i="2"/>
  <c r="B1193" i="2"/>
  <c r="C1193" i="2"/>
  <c r="D1193" i="2"/>
  <c r="A1194" i="2"/>
  <c r="B1194" i="2"/>
  <c r="C1194" i="2"/>
  <c r="D1194" i="2"/>
  <c r="A1195" i="2"/>
  <c r="B1195" i="2"/>
  <c r="C1195" i="2"/>
  <c r="D1195" i="2"/>
  <c r="A1196" i="2"/>
  <c r="B1196" i="2"/>
  <c r="C1196" i="2"/>
  <c r="D1196" i="2"/>
  <c r="A1197" i="2"/>
  <c r="B1197" i="2"/>
  <c r="C1197" i="2"/>
  <c r="D1197" i="2"/>
  <c r="A1198" i="2"/>
  <c r="B1198" i="2"/>
  <c r="C1198" i="2"/>
  <c r="D1198" i="2"/>
  <c r="A1199" i="2"/>
  <c r="B1199" i="2"/>
  <c r="C1199" i="2"/>
  <c r="D1199" i="2"/>
  <c r="A1200" i="2"/>
  <c r="B1200" i="2"/>
  <c r="C1200" i="2"/>
  <c r="D1200" i="2"/>
  <c r="A1201" i="2"/>
  <c r="B1201" i="2"/>
  <c r="C1201" i="2"/>
  <c r="D1201" i="2"/>
  <c r="A1202" i="2"/>
  <c r="B1202" i="2"/>
  <c r="C1202" i="2"/>
  <c r="D1202" i="2"/>
  <c r="A1203" i="2"/>
  <c r="B1203" i="2"/>
  <c r="C1203" i="2"/>
  <c r="D1203" i="2"/>
  <c r="A1204" i="2"/>
  <c r="B1204" i="2"/>
  <c r="C1204" i="2"/>
  <c r="D1204" i="2"/>
  <c r="A1205" i="2"/>
  <c r="B1205" i="2"/>
  <c r="C1205" i="2"/>
  <c r="D1205" i="2"/>
  <c r="A1206" i="2"/>
  <c r="B1206" i="2"/>
  <c r="C1206" i="2"/>
  <c r="D1206" i="2"/>
  <c r="A1207" i="2"/>
  <c r="B1207" i="2"/>
  <c r="C1207" i="2"/>
  <c r="D1207" i="2"/>
  <c r="A1208" i="2"/>
  <c r="B1208" i="2"/>
  <c r="C1208" i="2"/>
  <c r="D1208" i="2"/>
  <c r="A1209" i="2"/>
  <c r="B1209" i="2"/>
  <c r="C1209" i="2"/>
  <c r="D1209" i="2"/>
  <c r="A1210" i="2"/>
  <c r="B1210" i="2"/>
  <c r="C1210" i="2"/>
  <c r="D1210" i="2"/>
  <c r="A1211" i="2"/>
  <c r="B1211" i="2"/>
  <c r="C1211" i="2"/>
  <c r="D1211" i="2"/>
  <c r="A1212" i="2"/>
  <c r="B1212" i="2"/>
  <c r="C1212" i="2"/>
  <c r="D1212" i="2"/>
  <c r="A1213" i="2"/>
  <c r="B1213" i="2"/>
  <c r="C1213" i="2"/>
  <c r="D1213" i="2"/>
  <c r="A1214" i="2"/>
  <c r="B1214" i="2"/>
  <c r="C1214" i="2"/>
  <c r="D1214" i="2"/>
  <c r="A1215" i="2"/>
  <c r="B1215" i="2"/>
  <c r="C1215" i="2"/>
  <c r="D1215" i="2"/>
  <c r="A1216" i="2"/>
  <c r="B1216" i="2"/>
  <c r="C1216" i="2"/>
  <c r="D1216" i="2"/>
  <c r="A1217" i="2"/>
  <c r="B1217" i="2"/>
  <c r="C1217" i="2"/>
  <c r="D1217" i="2"/>
  <c r="A1218" i="2"/>
  <c r="B1218" i="2"/>
  <c r="C1218" i="2"/>
  <c r="D1218" i="2"/>
  <c r="A1219" i="2"/>
  <c r="B1219" i="2"/>
  <c r="C1219" i="2"/>
  <c r="D1219" i="2"/>
  <c r="A1220" i="2"/>
  <c r="B1220" i="2"/>
  <c r="C1220" i="2"/>
  <c r="D1220" i="2"/>
  <c r="A1221" i="2"/>
  <c r="B1221" i="2"/>
  <c r="C1221" i="2"/>
  <c r="D1221" i="2"/>
  <c r="A1222" i="2"/>
  <c r="B1222" i="2"/>
  <c r="C1222" i="2"/>
  <c r="D1222" i="2"/>
  <c r="A1223" i="2"/>
  <c r="B1223" i="2"/>
  <c r="C1223" i="2"/>
  <c r="D1223" i="2"/>
  <c r="A1224" i="2"/>
  <c r="B1224" i="2"/>
  <c r="C1224" i="2"/>
  <c r="D1224" i="2"/>
  <c r="A1225" i="2"/>
  <c r="B1225" i="2"/>
  <c r="C1225" i="2"/>
  <c r="D1225" i="2"/>
  <c r="A1226" i="2"/>
  <c r="B1226" i="2"/>
  <c r="C1226" i="2"/>
  <c r="D1226" i="2"/>
  <c r="A1227" i="2"/>
  <c r="B1227" i="2"/>
  <c r="C1227" i="2"/>
  <c r="D1227" i="2"/>
  <c r="A1228" i="2"/>
  <c r="B1228" i="2"/>
  <c r="C1228" i="2"/>
  <c r="D1228" i="2"/>
  <c r="A1229" i="2"/>
  <c r="B1229" i="2"/>
  <c r="C1229" i="2"/>
  <c r="D1229" i="2"/>
  <c r="A1230" i="2"/>
  <c r="B1230" i="2"/>
  <c r="C1230" i="2"/>
  <c r="D1230" i="2"/>
  <c r="A1231" i="2"/>
  <c r="B1231" i="2"/>
  <c r="C1231" i="2"/>
  <c r="D1231" i="2"/>
  <c r="A1232" i="2"/>
  <c r="B1232" i="2"/>
  <c r="C1232" i="2"/>
  <c r="D1232" i="2"/>
  <c r="A1233" i="2"/>
  <c r="B1233" i="2"/>
  <c r="C1233" i="2"/>
  <c r="D1233" i="2"/>
  <c r="A1234" i="2"/>
  <c r="B1234" i="2"/>
  <c r="C1234" i="2"/>
  <c r="D1234" i="2"/>
  <c r="A1235" i="2"/>
  <c r="B1235" i="2"/>
  <c r="C1235" i="2"/>
  <c r="D1235" i="2"/>
  <c r="A1236" i="2"/>
  <c r="B1236" i="2"/>
  <c r="C1236" i="2"/>
  <c r="D1236" i="2"/>
  <c r="A1237" i="2"/>
  <c r="B1237" i="2"/>
  <c r="C1237" i="2"/>
  <c r="D1237" i="2"/>
  <c r="A1238" i="2"/>
  <c r="B1238" i="2"/>
  <c r="C1238" i="2"/>
  <c r="D1238" i="2"/>
  <c r="A1239" i="2"/>
  <c r="B1239" i="2"/>
  <c r="C1239" i="2"/>
  <c r="D1239" i="2"/>
  <c r="A1240" i="2"/>
  <c r="B1240" i="2"/>
  <c r="C1240" i="2"/>
  <c r="D1240" i="2"/>
  <c r="A1241" i="2"/>
  <c r="B1241" i="2"/>
  <c r="C1241" i="2"/>
  <c r="D1241" i="2"/>
  <c r="A1242" i="2"/>
  <c r="B1242" i="2"/>
  <c r="C1242" i="2"/>
  <c r="D1242" i="2"/>
  <c r="A1243" i="2"/>
  <c r="B1243" i="2"/>
  <c r="C1243" i="2"/>
  <c r="D1243" i="2"/>
  <c r="A1244" i="2"/>
  <c r="B1244" i="2"/>
  <c r="C1244" i="2"/>
  <c r="D1244" i="2"/>
  <c r="A1245" i="2"/>
  <c r="B1245" i="2"/>
  <c r="C1245" i="2"/>
  <c r="D1245" i="2"/>
  <c r="A1246" i="2"/>
  <c r="B1246" i="2"/>
  <c r="C1246" i="2"/>
  <c r="D1246" i="2"/>
  <c r="A1247" i="2"/>
  <c r="B1247" i="2"/>
  <c r="C1247" i="2"/>
  <c r="D1247" i="2"/>
  <c r="A1248" i="2"/>
  <c r="B1248" i="2"/>
  <c r="C1248" i="2"/>
  <c r="D1248" i="2"/>
  <c r="A1249" i="2"/>
  <c r="B1249" i="2"/>
  <c r="C1249" i="2"/>
  <c r="D1249" i="2"/>
  <c r="A1250" i="2"/>
  <c r="B1250" i="2"/>
  <c r="C1250" i="2"/>
  <c r="D1250" i="2"/>
  <c r="A1251" i="2"/>
  <c r="B1251" i="2"/>
  <c r="C1251" i="2"/>
  <c r="D1251" i="2"/>
  <c r="A1252" i="2"/>
  <c r="B1252" i="2"/>
  <c r="C1252" i="2"/>
  <c r="D1252" i="2"/>
  <c r="A1253" i="2"/>
  <c r="B1253" i="2"/>
  <c r="C1253" i="2"/>
  <c r="D1253" i="2"/>
  <c r="A1254" i="2"/>
  <c r="B1254" i="2"/>
  <c r="C1254" i="2"/>
  <c r="D1254" i="2"/>
  <c r="A1255" i="2"/>
  <c r="B1255" i="2"/>
  <c r="C1255" i="2"/>
  <c r="D1255" i="2"/>
  <c r="A1256" i="2"/>
  <c r="B1256" i="2"/>
  <c r="C1256" i="2"/>
  <c r="D1256" i="2"/>
  <c r="A1257" i="2"/>
  <c r="B1257" i="2"/>
  <c r="C1257" i="2"/>
  <c r="D1257" i="2"/>
  <c r="A1258" i="2"/>
  <c r="B1258" i="2"/>
  <c r="C1258" i="2"/>
  <c r="D1258" i="2"/>
  <c r="A1259" i="2"/>
  <c r="B1259" i="2"/>
  <c r="C1259" i="2"/>
  <c r="D1259" i="2"/>
  <c r="A1260" i="2"/>
  <c r="B1260" i="2"/>
  <c r="C1260" i="2"/>
  <c r="D1260" i="2"/>
  <c r="A1261" i="2"/>
  <c r="B1261" i="2"/>
  <c r="C1261" i="2"/>
  <c r="D1261" i="2"/>
  <c r="A1262" i="2"/>
  <c r="B1262" i="2"/>
  <c r="C1262" i="2"/>
  <c r="D1262" i="2"/>
  <c r="A1263" i="2"/>
  <c r="B1263" i="2"/>
  <c r="C1263" i="2"/>
  <c r="D1263" i="2"/>
  <c r="A1264" i="2"/>
  <c r="B1264" i="2"/>
  <c r="C1264" i="2"/>
  <c r="D1264" i="2"/>
  <c r="A1265" i="2"/>
  <c r="B1265" i="2"/>
  <c r="C1265" i="2"/>
  <c r="D1265" i="2"/>
  <c r="A1266" i="2"/>
  <c r="B1266" i="2"/>
  <c r="C1266" i="2"/>
  <c r="D1266" i="2"/>
  <c r="A1267" i="2"/>
  <c r="B1267" i="2"/>
  <c r="C1267" i="2"/>
  <c r="D1267" i="2"/>
  <c r="A1268" i="2"/>
  <c r="B1268" i="2"/>
  <c r="C1268" i="2"/>
  <c r="D1268" i="2"/>
  <c r="A1269" i="2"/>
  <c r="B1269" i="2"/>
  <c r="C1269" i="2"/>
  <c r="D1269" i="2"/>
  <c r="A1270" i="2"/>
  <c r="B1270" i="2"/>
  <c r="C1270" i="2"/>
  <c r="D1270" i="2"/>
  <c r="A1271" i="2"/>
  <c r="B1271" i="2"/>
  <c r="C1271" i="2"/>
  <c r="D1271" i="2"/>
  <c r="A1272" i="2"/>
  <c r="B1272" i="2"/>
  <c r="C1272" i="2"/>
  <c r="D1272" i="2"/>
  <c r="A1273" i="2"/>
  <c r="B1273" i="2"/>
  <c r="C1273" i="2"/>
  <c r="D1273" i="2"/>
  <c r="A1274" i="2"/>
  <c r="B1274" i="2"/>
  <c r="C1274" i="2"/>
  <c r="D1274" i="2"/>
  <c r="A1275" i="2"/>
  <c r="B1275" i="2"/>
  <c r="C1275" i="2"/>
  <c r="D1275" i="2"/>
  <c r="A1276" i="2"/>
  <c r="B1276" i="2"/>
  <c r="C1276" i="2"/>
  <c r="D1276" i="2"/>
  <c r="A1277" i="2"/>
  <c r="B1277" i="2"/>
  <c r="C1277" i="2"/>
  <c r="D1277" i="2"/>
  <c r="A1278" i="2"/>
  <c r="B1278" i="2"/>
  <c r="C1278" i="2"/>
  <c r="D1278" i="2"/>
  <c r="A1279" i="2"/>
  <c r="B1279" i="2"/>
  <c r="C1279" i="2"/>
  <c r="D1279" i="2"/>
  <c r="A1280" i="2"/>
  <c r="B1280" i="2"/>
  <c r="C1280" i="2"/>
  <c r="D1280" i="2"/>
  <c r="A1281" i="2"/>
  <c r="B1281" i="2"/>
  <c r="C1281" i="2"/>
  <c r="D1281" i="2"/>
  <c r="A1282" i="2"/>
  <c r="B1282" i="2"/>
  <c r="C1282" i="2"/>
  <c r="D1282" i="2"/>
  <c r="A1283" i="2"/>
  <c r="B1283" i="2"/>
  <c r="C1283" i="2"/>
  <c r="D1283" i="2"/>
  <c r="A1284" i="2"/>
  <c r="B1284" i="2"/>
  <c r="C1284" i="2"/>
  <c r="D1284" i="2"/>
  <c r="A1285" i="2"/>
  <c r="B1285" i="2"/>
  <c r="C1285" i="2"/>
  <c r="D1285" i="2"/>
  <c r="A1286" i="2"/>
  <c r="B1286" i="2"/>
  <c r="C1286" i="2"/>
  <c r="D1286" i="2"/>
  <c r="A1287" i="2"/>
  <c r="B1287" i="2"/>
  <c r="C1287" i="2"/>
  <c r="D1287" i="2"/>
  <c r="A1288" i="2"/>
  <c r="B1288" i="2"/>
  <c r="C1288" i="2"/>
  <c r="D1288" i="2"/>
  <c r="A1289" i="2"/>
  <c r="B1289" i="2"/>
  <c r="C1289" i="2"/>
  <c r="D1289" i="2"/>
  <c r="A1290" i="2"/>
  <c r="B1290" i="2"/>
  <c r="C1290" i="2"/>
  <c r="D1290" i="2"/>
  <c r="A1291" i="2"/>
  <c r="B1291" i="2"/>
  <c r="C1291" i="2"/>
  <c r="D1291" i="2"/>
  <c r="A1292" i="2"/>
  <c r="B1292" i="2"/>
  <c r="C1292" i="2"/>
  <c r="D1292" i="2"/>
  <c r="A1293" i="2"/>
  <c r="B1293" i="2"/>
  <c r="C1293" i="2"/>
  <c r="D1293" i="2"/>
  <c r="A1294" i="2"/>
  <c r="B1294" i="2"/>
  <c r="C1294" i="2"/>
  <c r="D1294" i="2"/>
  <c r="A1295" i="2"/>
  <c r="B1295" i="2"/>
  <c r="C1295" i="2"/>
  <c r="D1295" i="2"/>
  <c r="A1296" i="2"/>
  <c r="B1296" i="2"/>
  <c r="C1296" i="2"/>
  <c r="D1296" i="2"/>
  <c r="A1297" i="2"/>
  <c r="B1297" i="2"/>
  <c r="C1297" i="2"/>
  <c r="D1297" i="2"/>
  <c r="A1298" i="2"/>
  <c r="B1298" i="2"/>
  <c r="C1298" i="2"/>
  <c r="D1298" i="2"/>
  <c r="A1299" i="2"/>
  <c r="B1299" i="2"/>
  <c r="C1299" i="2"/>
  <c r="D1299" i="2"/>
  <c r="A1300" i="2"/>
  <c r="B1300" i="2"/>
  <c r="C1300" i="2"/>
  <c r="D1300" i="2"/>
  <c r="A1301" i="2"/>
  <c r="B1301" i="2"/>
  <c r="C1301" i="2"/>
  <c r="D1301" i="2"/>
  <c r="A1302" i="2"/>
  <c r="B1302" i="2"/>
  <c r="C1302" i="2"/>
  <c r="D1302" i="2"/>
  <c r="A1303" i="2"/>
  <c r="B1303" i="2"/>
  <c r="C1303" i="2"/>
  <c r="D1303" i="2"/>
  <c r="A1304" i="2"/>
  <c r="B1304" i="2"/>
  <c r="C1304" i="2"/>
  <c r="D1304" i="2"/>
  <c r="A1305" i="2"/>
  <c r="B1305" i="2"/>
  <c r="C1305" i="2"/>
  <c r="D1305" i="2"/>
  <c r="A1306" i="2"/>
  <c r="B1306" i="2"/>
  <c r="C1306" i="2"/>
  <c r="D1306" i="2"/>
  <c r="A1307" i="2"/>
  <c r="B1307" i="2"/>
  <c r="C1307" i="2"/>
  <c r="D1307" i="2"/>
  <c r="A1308" i="2"/>
  <c r="B1308" i="2"/>
  <c r="C1308" i="2"/>
  <c r="D1308" i="2"/>
  <c r="A1309" i="2"/>
  <c r="B1309" i="2"/>
  <c r="C1309" i="2"/>
  <c r="D1309" i="2"/>
  <c r="A1310" i="2"/>
  <c r="B1310" i="2"/>
  <c r="C1310" i="2"/>
  <c r="D1310" i="2"/>
  <c r="A1311" i="2"/>
  <c r="B1311" i="2"/>
  <c r="C1311" i="2"/>
  <c r="D1311" i="2"/>
  <c r="A1312" i="2"/>
  <c r="B1312" i="2"/>
  <c r="C1312" i="2"/>
  <c r="D1312" i="2"/>
  <c r="A1313" i="2"/>
  <c r="B1313" i="2"/>
  <c r="C1313" i="2"/>
  <c r="D1313" i="2"/>
  <c r="A1314" i="2"/>
  <c r="B1314" i="2"/>
  <c r="C1314" i="2"/>
  <c r="D1314" i="2"/>
  <c r="A1315" i="2"/>
  <c r="B1315" i="2"/>
  <c r="C1315" i="2"/>
  <c r="D1315" i="2"/>
  <c r="A1316" i="2"/>
  <c r="B1316" i="2"/>
  <c r="C1316" i="2"/>
  <c r="D1316" i="2"/>
  <c r="A1317" i="2"/>
  <c r="B1317" i="2"/>
  <c r="C1317" i="2"/>
  <c r="D1317" i="2"/>
  <c r="A1318" i="2"/>
  <c r="B1318" i="2"/>
  <c r="C1318" i="2"/>
  <c r="D1318" i="2"/>
  <c r="A1319" i="2"/>
  <c r="B1319" i="2"/>
  <c r="C1319" i="2"/>
  <c r="D1319" i="2"/>
  <c r="A1320" i="2"/>
  <c r="B1320" i="2"/>
  <c r="C1320" i="2"/>
  <c r="D1320" i="2"/>
  <c r="A1321" i="2"/>
  <c r="B1321" i="2"/>
  <c r="C1321" i="2"/>
  <c r="D1321" i="2"/>
  <c r="A1322" i="2"/>
  <c r="B1322" i="2"/>
  <c r="C1322" i="2"/>
  <c r="D1322" i="2"/>
  <c r="A1323" i="2"/>
  <c r="B1323" i="2"/>
  <c r="C1323" i="2"/>
  <c r="D1323" i="2"/>
  <c r="A1324" i="2"/>
  <c r="B1324" i="2"/>
  <c r="C1324" i="2"/>
  <c r="D1324" i="2"/>
  <c r="A1325" i="2"/>
  <c r="B1325" i="2"/>
  <c r="C1325" i="2"/>
  <c r="D1325" i="2"/>
  <c r="A1326" i="2"/>
  <c r="B1326" i="2"/>
  <c r="C1326" i="2"/>
  <c r="D1326" i="2"/>
  <c r="A1327" i="2"/>
  <c r="B1327" i="2"/>
  <c r="C1327" i="2"/>
  <c r="D1327" i="2"/>
  <c r="A1328" i="2"/>
  <c r="B1328" i="2"/>
  <c r="C1328" i="2"/>
  <c r="D1328" i="2"/>
  <c r="A1329" i="2"/>
  <c r="B1329" i="2"/>
  <c r="C1329" i="2"/>
  <c r="D1329" i="2"/>
  <c r="A1330" i="2"/>
  <c r="B1330" i="2"/>
  <c r="C1330" i="2"/>
  <c r="D1330" i="2"/>
  <c r="A1331" i="2"/>
  <c r="B1331" i="2"/>
  <c r="C1331" i="2"/>
  <c r="D1331" i="2"/>
  <c r="A1332" i="2"/>
  <c r="B1332" i="2"/>
  <c r="C1332" i="2"/>
  <c r="D1332" i="2"/>
  <c r="A1333" i="2"/>
  <c r="B1333" i="2"/>
  <c r="C1333" i="2"/>
  <c r="D1333" i="2"/>
  <c r="A1334" i="2"/>
  <c r="B1334" i="2"/>
  <c r="C1334" i="2"/>
  <c r="D1334" i="2"/>
  <c r="A1335" i="2"/>
  <c r="B1335" i="2"/>
  <c r="C1335" i="2"/>
  <c r="D1335" i="2"/>
  <c r="A1336" i="2"/>
  <c r="B1336" i="2"/>
  <c r="C1336" i="2"/>
  <c r="D1336" i="2"/>
  <c r="A1337" i="2"/>
  <c r="B1337" i="2"/>
  <c r="C1337" i="2"/>
  <c r="D1337" i="2"/>
  <c r="A1338" i="2"/>
  <c r="B1338" i="2"/>
  <c r="C1338" i="2"/>
  <c r="D1338" i="2"/>
  <c r="A1339" i="2"/>
  <c r="B1339" i="2"/>
  <c r="C1339" i="2"/>
  <c r="D1339" i="2"/>
  <c r="A1340" i="2"/>
  <c r="B1340" i="2"/>
  <c r="C1340" i="2"/>
  <c r="D1340" i="2"/>
  <c r="A1341" i="2"/>
  <c r="B1341" i="2"/>
  <c r="C1341" i="2"/>
  <c r="D1341" i="2"/>
  <c r="A1342" i="2"/>
  <c r="B1342" i="2"/>
  <c r="C1342" i="2"/>
  <c r="D1342" i="2"/>
  <c r="A1343" i="2"/>
  <c r="B1343" i="2"/>
  <c r="C1343" i="2"/>
  <c r="D1343" i="2"/>
  <c r="A1344" i="2"/>
  <c r="B1344" i="2"/>
  <c r="C1344" i="2"/>
  <c r="D1344" i="2"/>
  <c r="A1345" i="2"/>
  <c r="B1345" i="2"/>
  <c r="C1345" i="2"/>
  <c r="D1345" i="2"/>
  <c r="A1346" i="2"/>
  <c r="B1346" i="2"/>
  <c r="C1346" i="2"/>
  <c r="D1346" i="2"/>
  <c r="A1347" i="2"/>
  <c r="B1347" i="2"/>
  <c r="C1347" i="2"/>
  <c r="D1347" i="2"/>
  <c r="A1348" i="2"/>
  <c r="B1348" i="2"/>
  <c r="C1348" i="2"/>
  <c r="D1348" i="2"/>
  <c r="A1349" i="2"/>
  <c r="B1349" i="2"/>
  <c r="C1349" i="2"/>
  <c r="D1349" i="2"/>
  <c r="A1350" i="2"/>
  <c r="B1350" i="2"/>
  <c r="C1350" i="2"/>
  <c r="D1350" i="2"/>
  <c r="A1351" i="2"/>
  <c r="B1351" i="2"/>
  <c r="C1351" i="2"/>
  <c r="D1351" i="2"/>
  <c r="A1352" i="2"/>
  <c r="B1352" i="2"/>
  <c r="C1352" i="2"/>
  <c r="D1352" i="2"/>
  <c r="A1353" i="2"/>
  <c r="B1353" i="2"/>
  <c r="C1353" i="2"/>
  <c r="D1353" i="2"/>
  <c r="A1354" i="2"/>
  <c r="B1354" i="2"/>
  <c r="C1354" i="2"/>
  <c r="D1354" i="2"/>
  <c r="A1355" i="2"/>
  <c r="B1355" i="2"/>
  <c r="C1355" i="2"/>
  <c r="D1355" i="2"/>
  <c r="A1356" i="2"/>
  <c r="B1356" i="2"/>
  <c r="C1356" i="2"/>
  <c r="D1356" i="2"/>
  <c r="A1357" i="2"/>
  <c r="B1357" i="2"/>
  <c r="C1357" i="2"/>
  <c r="D1357" i="2"/>
  <c r="A1358" i="2"/>
  <c r="B1358" i="2"/>
  <c r="C1358" i="2"/>
  <c r="D1358" i="2"/>
  <c r="A1359" i="2"/>
  <c r="B1359" i="2"/>
  <c r="C1359" i="2"/>
  <c r="D1359" i="2"/>
  <c r="A1360" i="2"/>
  <c r="B1360" i="2"/>
  <c r="C1360" i="2"/>
  <c r="D1360" i="2"/>
  <c r="A1361" i="2"/>
  <c r="B1361" i="2"/>
  <c r="C1361" i="2"/>
  <c r="D1361" i="2"/>
  <c r="A1362" i="2"/>
  <c r="B1362" i="2"/>
  <c r="C1362" i="2"/>
  <c r="D1362" i="2"/>
  <c r="A1363" i="2"/>
  <c r="B1363" i="2"/>
  <c r="C1363" i="2"/>
  <c r="D1363" i="2"/>
  <c r="A1364" i="2"/>
  <c r="B1364" i="2"/>
  <c r="C1364" i="2"/>
  <c r="D1364" i="2"/>
  <c r="A1365" i="2"/>
  <c r="B1365" i="2"/>
  <c r="C1365" i="2"/>
  <c r="D1365" i="2"/>
  <c r="A1366" i="2"/>
  <c r="B1366" i="2"/>
  <c r="C1366" i="2"/>
  <c r="D1366" i="2"/>
  <c r="A1367" i="2"/>
  <c r="B1367" i="2"/>
  <c r="C1367" i="2"/>
  <c r="D1367" i="2"/>
  <c r="A1368" i="2"/>
  <c r="B1368" i="2"/>
  <c r="C1368" i="2"/>
  <c r="D1368" i="2"/>
  <c r="A1369" i="2"/>
  <c r="B1369" i="2"/>
  <c r="C1369" i="2"/>
  <c r="D1369" i="2"/>
  <c r="A1370" i="2"/>
  <c r="B1370" i="2"/>
  <c r="C1370" i="2"/>
  <c r="D1370" i="2"/>
  <c r="A1371" i="2"/>
  <c r="B1371" i="2"/>
  <c r="C1371" i="2"/>
  <c r="D1371" i="2"/>
  <c r="A1372" i="2"/>
  <c r="B1372" i="2"/>
  <c r="C1372" i="2"/>
  <c r="D1372" i="2"/>
  <c r="A1373" i="2"/>
  <c r="B1373" i="2"/>
  <c r="C1373" i="2"/>
  <c r="D1373" i="2"/>
  <c r="A1374" i="2"/>
  <c r="B1374" i="2"/>
  <c r="C1374" i="2"/>
  <c r="D1374" i="2"/>
  <c r="A1375" i="2"/>
  <c r="B1375" i="2"/>
  <c r="C1375" i="2"/>
  <c r="D1375" i="2"/>
  <c r="A1376" i="2"/>
  <c r="B1376" i="2"/>
  <c r="C1376" i="2"/>
  <c r="D1376" i="2"/>
  <c r="A1377" i="2"/>
  <c r="B1377" i="2"/>
  <c r="C1377" i="2"/>
  <c r="D1377" i="2"/>
  <c r="A1378" i="2"/>
  <c r="B1378" i="2"/>
  <c r="C1378" i="2"/>
  <c r="D1378" i="2"/>
  <c r="A1379" i="2"/>
  <c r="B1379" i="2"/>
  <c r="C1379" i="2"/>
  <c r="D1379" i="2"/>
  <c r="A1380" i="2"/>
  <c r="B1380" i="2"/>
  <c r="C1380" i="2"/>
  <c r="D1380" i="2"/>
  <c r="A1381" i="2"/>
  <c r="B1381" i="2"/>
  <c r="C1381" i="2"/>
  <c r="D1381" i="2"/>
  <c r="A1382" i="2"/>
  <c r="B1382" i="2"/>
  <c r="C1382" i="2"/>
  <c r="D1382" i="2"/>
  <c r="A1383" i="2"/>
  <c r="B1383" i="2"/>
  <c r="C1383" i="2"/>
  <c r="D1383" i="2"/>
  <c r="A1384" i="2"/>
  <c r="B1384" i="2"/>
  <c r="C1384" i="2"/>
  <c r="D1384" i="2"/>
  <c r="A1385" i="2"/>
  <c r="B1385" i="2"/>
  <c r="C1385" i="2"/>
  <c r="D1385" i="2"/>
  <c r="A1386" i="2"/>
  <c r="B1386" i="2"/>
  <c r="C1386" i="2"/>
  <c r="D1386" i="2"/>
  <c r="A1387" i="2"/>
  <c r="B1387" i="2"/>
  <c r="C1387" i="2"/>
  <c r="D1387" i="2"/>
  <c r="A1388" i="2"/>
  <c r="B1388" i="2"/>
  <c r="C1388" i="2"/>
  <c r="D1388" i="2"/>
  <c r="A1389" i="2"/>
  <c r="B1389" i="2"/>
  <c r="C1389" i="2"/>
  <c r="D1389" i="2"/>
  <c r="A1390" i="2"/>
  <c r="B1390" i="2"/>
  <c r="C1390" i="2"/>
  <c r="D1390" i="2"/>
  <c r="A1391" i="2"/>
  <c r="B1391" i="2"/>
  <c r="C1391" i="2"/>
  <c r="D1391" i="2"/>
  <c r="A1392" i="2"/>
  <c r="B1392" i="2"/>
  <c r="C1392" i="2"/>
  <c r="D1392" i="2"/>
  <c r="A1393" i="2"/>
  <c r="B1393" i="2"/>
  <c r="C1393" i="2"/>
  <c r="D1393" i="2"/>
  <c r="A1394" i="2"/>
  <c r="B1394" i="2"/>
  <c r="C1394" i="2"/>
  <c r="D1394" i="2"/>
  <c r="A1395" i="2"/>
  <c r="B1395" i="2"/>
  <c r="C1395" i="2"/>
  <c r="D1395" i="2"/>
  <c r="A1396" i="2"/>
  <c r="B1396" i="2"/>
  <c r="C1396" i="2"/>
  <c r="D1396" i="2"/>
  <c r="A1397" i="2"/>
  <c r="B1397" i="2"/>
  <c r="C1397" i="2"/>
  <c r="D1397" i="2"/>
  <c r="A1398" i="2"/>
  <c r="B1398" i="2"/>
  <c r="C1398" i="2"/>
  <c r="D1398" i="2"/>
  <c r="A1399" i="2"/>
  <c r="B1399" i="2"/>
  <c r="C1399" i="2"/>
  <c r="D1399" i="2"/>
  <c r="A1400" i="2"/>
  <c r="B1400" i="2"/>
  <c r="C1400" i="2"/>
  <c r="D1400" i="2"/>
  <c r="A1401" i="2"/>
  <c r="B1401" i="2"/>
  <c r="C1401" i="2"/>
  <c r="D1401" i="2"/>
  <c r="A1402" i="2"/>
  <c r="B1402" i="2"/>
  <c r="C1402" i="2"/>
  <c r="D1402" i="2"/>
  <c r="A1403" i="2"/>
  <c r="B1403" i="2"/>
  <c r="C1403" i="2"/>
  <c r="D1403" i="2"/>
  <c r="A1404" i="2"/>
  <c r="B1404" i="2"/>
  <c r="C1404" i="2"/>
  <c r="D1404" i="2"/>
  <c r="A1405" i="2"/>
  <c r="B1405" i="2"/>
  <c r="C1405" i="2"/>
  <c r="D1405" i="2"/>
  <c r="A1406" i="2"/>
  <c r="B1406" i="2"/>
  <c r="C1406" i="2"/>
  <c r="D1406" i="2"/>
  <c r="A1407" i="2"/>
  <c r="B1407" i="2"/>
  <c r="C1407" i="2"/>
  <c r="D1407" i="2"/>
  <c r="A1408" i="2"/>
  <c r="B1408" i="2"/>
  <c r="C1408" i="2"/>
  <c r="D1408" i="2"/>
  <c r="A1409" i="2"/>
  <c r="B1409" i="2"/>
  <c r="C1409" i="2"/>
  <c r="D1409" i="2"/>
  <c r="A1410" i="2"/>
  <c r="B1410" i="2"/>
  <c r="C1410" i="2"/>
  <c r="D1410" i="2"/>
  <c r="A1411" i="2"/>
  <c r="B1411" i="2"/>
  <c r="C1411" i="2"/>
  <c r="D1411" i="2"/>
  <c r="A1412" i="2"/>
  <c r="B1412" i="2"/>
  <c r="C1412" i="2"/>
  <c r="D1412" i="2"/>
  <c r="A1413" i="2"/>
  <c r="B1413" i="2"/>
  <c r="C1413" i="2"/>
  <c r="D1413" i="2"/>
  <c r="A1414" i="2"/>
  <c r="B1414" i="2"/>
  <c r="C1414" i="2"/>
  <c r="D1414" i="2"/>
  <c r="A1415" i="2"/>
  <c r="B1415" i="2"/>
  <c r="C1415" i="2"/>
  <c r="D1415" i="2"/>
  <c r="A1416" i="2"/>
  <c r="B1416" i="2"/>
  <c r="C1416" i="2"/>
  <c r="D1416" i="2"/>
  <c r="A1417" i="2"/>
  <c r="B1417" i="2"/>
  <c r="C1417" i="2"/>
  <c r="D1417" i="2"/>
  <c r="A1418" i="2"/>
  <c r="B1418" i="2"/>
  <c r="C1418" i="2"/>
  <c r="D1418" i="2"/>
  <c r="A1419" i="2"/>
  <c r="B1419" i="2"/>
  <c r="C1419" i="2"/>
  <c r="D1419" i="2"/>
  <c r="A1420" i="2"/>
  <c r="B1420" i="2"/>
  <c r="C1420" i="2"/>
  <c r="D1420" i="2"/>
  <c r="A1421" i="2"/>
  <c r="B1421" i="2"/>
  <c r="C1421" i="2"/>
  <c r="D1421" i="2"/>
  <c r="A1422" i="2"/>
  <c r="B1422" i="2"/>
  <c r="C1422" i="2"/>
  <c r="D1422" i="2"/>
  <c r="A1423" i="2"/>
  <c r="B1423" i="2"/>
  <c r="C1423" i="2"/>
  <c r="D1423" i="2"/>
  <c r="A1424" i="2"/>
  <c r="B1424" i="2"/>
  <c r="C1424" i="2"/>
  <c r="D1424" i="2"/>
  <c r="A1425" i="2"/>
  <c r="B1425" i="2"/>
  <c r="C1425" i="2"/>
  <c r="D1425" i="2"/>
  <c r="A1426" i="2"/>
  <c r="B1426" i="2"/>
  <c r="C1426" i="2"/>
  <c r="D1426" i="2"/>
  <c r="A1427" i="2"/>
  <c r="B1427" i="2"/>
  <c r="C1427" i="2"/>
  <c r="D1427" i="2"/>
  <c r="A1428" i="2"/>
  <c r="B1428" i="2"/>
  <c r="C1428" i="2"/>
  <c r="D1428" i="2"/>
  <c r="A1429" i="2"/>
  <c r="B1429" i="2"/>
  <c r="C1429" i="2"/>
  <c r="D1429" i="2"/>
  <c r="A1430" i="2"/>
  <c r="B1430" i="2"/>
  <c r="C1430" i="2"/>
  <c r="D1430" i="2"/>
  <c r="A1431" i="2"/>
  <c r="B1431" i="2"/>
  <c r="C1431" i="2"/>
  <c r="D1431" i="2"/>
  <c r="A1432" i="2"/>
  <c r="B1432" i="2"/>
  <c r="C1432" i="2"/>
  <c r="D1432" i="2"/>
  <c r="A1433" i="2"/>
  <c r="B1433" i="2"/>
  <c r="C1433" i="2"/>
  <c r="D1433" i="2"/>
  <c r="A1434" i="2"/>
  <c r="B1434" i="2"/>
  <c r="C1434" i="2"/>
  <c r="D1434" i="2"/>
  <c r="A1435" i="2"/>
  <c r="B1435" i="2"/>
  <c r="C1435" i="2"/>
  <c r="D1435" i="2"/>
  <c r="A1436" i="2"/>
  <c r="B1436" i="2"/>
  <c r="C1436" i="2"/>
  <c r="D1436" i="2"/>
  <c r="A1437" i="2"/>
  <c r="B1437" i="2"/>
  <c r="C1437" i="2"/>
  <c r="D1437" i="2"/>
  <c r="A1438" i="2"/>
  <c r="B1438" i="2"/>
  <c r="C1438" i="2"/>
  <c r="D1438" i="2"/>
  <c r="A1439" i="2"/>
  <c r="B1439" i="2"/>
  <c r="C1439" i="2"/>
  <c r="D1439" i="2"/>
  <c r="A1440" i="2"/>
  <c r="B1440" i="2"/>
  <c r="C1440" i="2"/>
  <c r="D1440" i="2"/>
  <c r="A1441" i="2"/>
  <c r="B1441" i="2"/>
  <c r="C1441" i="2"/>
  <c r="D1441" i="2"/>
  <c r="A1442" i="2"/>
  <c r="B1442" i="2"/>
  <c r="C1442" i="2"/>
  <c r="D1442" i="2"/>
  <c r="A1443" i="2"/>
  <c r="B1443" i="2"/>
  <c r="C1443" i="2"/>
  <c r="D1443" i="2"/>
  <c r="A1444" i="2"/>
  <c r="B1444" i="2"/>
  <c r="C1444" i="2"/>
  <c r="D1444" i="2"/>
  <c r="A1445" i="2"/>
  <c r="B1445" i="2"/>
  <c r="C1445" i="2"/>
  <c r="D1445" i="2"/>
  <c r="A1446" i="2"/>
  <c r="B1446" i="2"/>
  <c r="C1446" i="2"/>
  <c r="D1446" i="2"/>
  <c r="A1447" i="2"/>
  <c r="B1447" i="2"/>
  <c r="C1447" i="2"/>
  <c r="D1447" i="2"/>
  <c r="A1448" i="2"/>
  <c r="B1448" i="2"/>
  <c r="C1448" i="2"/>
  <c r="D1448" i="2"/>
  <c r="A1449" i="2"/>
  <c r="B1449" i="2"/>
  <c r="C1449" i="2"/>
  <c r="D1449" i="2"/>
  <c r="A1450" i="2"/>
  <c r="B1450" i="2"/>
  <c r="C1450" i="2"/>
  <c r="D1450" i="2"/>
  <c r="A1451" i="2"/>
  <c r="B1451" i="2"/>
  <c r="C1451" i="2"/>
  <c r="D1451" i="2"/>
  <c r="A1452" i="2"/>
  <c r="B1452" i="2"/>
  <c r="C1452" i="2"/>
  <c r="D1452" i="2"/>
  <c r="A1453" i="2"/>
  <c r="B1453" i="2"/>
  <c r="C1453" i="2"/>
  <c r="D1453" i="2"/>
  <c r="A1454" i="2"/>
  <c r="B1454" i="2"/>
  <c r="C1454" i="2"/>
  <c r="D1454" i="2"/>
  <c r="A1455" i="2"/>
  <c r="B1455" i="2"/>
  <c r="C1455" i="2"/>
  <c r="D1455" i="2"/>
  <c r="A1456" i="2"/>
  <c r="B1456" i="2"/>
  <c r="C1456" i="2"/>
  <c r="D1456" i="2"/>
  <c r="A1457" i="2"/>
  <c r="B1457" i="2"/>
  <c r="C1457" i="2"/>
  <c r="D1457" i="2"/>
  <c r="A1458" i="2"/>
  <c r="B1458" i="2"/>
  <c r="C1458" i="2"/>
  <c r="D1458" i="2"/>
  <c r="A1459" i="2"/>
  <c r="B1459" i="2"/>
  <c r="C1459" i="2"/>
  <c r="D1459" i="2"/>
  <c r="A1460" i="2"/>
  <c r="B1460" i="2"/>
  <c r="C1460" i="2"/>
  <c r="D1460" i="2"/>
  <c r="A1461" i="2"/>
  <c r="B1461" i="2"/>
  <c r="C1461" i="2"/>
  <c r="D1461" i="2"/>
  <c r="A1462" i="2"/>
  <c r="B1462" i="2"/>
  <c r="C1462" i="2"/>
  <c r="D1462" i="2"/>
  <c r="A1463" i="2"/>
  <c r="B1463" i="2"/>
  <c r="C1463" i="2"/>
  <c r="D1463" i="2"/>
  <c r="A1464" i="2"/>
  <c r="B1464" i="2"/>
  <c r="C1464" i="2"/>
  <c r="D1464" i="2"/>
  <c r="A1465" i="2"/>
  <c r="B1465" i="2"/>
  <c r="C1465" i="2"/>
  <c r="D1465" i="2"/>
  <c r="A1466" i="2"/>
  <c r="B1466" i="2"/>
  <c r="C1466" i="2"/>
  <c r="D1466" i="2"/>
  <c r="A1467" i="2"/>
  <c r="B1467" i="2"/>
  <c r="C1467" i="2"/>
  <c r="D1467" i="2"/>
  <c r="A1468" i="2"/>
  <c r="B1468" i="2"/>
  <c r="C1468" i="2"/>
  <c r="D1468" i="2"/>
  <c r="A1469" i="2"/>
  <c r="B1469" i="2"/>
  <c r="C1469" i="2"/>
  <c r="D1469" i="2"/>
  <c r="A1470" i="2"/>
  <c r="B1470" i="2"/>
  <c r="C1470" i="2"/>
  <c r="D1470" i="2"/>
  <c r="A1471" i="2"/>
  <c r="B1471" i="2"/>
  <c r="C1471" i="2"/>
  <c r="D1471" i="2"/>
  <c r="A1472" i="2"/>
  <c r="B1472" i="2"/>
  <c r="C1472" i="2"/>
  <c r="D1472" i="2"/>
  <c r="A1473" i="2"/>
  <c r="B1473" i="2"/>
  <c r="C1473" i="2"/>
  <c r="D1473" i="2"/>
  <c r="A1474" i="2"/>
  <c r="B1474" i="2"/>
  <c r="C1474" i="2"/>
  <c r="D1474" i="2"/>
  <c r="A1475" i="2"/>
  <c r="B1475" i="2"/>
  <c r="C1475" i="2"/>
  <c r="D1475" i="2"/>
  <c r="A1476" i="2"/>
  <c r="B1476" i="2"/>
  <c r="C1476" i="2"/>
  <c r="D1476" i="2"/>
  <c r="A1477" i="2"/>
  <c r="B1477" i="2"/>
  <c r="C1477" i="2"/>
  <c r="D1477" i="2"/>
  <c r="A1478" i="2"/>
  <c r="B1478" i="2"/>
  <c r="C1478" i="2"/>
  <c r="D1478" i="2"/>
  <c r="A1479" i="2"/>
  <c r="B1479" i="2"/>
  <c r="C1479" i="2"/>
  <c r="D1479" i="2"/>
  <c r="A1480" i="2"/>
  <c r="B1480" i="2"/>
  <c r="C1480" i="2"/>
  <c r="D1480" i="2"/>
  <c r="A1481" i="2"/>
  <c r="B1481" i="2"/>
  <c r="C1481" i="2"/>
  <c r="D1481" i="2"/>
  <c r="A1482" i="2"/>
  <c r="B1482" i="2"/>
  <c r="C1482" i="2"/>
  <c r="D1482" i="2"/>
  <c r="A1483" i="2"/>
  <c r="B1483" i="2"/>
  <c r="C1483" i="2"/>
  <c r="D1483" i="2"/>
  <c r="A1484" i="2"/>
  <c r="B1484" i="2"/>
  <c r="C1484" i="2"/>
  <c r="D1484" i="2"/>
  <c r="A1485" i="2"/>
  <c r="B1485" i="2"/>
  <c r="C1485" i="2"/>
  <c r="D1485" i="2"/>
  <c r="A1486" i="2"/>
  <c r="B1486" i="2"/>
  <c r="C1486" i="2"/>
  <c r="D1486" i="2"/>
  <c r="A1487" i="2"/>
  <c r="B1487" i="2"/>
  <c r="C1487" i="2"/>
  <c r="D1487" i="2"/>
  <c r="A1488" i="2"/>
  <c r="B1488" i="2"/>
  <c r="C1488" i="2"/>
  <c r="D1488" i="2"/>
  <c r="A1489" i="2"/>
  <c r="B1489" i="2"/>
  <c r="C1489" i="2"/>
  <c r="D1489" i="2"/>
  <c r="A1490" i="2"/>
  <c r="B1490" i="2"/>
  <c r="C1490" i="2"/>
  <c r="D1490" i="2"/>
  <c r="A1491" i="2"/>
  <c r="B1491" i="2"/>
  <c r="C1491" i="2"/>
  <c r="D1491" i="2"/>
  <c r="A1492" i="2"/>
  <c r="B1492" i="2"/>
  <c r="C1492" i="2"/>
  <c r="D1492" i="2"/>
  <c r="A1493" i="2"/>
  <c r="B1493" i="2"/>
  <c r="C1493" i="2"/>
  <c r="D1493" i="2"/>
  <c r="A1494" i="2"/>
  <c r="B1494" i="2"/>
  <c r="C1494" i="2"/>
  <c r="D1494" i="2"/>
  <c r="A1495" i="2"/>
  <c r="B1495" i="2"/>
  <c r="C1495" i="2"/>
  <c r="D1495" i="2"/>
  <c r="A1496" i="2"/>
  <c r="B1496" i="2"/>
  <c r="C1496" i="2"/>
  <c r="D1496" i="2"/>
  <c r="A1497" i="2"/>
  <c r="B1497" i="2"/>
  <c r="C1497" i="2"/>
  <c r="D1497" i="2"/>
  <c r="A1498" i="2"/>
  <c r="B1498" i="2"/>
  <c r="C1498" i="2"/>
  <c r="D1498" i="2"/>
  <c r="A1499" i="2"/>
  <c r="B1499" i="2"/>
  <c r="C1499" i="2"/>
  <c r="D1499" i="2"/>
  <c r="A1500" i="2"/>
  <c r="B1500" i="2"/>
  <c r="C1500" i="2"/>
  <c r="D1500" i="2"/>
  <c r="A1501" i="2"/>
  <c r="B1501" i="2"/>
  <c r="C1501" i="2"/>
  <c r="D1501" i="2"/>
  <c r="A3" i="1"/>
  <c r="B3" i="1" a="1"/>
  <c r="B3" i="1" s="1"/>
  <c r="C3" i="1" s="1" a="1"/>
  <c r="C3" i="1" s="1"/>
  <c r="D3" i="1" a="1"/>
  <c r="D3" i="1" s="1"/>
  <c r="E3" i="1"/>
  <c r="F3" i="1"/>
  <c r="G3" i="1"/>
  <c r="H3" i="1"/>
  <c r="I3" i="1"/>
  <c r="A4" i="1"/>
  <c r="B4" i="1" a="1"/>
  <c r="B4" i="1" s="1"/>
  <c r="C4" i="1" s="1" a="1"/>
  <c r="C4" i="1" s="1"/>
  <c r="D4" i="1" a="1"/>
  <c r="D4" i="1" s="1"/>
  <c r="E4" i="1"/>
  <c r="F4" i="1"/>
  <c r="G4" i="1"/>
  <c r="H4" i="1"/>
  <c r="L4" i="1" s="1"/>
  <c r="I4" i="1"/>
  <c r="A5" i="1"/>
  <c r="B5" i="1" a="1"/>
  <c r="B5" i="1" s="1"/>
  <c r="C5" i="1" s="1" a="1"/>
  <c r="C5" i="1" s="1"/>
  <c r="D5" i="1" a="1"/>
  <c r="D5" i="1" s="1"/>
  <c r="E5" i="1"/>
  <c r="F5" i="1"/>
  <c r="G5" i="1"/>
  <c r="H5" i="1"/>
  <c r="I5" i="1"/>
  <c r="A6" i="1"/>
  <c r="B6" i="1" a="1"/>
  <c r="B6" i="1" s="1"/>
  <c r="C6" i="1" s="1" a="1"/>
  <c r="C6" i="1" s="1"/>
  <c r="D6" i="1" a="1"/>
  <c r="D6" i="1" s="1"/>
  <c r="E6" i="1"/>
  <c r="F6" i="1"/>
  <c r="G6" i="1"/>
  <c r="H6" i="1"/>
  <c r="I6" i="1"/>
  <c r="A7" i="1"/>
  <c r="B7" i="1" a="1"/>
  <c r="B7" i="1" s="1"/>
  <c r="C7" i="1" s="1" a="1"/>
  <c r="C7" i="1" s="1"/>
  <c r="D7" i="1" a="1"/>
  <c r="D7" i="1" s="1"/>
  <c r="E7" i="1"/>
  <c r="F7" i="1"/>
  <c r="G7" i="1"/>
  <c r="H7" i="1"/>
  <c r="L7" i="1" s="1"/>
  <c r="I7" i="1"/>
  <c r="A8" i="1"/>
  <c r="B8" i="1" a="1"/>
  <c r="B8" i="1" s="1"/>
  <c r="C8" i="1" s="1" a="1"/>
  <c r="C8" i="1" s="1"/>
  <c r="D8" i="1" a="1"/>
  <c r="D8" i="1" s="1"/>
  <c r="E8" i="1"/>
  <c r="F8" i="1"/>
  <c r="G8" i="1"/>
  <c r="H8" i="1"/>
  <c r="M8" i="1" s="1"/>
  <c r="I8" i="1"/>
  <c r="A9" i="1"/>
  <c r="B9" i="1" a="1"/>
  <c r="B9" i="1" s="1"/>
  <c r="C9" i="1" s="1" a="1"/>
  <c r="C9" i="1" s="1"/>
  <c r="D9" i="1" a="1"/>
  <c r="D9" i="1" s="1"/>
  <c r="E9" i="1"/>
  <c r="F9" i="1"/>
  <c r="G9" i="1"/>
  <c r="H9" i="1"/>
  <c r="I9" i="1"/>
  <c r="A10" i="1"/>
  <c r="B10" i="1" a="1"/>
  <c r="B10" i="1" s="1"/>
  <c r="C10" i="1" s="1" a="1"/>
  <c r="C10" i="1" s="1"/>
  <c r="D10" i="1" a="1"/>
  <c r="D10" i="1" s="1"/>
  <c r="E10" i="1"/>
  <c r="F10" i="1"/>
  <c r="G10" i="1"/>
  <c r="H10" i="1"/>
  <c r="I10" i="1"/>
  <c r="A11" i="1"/>
  <c r="B11" i="1" a="1"/>
  <c r="B11" i="1" s="1"/>
  <c r="C11" i="1" s="1" a="1"/>
  <c r="C11" i="1" s="1"/>
  <c r="D11" i="1" a="1"/>
  <c r="D11" i="1" s="1"/>
  <c r="E11" i="1"/>
  <c r="F11" i="1"/>
  <c r="G11" i="1"/>
  <c r="H11" i="1"/>
  <c r="I11" i="1"/>
  <c r="A12" i="1"/>
  <c r="B12" i="1" a="1"/>
  <c r="B12" i="1" s="1"/>
  <c r="C12" i="1" s="1" a="1"/>
  <c r="C12" i="1" s="1"/>
  <c r="D12" i="1" a="1"/>
  <c r="D12" i="1" s="1"/>
  <c r="E12" i="1"/>
  <c r="F12" i="1"/>
  <c r="G12" i="1"/>
  <c r="H12" i="1"/>
  <c r="I12" i="1"/>
  <c r="A13" i="1"/>
  <c r="B13" i="1" a="1"/>
  <c r="B13" i="1" s="1"/>
  <c r="C13" i="1" s="1" a="1"/>
  <c r="C13" i="1" s="1"/>
  <c r="D13" i="1" a="1"/>
  <c r="D13" i="1" s="1"/>
  <c r="E13" i="1"/>
  <c r="F13" i="1"/>
  <c r="G13" i="1"/>
  <c r="H13" i="1"/>
  <c r="I13" i="1"/>
  <c r="A14" i="1"/>
  <c r="B14" i="1" a="1"/>
  <c r="B14" i="1" s="1"/>
  <c r="C14" i="1" s="1" a="1"/>
  <c r="C14" i="1" s="1"/>
  <c r="D14" i="1" a="1"/>
  <c r="D14" i="1" s="1"/>
  <c r="E14" i="1"/>
  <c r="F14" i="1"/>
  <c r="G14" i="1"/>
  <c r="H14" i="1"/>
  <c r="I14" i="1"/>
  <c r="A15" i="1"/>
  <c r="B15" i="1" a="1"/>
  <c r="B15" i="1" s="1"/>
  <c r="C15" i="1" s="1" a="1"/>
  <c r="C15" i="1" s="1"/>
  <c r="D15" i="1" a="1"/>
  <c r="D15" i="1" s="1"/>
  <c r="E15" i="1"/>
  <c r="F15" i="1"/>
  <c r="G15" i="1"/>
  <c r="H15" i="1"/>
  <c r="L15" i="1" s="1"/>
  <c r="I15" i="1"/>
  <c r="A16" i="1"/>
  <c r="B16" i="1" a="1"/>
  <c r="B16" i="1" s="1"/>
  <c r="C16" i="1" s="1" a="1"/>
  <c r="C16" i="1" s="1"/>
  <c r="D16" i="1" a="1"/>
  <c r="D16" i="1" s="1"/>
  <c r="E16" i="1"/>
  <c r="F16" i="1"/>
  <c r="G16" i="1"/>
  <c r="H16" i="1"/>
  <c r="I16" i="1"/>
  <c r="A17" i="1"/>
  <c r="B17" i="1" a="1"/>
  <c r="B17" i="1" s="1"/>
  <c r="C17" i="1" s="1" a="1"/>
  <c r="C17" i="1" s="1"/>
  <c r="D17" i="1" a="1"/>
  <c r="D17" i="1" s="1"/>
  <c r="E17" i="1"/>
  <c r="F17" i="1"/>
  <c r="G17" i="1"/>
  <c r="H17" i="1"/>
  <c r="L17" i="1" s="1"/>
  <c r="I17" i="1"/>
  <c r="A18" i="1"/>
  <c r="B18" i="1" a="1"/>
  <c r="B18" i="1" s="1"/>
  <c r="C18" i="1" s="1" a="1"/>
  <c r="C18" i="1" s="1"/>
  <c r="D18" i="1" a="1"/>
  <c r="D18" i="1" s="1"/>
  <c r="E18" i="1"/>
  <c r="F18" i="1"/>
  <c r="G18" i="1"/>
  <c r="H18" i="1"/>
  <c r="I18" i="1"/>
  <c r="A19" i="1"/>
  <c r="B19" i="1" a="1"/>
  <c r="B19" i="1" s="1"/>
  <c r="C19" i="1" s="1" a="1"/>
  <c r="C19" i="1" s="1"/>
  <c r="D19" i="1" a="1"/>
  <c r="D19" i="1" s="1"/>
  <c r="E19" i="1"/>
  <c r="F19" i="1"/>
  <c r="G19" i="1"/>
  <c r="H19" i="1"/>
  <c r="L19" i="1" s="1"/>
  <c r="I19" i="1"/>
  <c r="A20" i="1"/>
  <c r="B20" i="1" a="1"/>
  <c r="B20" i="1" s="1"/>
  <c r="C20" i="1" s="1" a="1"/>
  <c r="C20" i="1" s="1"/>
  <c r="D20" i="1" a="1"/>
  <c r="D20" i="1" s="1"/>
  <c r="E20" i="1"/>
  <c r="F20" i="1"/>
  <c r="G20" i="1"/>
  <c r="H20" i="1"/>
  <c r="I20" i="1"/>
  <c r="A21" i="1"/>
  <c r="B21" i="1" a="1"/>
  <c r="B21" i="1" s="1"/>
  <c r="C21" i="1" s="1" a="1"/>
  <c r="C21" i="1" s="1"/>
  <c r="D21" i="1" a="1"/>
  <c r="D21" i="1" s="1"/>
  <c r="E21" i="1"/>
  <c r="F21" i="1"/>
  <c r="G21" i="1"/>
  <c r="H21" i="1"/>
  <c r="L21" i="1" s="1"/>
  <c r="I21" i="1"/>
  <c r="A22" i="1"/>
  <c r="B22" i="1" a="1"/>
  <c r="B22" i="1" s="1"/>
  <c r="C22" i="1" s="1" a="1"/>
  <c r="C22" i="1" s="1"/>
  <c r="D22" i="1" a="1"/>
  <c r="D22" i="1" s="1"/>
  <c r="E22" i="1"/>
  <c r="F22" i="1"/>
  <c r="G22" i="1"/>
  <c r="H22" i="1"/>
  <c r="L22" i="1" s="1"/>
  <c r="I22" i="1"/>
  <c r="A23" i="1"/>
  <c r="B23" i="1" a="1"/>
  <c r="B23" i="1" s="1"/>
  <c r="C23" i="1" s="1" a="1"/>
  <c r="C23" i="1" s="1"/>
  <c r="D23" i="1" a="1"/>
  <c r="D23" i="1" s="1"/>
  <c r="E23" i="1"/>
  <c r="F23" i="1"/>
  <c r="G23" i="1"/>
  <c r="H23" i="1"/>
  <c r="I23" i="1"/>
  <c r="A24" i="1"/>
  <c r="B24" i="1" a="1"/>
  <c r="B24" i="1" s="1"/>
  <c r="C24" i="1" s="1" a="1"/>
  <c r="C24" i="1" s="1"/>
  <c r="D24" i="1" a="1"/>
  <c r="D24" i="1" s="1"/>
  <c r="E24" i="1"/>
  <c r="F24" i="1"/>
  <c r="G24" i="1"/>
  <c r="H24" i="1"/>
  <c r="I24" i="1"/>
  <c r="A25" i="1"/>
  <c r="B25" i="1" a="1"/>
  <c r="B25" i="1" s="1"/>
  <c r="C25" i="1" s="1" a="1"/>
  <c r="C25" i="1" s="1"/>
  <c r="D25" i="1" a="1"/>
  <c r="D25" i="1" s="1"/>
  <c r="E25" i="1"/>
  <c r="F25" i="1"/>
  <c r="G25" i="1"/>
  <c r="H25" i="1"/>
  <c r="I25" i="1"/>
  <c r="A26" i="1"/>
  <c r="B26" i="1" a="1"/>
  <c r="B26" i="1" s="1"/>
  <c r="C26" i="1" s="1" a="1"/>
  <c r="C26" i="1" s="1"/>
  <c r="D26" i="1" a="1"/>
  <c r="D26" i="1" s="1"/>
  <c r="E26" i="1"/>
  <c r="F26" i="1"/>
  <c r="G26" i="1"/>
  <c r="H26" i="1"/>
  <c r="I26" i="1"/>
  <c r="A27" i="1"/>
  <c r="B27" i="1" a="1"/>
  <c r="B27" i="1" s="1"/>
  <c r="C27" i="1" s="1" a="1"/>
  <c r="C27" i="1" s="1"/>
  <c r="D27" i="1" a="1"/>
  <c r="D27" i="1" s="1"/>
  <c r="E27" i="1"/>
  <c r="F27" i="1"/>
  <c r="G27" i="1"/>
  <c r="H27" i="1"/>
  <c r="L27" i="1" s="1"/>
  <c r="I27" i="1"/>
  <c r="A28" i="1"/>
  <c r="B28" i="1" a="1"/>
  <c r="B28" i="1" s="1"/>
  <c r="C28" i="1" s="1" a="1"/>
  <c r="C28" i="1" s="1"/>
  <c r="D28" i="1" a="1"/>
  <c r="D28" i="1" s="1"/>
  <c r="E28" i="1"/>
  <c r="F28" i="1"/>
  <c r="G28" i="1"/>
  <c r="H28" i="1"/>
  <c r="I28" i="1"/>
  <c r="A29" i="1"/>
  <c r="B29" i="1" a="1"/>
  <c r="B29" i="1" s="1"/>
  <c r="C29" i="1" s="1" a="1"/>
  <c r="C29" i="1" s="1"/>
  <c r="D29" i="1" a="1"/>
  <c r="D29" i="1" s="1"/>
  <c r="E29" i="1"/>
  <c r="F29" i="1"/>
  <c r="G29" i="1"/>
  <c r="H29" i="1"/>
  <c r="I29" i="1"/>
  <c r="A30" i="1"/>
  <c r="B30" i="1" a="1"/>
  <c r="B30" i="1" s="1"/>
  <c r="C30" i="1" s="1" a="1"/>
  <c r="C30" i="1" s="1"/>
  <c r="D30" i="1" a="1"/>
  <c r="D30" i="1" s="1"/>
  <c r="E30" i="1"/>
  <c r="F30" i="1"/>
  <c r="G30" i="1"/>
  <c r="H30" i="1"/>
  <c r="L30" i="1" s="1"/>
  <c r="I30" i="1"/>
  <c r="A31" i="1"/>
  <c r="B31" i="1" a="1"/>
  <c r="B31" i="1" s="1"/>
  <c r="C31" i="1" s="1" a="1"/>
  <c r="C31" i="1" s="1"/>
  <c r="D31" i="1" a="1"/>
  <c r="D31" i="1" s="1"/>
  <c r="E31" i="1"/>
  <c r="F31" i="1"/>
  <c r="G31" i="1"/>
  <c r="H31" i="1"/>
  <c r="M31" i="1" s="1"/>
  <c r="I31" i="1"/>
  <c r="A32" i="1"/>
  <c r="B32" i="1" a="1"/>
  <c r="B32" i="1" s="1"/>
  <c r="C32" i="1" s="1" a="1"/>
  <c r="C32" i="1" s="1"/>
  <c r="D32" i="1" a="1"/>
  <c r="D32" i="1" s="1"/>
  <c r="E32" i="1"/>
  <c r="F32" i="1"/>
  <c r="G32" i="1"/>
  <c r="H32" i="1"/>
  <c r="I32" i="1"/>
  <c r="A33" i="1"/>
  <c r="B33" i="1" a="1"/>
  <c r="B33" i="1" s="1"/>
  <c r="C33" i="1" s="1" a="1"/>
  <c r="C33" i="1" s="1"/>
  <c r="D33" i="1" a="1"/>
  <c r="D33" i="1" s="1"/>
  <c r="E33" i="1"/>
  <c r="F33" i="1"/>
  <c r="G33" i="1"/>
  <c r="H33" i="1"/>
  <c r="L33" i="1" s="1"/>
  <c r="I33" i="1"/>
  <c r="A34" i="1"/>
  <c r="B34" i="1" a="1"/>
  <c r="B34" i="1" s="1"/>
  <c r="C34" i="1" s="1" a="1"/>
  <c r="C34" i="1" s="1"/>
  <c r="D34" i="1" a="1"/>
  <c r="D34" i="1" s="1"/>
  <c r="E34" i="1"/>
  <c r="F34" i="1"/>
  <c r="G34" i="1"/>
  <c r="H34" i="1"/>
  <c r="I34" i="1"/>
  <c r="A35" i="1"/>
  <c r="B35" i="1" a="1"/>
  <c r="B35" i="1" s="1"/>
  <c r="C35" i="1" s="1" a="1"/>
  <c r="C35" i="1" s="1"/>
  <c r="D35" i="1" a="1"/>
  <c r="D35" i="1" s="1"/>
  <c r="E35" i="1"/>
  <c r="F35" i="1"/>
  <c r="G35" i="1"/>
  <c r="H35" i="1"/>
  <c r="I35" i="1"/>
  <c r="A36" i="1"/>
  <c r="B36" i="1" a="1"/>
  <c r="B36" i="1" s="1"/>
  <c r="C36" i="1" s="1" a="1"/>
  <c r="C36" i="1" s="1"/>
  <c r="D36" i="1" a="1"/>
  <c r="D36" i="1" s="1"/>
  <c r="E36" i="1"/>
  <c r="F36" i="1"/>
  <c r="G36" i="1"/>
  <c r="H36" i="1"/>
  <c r="I36" i="1"/>
  <c r="A37" i="1"/>
  <c r="B37" i="1" a="1"/>
  <c r="B37" i="1" s="1"/>
  <c r="C37" i="1" s="1" a="1"/>
  <c r="C37" i="1" s="1"/>
  <c r="D37" i="1" a="1"/>
  <c r="D37" i="1" s="1"/>
  <c r="E37" i="1"/>
  <c r="F37" i="1"/>
  <c r="G37" i="1"/>
  <c r="H37" i="1"/>
  <c r="I37" i="1"/>
  <c r="A38" i="1"/>
  <c r="B38" i="1" a="1"/>
  <c r="B38" i="1" s="1"/>
  <c r="C38" i="1" s="1" a="1"/>
  <c r="C38" i="1" s="1"/>
  <c r="D38" i="1" a="1"/>
  <c r="D38" i="1" s="1"/>
  <c r="E38" i="1"/>
  <c r="F38" i="1"/>
  <c r="G38" i="1"/>
  <c r="H38" i="1"/>
  <c r="L38" i="1" s="1"/>
  <c r="I38" i="1"/>
  <c r="A39" i="1"/>
  <c r="B39" i="1" a="1"/>
  <c r="B39" i="1" s="1"/>
  <c r="C39" i="1" s="1" a="1"/>
  <c r="C39" i="1" s="1"/>
  <c r="D39" i="1" a="1"/>
  <c r="D39" i="1" s="1"/>
  <c r="E39" i="1"/>
  <c r="F39" i="1"/>
  <c r="G39" i="1"/>
  <c r="H39" i="1"/>
  <c r="I39" i="1"/>
  <c r="A40" i="1"/>
  <c r="B40" i="1" a="1"/>
  <c r="B40" i="1" s="1"/>
  <c r="C40" i="1" s="1" a="1"/>
  <c r="C40" i="1" s="1"/>
  <c r="D40" i="1" a="1"/>
  <c r="D40" i="1" s="1"/>
  <c r="E40" i="1"/>
  <c r="F40" i="1"/>
  <c r="G40" i="1"/>
  <c r="H40" i="1"/>
  <c r="L40" i="1" s="1"/>
  <c r="I40" i="1"/>
  <c r="A41" i="1"/>
  <c r="B41" i="1" a="1"/>
  <c r="B41" i="1" s="1"/>
  <c r="C41" i="1" s="1" a="1"/>
  <c r="C41" i="1" s="1"/>
  <c r="D41" i="1" a="1"/>
  <c r="D41" i="1" s="1"/>
  <c r="E41" i="1"/>
  <c r="F41" i="1"/>
  <c r="G41" i="1"/>
  <c r="H41" i="1"/>
  <c r="I41" i="1"/>
  <c r="A42" i="1"/>
  <c r="B42" i="1" a="1"/>
  <c r="B42" i="1" s="1"/>
  <c r="C42" i="1" s="1" a="1"/>
  <c r="C42" i="1" s="1"/>
  <c r="D42" i="1" a="1"/>
  <c r="D42" i="1" s="1"/>
  <c r="E42" i="1"/>
  <c r="F42" i="1"/>
  <c r="G42" i="1"/>
  <c r="H42" i="1"/>
  <c r="M42" i="1" s="1"/>
  <c r="I42" i="1"/>
  <c r="A43" i="1"/>
  <c r="B43" i="1" a="1"/>
  <c r="B43" i="1" s="1"/>
  <c r="C43" i="1" s="1" a="1"/>
  <c r="C43" i="1" s="1"/>
  <c r="D43" i="1" a="1"/>
  <c r="D43" i="1" s="1"/>
  <c r="E43" i="1"/>
  <c r="F43" i="1"/>
  <c r="G43" i="1"/>
  <c r="H43" i="1"/>
  <c r="I43" i="1"/>
  <c r="A44" i="1"/>
  <c r="B44" i="1" a="1"/>
  <c r="B44" i="1" s="1"/>
  <c r="C44" i="1" s="1" a="1"/>
  <c r="C44" i="1" s="1"/>
  <c r="D44" i="1" a="1"/>
  <c r="D44" i="1" s="1"/>
  <c r="E44" i="1"/>
  <c r="F44" i="1"/>
  <c r="G44" i="1"/>
  <c r="H44" i="1"/>
  <c r="L44" i="1" s="1"/>
  <c r="I44" i="1"/>
  <c r="A45" i="1"/>
  <c r="B45" i="1" a="1"/>
  <c r="B45" i="1" s="1"/>
  <c r="C45" i="1" s="1" a="1"/>
  <c r="C45" i="1" s="1"/>
  <c r="D45" i="1" a="1"/>
  <c r="D45" i="1" s="1"/>
  <c r="E45" i="1"/>
  <c r="F45" i="1"/>
  <c r="G45" i="1"/>
  <c r="H45" i="1"/>
  <c r="L45" i="1" s="1"/>
  <c r="I45" i="1"/>
  <c r="A46" i="1"/>
  <c r="B46" i="1" a="1"/>
  <c r="B46" i="1" s="1"/>
  <c r="C46" i="1" s="1" a="1"/>
  <c r="C46" i="1" s="1"/>
  <c r="D46" i="1" a="1"/>
  <c r="D46" i="1" s="1"/>
  <c r="E46" i="1"/>
  <c r="F46" i="1"/>
  <c r="G46" i="1"/>
  <c r="H46" i="1"/>
  <c r="I46" i="1"/>
  <c r="A47" i="1"/>
  <c r="B47" i="1" a="1"/>
  <c r="B47" i="1" s="1"/>
  <c r="C47" i="1" s="1" a="1"/>
  <c r="C47" i="1" s="1"/>
  <c r="D47" i="1" a="1"/>
  <c r="D47" i="1" s="1"/>
  <c r="E47" i="1"/>
  <c r="F47" i="1"/>
  <c r="G47" i="1"/>
  <c r="H47" i="1"/>
  <c r="L47" i="1" s="1"/>
  <c r="I47" i="1"/>
  <c r="A48" i="1"/>
  <c r="B48" i="1" a="1"/>
  <c r="B48" i="1" s="1"/>
  <c r="C48" i="1" s="1" a="1"/>
  <c r="C48" i="1" s="1"/>
  <c r="D48" i="1" a="1"/>
  <c r="D48" i="1" s="1"/>
  <c r="E48" i="1"/>
  <c r="F48" i="1"/>
  <c r="G48" i="1"/>
  <c r="H48" i="1"/>
  <c r="I48" i="1"/>
  <c r="A49" i="1"/>
  <c r="B49" i="1" a="1"/>
  <c r="B49" i="1" s="1"/>
  <c r="C49" i="1" s="1" a="1"/>
  <c r="C49" i="1" s="1"/>
  <c r="D49" i="1" a="1"/>
  <c r="D49" i="1" s="1"/>
  <c r="E49" i="1"/>
  <c r="F49" i="1"/>
  <c r="G49" i="1"/>
  <c r="H49" i="1"/>
  <c r="M49" i="1" s="1"/>
  <c r="I49" i="1"/>
  <c r="A50" i="1"/>
  <c r="B50" i="1" a="1"/>
  <c r="B50" i="1" s="1"/>
  <c r="C50" i="1" s="1" a="1"/>
  <c r="C50" i="1" s="1"/>
  <c r="D50" i="1" a="1"/>
  <c r="D50" i="1" s="1"/>
  <c r="E50" i="1"/>
  <c r="F50" i="1"/>
  <c r="G50" i="1"/>
  <c r="H50" i="1"/>
  <c r="I50" i="1"/>
  <c r="A51" i="1"/>
  <c r="B51" i="1" a="1"/>
  <c r="B51" i="1" s="1"/>
  <c r="C51" i="1" s="1" a="1"/>
  <c r="C51" i="1" s="1"/>
  <c r="D51" i="1" a="1"/>
  <c r="D51" i="1" s="1"/>
  <c r="E51" i="1"/>
  <c r="F51" i="1"/>
  <c r="G51" i="1"/>
  <c r="H51" i="1"/>
  <c r="L51" i="1" s="1"/>
  <c r="I51" i="1"/>
  <c r="A52" i="1"/>
  <c r="B52" i="1" a="1"/>
  <c r="B52" i="1" s="1"/>
  <c r="C52" i="1" s="1" a="1"/>
  <c r="C52" i="1" s="1"/>
  <c r="D52" i="1" a="1"/>
  <c r="D52" i="1" s="1"/>
  <c r="E52" i="1"/>
  <c r="F52" i="1"/>
  <c r="G52" i="1"/>
  <c r="H52" i="1"/>
  <c r="I52" i="1"/>
  <c r="A53" i="1"/>
  <c r="B53" i="1" a="1"/>
  <c r="B53" i="1" s="1"/>
  <c r="C53" i="1" s="1" a="1"/>
  <c r="C53" i="1" s="1"/>
  <c r="D53" i="1" a="1"/>
  <c r="D53" i="1" s="1"/>
  <c r="E53" i="1"/>
  <c r="F53" i="1"/>
  <c r="G53" i="1"/>
  <c r="H53" i="1"/>
  <c r="I53" i="1"/>
  <c r="A54" i="1"/>
  <c r="B54" i="1" a="1"/>
  <c r="B54" i="1" s="1"/>
  <c r="C54" i="1" s="1" a="1"/>
  <c r="C54" i="1" s="1"/>
  <c r="D54" i="1" a="1"/>
  <c r="D54" i="1" s="1"/>
  <c r="E54" i="1"/>
  <c r="F54" i="1"/>
  <c r="G54" i="1"/>
  <c r="H54" i="1"/>
  <c r="I54" i="1"/>
  <c r="A55" i="1"/>
  <c r="B55" i="1" a="1"/>
  <c r="B55" i="1" s="1"/>
  <c r="C55" i="1" s="1" a="1"/>
  <c r="C55" i="1" s="1"/>
  <c r="D55" i="1" a="1"/>
  <c r="D55" i="1" s="1"/>
  <c r="E55" i="1"/>
  <c r="F55" i="1"/>
  <c r="G55" i="1"/>
  <c r="H55" i="1"/>
  <c r="I55" i="1"/>
  <c r="A56" i="1"/>
  <c r="B56" i="1" a="1"/>
  <c r="B56" i="1" s="1"/>
  <c r="C56" i="1" s="1" a="1"/>
  <c r="C56" i="1" s="1"/>
  <c r="D56" i="1" a="1"/>
  <c r="D56" i="1" s="1"/>
  <c r="E56" i="1"/>
  <c r="F56" i="1"/>
  <c r="G56" i="1"/>
  <c r="H56" i="1"/>
  <c r="L56" i="1" s="1"/>
  <c r="I56" i="1"/>
  <c r="A57" i="1"/>
  <c r="B57" i="1" a="1"/>
  <c r="B57" i="1" s="1"/>
  <c r="C57" i="1" s="1" a="1"/>
  <c r="C57" i="1" s="1"/>
  <c r="D57" i="1" a="1"/>
  <c r="D57" i="1" s="1"/>
  <c r="E57" i="1"/>
  <c r="F57" i="1"/>
  <c r="G57" i="1"/>
  <c r="H57" i="1"/>
  <c r="M57" i="1" s="1"/>
  <c r="I57" i="1"/>
  <c r="A58" i="1"/>
  <c r="B58" i="1" a="1"/>
  <c r="B58" i="1" s="1"/>
  <c r="C58" i="1" s="1" a="1"/>
  <c r="C58" i="1" s="1"/>
  <c r="D58" i="1" a="1"/>
  <c r="D58" i="1" s="1"/>
  <c r="E58" i="1"/>
  <c r="F58" i="1"/>
  <c r="G58" i="1"/>
  <c r="H58" i="1"/>
  <c r="I58" i="1"/>
  <c r="A59" i="1"/>
  <c r="B59" i="1" a="1"/>
  <c r="B59" i="1" s="1"/>
  <c r="C59" i="1" s="1" a="1"/>
  <c r="C59" i="1" s="1"/>
  <c r="D59" i="1" a="1"/>
  <c r="D59" i="1" s="1"/>
  <c r="E59" i="1"/>
  <c r="F59" i="1"/>
  <c r="G59" i="1"/>
  <c r="H59" i="1"/>
  <c r="L59" i="1" s="1"/>
  <c r="I59" i="1"/>
  <c r="A60" i="1"/>
  <c r="B60" i="1" a="1"/>
  <c r="B60" i="1" s="1"/>
  <c r="C60" i="1" s="1" a="1"/>
  <c r="C60" i="1" s="1"/>
  <c r="D60" i="1" a="1"/>
  <c r="D60" i="1" s="1"/>
  <c r="E60" i="1"/>
  <c r="F60" i="1"/>
  <c r="G60" i="1"/>
  <c r="H60" i="1"/>
  <c r="M60" i="1" s="1"/>
  <c r="I60" i="1"/>
  <c r="A61" i="1"/>
  <c r="B61" i="1" a="1"/>
  <c r="B61" i="1" s="1"/>
  <c r="C61" i="1" s="1" a="1"/>
  <c r="C61" i="1" s="1"/>
  <c r="D61" i="1" a="1"/>
  <c r="D61" i="1" s="1"/>
  <c r="E61" i="1"/>
  <c r="F61" i="1"/>
  <c r="G61" i="1"/>
  <c r="H61" i="1"/>
  <c r="M61" i="1" s="1"/>
  <c r="I61" i="1"/>
  <c r="A62" i="1"/>
  <c r="B62" i="1" a="1"/>
  <c r="B62" i="1" s="1"/>
  <c r="C62" i="1" s="1" a="1"/>
  <c r="C62" i="1" s="1"/>
  <c r="D62" i="1" a="1"/>
  <c r="D62" i="1" s="1"/>
  <c r="E62" i="1"/>
  <c r="F62" i="1"/>
  <c r="G62" i="1"/>
  <c r="H62" i="1"/>
  <c r="M62" i="1" s="1"/>
  <c r="I62" i="1"/>
  <c r="A63" i="1"/>
  <c r="B63" i="1" a="1"/>
  <c r="B63" i="1" s="1"/>
  <c r="C63" i="1" s="1" a="1"/>
  <c r="C63" i="1" s="1"/>
  <c r="D63" i="1" a="1"/>
  <c r="D63" i="1" s="1"/>
  <c r="E63" i="1"/>
  <c r="F63" i="1"/>
  <c r="G63" i="1"/>
  <c r="H63" i="1"/>
  <c r="I63" i="1"/>
  <c r="A64" i="1"/>
  <c r="B64" i="1" a="1"/>
  <c r="B64" i="1" s="1"/>
  <c r="C64" i="1" s="1" a="1"/>
  <c r="C64" i="1" s="1"/>
  <c r="D64" i="1" a="1"/>
  <c r="D64" i="1" s="1"/>
  <c r="E64" i="1"/>
  <c r="F64" i="1"/>
  <c r="G64" i="1"/>
  <c r="H64" i="1"/>
  <c r="I64" i="1"/>
  <c r="A65" i="1"/>
  <c r="B65" i="1" a="1"/>
  <c r="B65" i="1" s="1"/>
  <c r="C65" i="1" s="1" a="1"/>
  <c r="C65" i="1" s="1"/>
  <c r="D65" i="1" a="1"/>
  <c r="D65" i="1" s="1"/>
  <c r="E65" i="1"/>
  <c r="F65" i="1"/>
  <c r="G65" i="1"/>
  <c r="H65" i="1"/>
  <c r="M65" i="1" s="1"/>
  <c r="I65" i="1"/>
  <c r="A66" i="1"/>
  <c r="B66" i="1" a="1"/>
  <c r="B66" i="1" s="1"/>
  <c r="C66" i="1" s="1" a="1"/>
  <c r="C66" i="1" s="1"/>
  <c r="D66" i="1" a="1"/>
  <c r="D66" i="1" s="1"/>
  <c r="E66" i="1"/>
  <c r="F66" i="1"/>
  <c r="G66" i="1"/>
  <c r="H66" i="1"/>
  <c r="M66" i="1" s="1"/>
  <c r="I66" i="1"/>
  <c r="A67" i="1"/>
  <c r="B67" i="1" a="1"/>
  <c r="B67" i="1" s="1"/>
  <c r="C67" i="1" s="1" a="1"/>
  <c r="C67" i="1" s="1"/>
  <c r="D67" i="1" a="1"/>
  <c r="D67" i="1" s="1"/>
  <c r="E67" i="1"/>
  <c r="F67" i="1"/>
  <c r="G67" i="1"/>
  <c r="H67" i="1"/>
  <c r="M67" i="1" s="1"/>
  <c r="I67" i="1"/>
  <c r="A68" i="1"/>
  <c r="B68" i="1" a="1"/>
  <c r="B68" i="1" s="1"/>
  <c r="C68" i="1" s="1" a="1"/>
  <c r="C68" i="1" s="1"/>
  <c r="D68" i="1" a="1"/>
  <c r="D68" i="1" s="1"/>
  <c r="E68" i="1"/>
  <c r="F68" i="1"/>
  <c r="G68" i="1"/>
  <c r="H68" i="1"/>
  <c r="I68" i="1"/>
  <c r="A69" i="1"/>
  <c r="B69" i="1" a="1"/>
  <c r="B69" i="1" s="1"/>
  <c r="C69" i="1" s="1" a="1"/>
  <c r="C69" i="1" s="1"/>
  <c r="D69" i="1" a="1"/>
  <c r="D69" i="1" s="1"/>
  <c r="E69" i="1"/>
  <c r="F69" i="1"/>
  <c r="G69" i="1"/>
  <c r="H69" i="1"/>
  <c r="I69" i="1"/>
  <c r="A70" i="1"/>
  <c r="B70" i="1" a="1"/>
  <c r="B70" i="1" s="1"/>
  <c r="C70" i="1" s="1" a="1"/>
  <c r="C70" i="1" s="1"/>
  <c r="D70" i="1" a="1"/>
  <c r="D70" i="1" s="1"/>
  <c r="E70" i="1"/>
  <c r="F70" i="1"/>
  <c r="G70" i="1"/>
  <c r="H70" i="1"/>
  <c r="I70" i="1"/>
  <c r="A71" i="1"/>
  <c r="B71" i="1" a="1"/>
  <c r="B71" i="1" s="1"/>
  <c r="C71" i="1" s="1" a="1"/>
  <c r="C71" i="1" s="1"/>
  <c r="D71" i="1" a="1"/>
  <c r="D71" i="1" s="1"/>
  <c r="E71" i="1"/>
  <c r="F71" i="1"/>
  <c r="G71" i="1"/>
  <c r="H71" i="1"/>
  <c r="I71" i="1"/>
  <c r="A72" i="1"/>
  <c r="B72" i="1" a="1"/>
  <c r="B72" i="1" s="1"/>
  <c r="C72" i="1" s="1" a="1"/>
  <c r="C72" i="1" s="1"/>
  <c r="D72" i="1" a="1"/>
  <c r="D72" i="1" s="1"/>
  <c r="E72" i="1"/>
  <c r="F72" i="1"/>
  <c r="G72" i="1"/>
  <c r="H72" i="1"/>
  <c r="I72" i="1"/>
  <c r="A73" i="1"/>
  <c r="B73" i="1" a="1"/>
  <c r="B73" i="1" s="1"/>
  <c r="C73" i="1" s="1" a="1"/>
  <c r="C73" i="1" s="1"/>
  <c r="D73" i="1" a="1"/>
  <c r="D73" i="1" s="1"/>
  <c r="E73" i="1"/>
  <c r="F73" i="1"/>
  <c r="G73" i="1"/>
  <c r="H73" i="1"/>
  <c r="I73" i="1"/>
  <c r="A74" i="1"/>
  <c r="B74" i="1" a="1"/>
  <c r="B74" i="1" s="1"/>
  <c r="C74" i="1" s="1" a="1"/>
  <c r="C74" i="1" s="1"/>
  <c r="D74" i="1" a="1"/>
  <c r="D74" i="1" s="1"/>
  <c r="E74" i="1"/>
  <c r="F74" i="1"/>
  <c r="G74" i="1"/>
  <c r="H74" i="1"/>
  <c r="M74" i="1" s="1"/>
  <c r="I74" i="1"/>
  <c r="A75" i="1"/>
  <c r="B75" i="1" a="1"/>
  <c r="B75" i="1" s="1"/>
  <c r="C75" i="1" s="1" a="1"/>
  <c r="C75" i="1" s="1"/>
  <c r="D75" i="1" a="1"/>
  <c r="D75" i="1" s="1"/>
  <c r="E75" i="1"/>
  <c r="F75" i="1"/>
  <c r="G75" i="1"/>
  <c r="H75" i="1"/>
  <c r="I75" i="1"/>
  <c r="A76" i="1"/>
  <c r="B76" i="1" a="1"/>
  <c r="B76" i="1" s="1"/>
  <c r="C76" i="1" s="1" a="1"/>
  <c r="C76" i="1" s="1"/>
  <c r="D76" i="1" a="1"/>
  <c r="D76" i="1" s="1"/>
  <c r="E76" i="1"/>
  <c r="F76" i="1"/>
  <c r="G76" i="1"/>
  <c r="H76" i="1"/>
  <c r="I76" i="1"/>
  <c r="A77" i="1"/>
  <c r="B77" i="1" a="1"/>
  <c r="B77" i="1" s="1"/>
  <c r="C77" i="1" s="1" a="1"/>
  <c r="C77" i="1" s="1"/>
  <c r="D77" i="1" a="1"/>
  <c r="D77" i="1" s="1"/>
  <c r="E77" i="1"/>
  <c r="F77" i="1"/>
  <c r="G77" i="1"/>
  <c r="H77" i="1"/>
  <c r="M77" i="1" s="1"/>
  <c r="I77" i="1"/>
  <c r="A78" i="1"/>
  <c r="B78" i="1" a="1"/>
  <c r="B78" i="1" s="1"/>
  <c r="C78" i="1" s="1" a="1"/>
  <c r="C78" i="1" s="1"/>
  <c r="D78" i="1" a="1"/>
  <c r="D78" i="1" s="1"/>
  <c r="E78" i="1"/>
  <c r="F78" i="1"/>
  <c r="G78" i="1"/>
  <c r="H78" i="1"/>
  <c r="L78" i="1" s="1"/>
  <c r="I78" i="1"/>
  <c r="A79" i="1"/>
  <c r="B79" i="1" a="1"/>
  <c r="B79" i="1" s="1"/>
  <c r="C79" i="1" s="1" a="1"/>
  <c r="C79" i="1" s="1"/>
  <c r="D79" i="1" a="1"/>
  <c r="D79" i="1" s="1"/>
  <c r="E79" i="1"/>
  <c r="F79" i="1"/>
  <c r="G79" i="1"/>
  <c r="H79" i="1"/>
  <c r="L79" i="1" s="1"/>
  <c r="I79" i="1"/>
  <c r="A80" i="1"/>
  <c r="B80" i="1" a="1"/>
  <c r="B80" i="1" s="1"/>
  <c r="C80" i="1" s="1" a="1"/>
  <c r="C80" i="1" s="1"/>
  <c r="D80" i="1" a="1"/>
  <c r="D80" i="1" s="1"/>
  <c r="E80" i="1"/>
  <c r="F80" i="1"/>
  <c r="G80" i="1"/>
  <c r="H80" i="1"/>
  <c r="I80" i="1"/>
  <c r="A81" i="1"/>
  <c r="B81" i="1" a="1"/>
  <c r="B81" i="1" s="1"/>
  <c r="C81" i="1" s="1" a="1"/>
  <c r="C81" i="1" s="1"/>
  <c r="D81" i="1" a="1"/>
  <c r="D81" i="1" s="1"/>
  <c r="E81" i="1"/>
  <c r="F81" i="1"/>
  <c r="G81" i="1"/>
  <c r="H81" i="1"/>
  <c r="I81" i="1"/>
  <c r="A82" i="1"/>
  <c r="B82" i="1" a="1"/>
  <c r="B82" i="1" s="1"/>
  <c r="C82" i="1" s="1" a="1"/>
  <c r="C82" i="1" s="1"/>
  <c r="D82" i="1" a="1"/>
  <c r="D82" i="1" s="1"/>
  <c r="E82" i="1"/>
  <c r="F82" i="1"/>
  <c r="G82" i="1"/>
  <c r="H82" i="1"/>
  <c r="L82" i="1" s="1"/>
  <c r="I82" i="1"/>
  <c r="A83" i="1"/>
  <c r="B83" i="1" a="1"/>
  <c r="B83" i="1" s="1"/>
  <c r="C83" i="1" s="1" a="1"/>
  <c r="C83" i="1" s="1"/>
  <c r="D83" i="1" a="1"/>
  <c r="D83" i="1" s="1"/>
  <c r="E83" i="1"/>
  <c r="F83" i="1"/>
  <c r="G83" i="1"/>
  <c r="H83" i="1"/>
  <c r="I83" i="1"/>
  <c r="A84" i="1"/>
  <c r="B84" i="1" a="1"/>
  <c r="B84" i="1" s="1"/>
  <c r="C84" i="1" s="1" a="1"/>
  <c r="C84" i="1" s="1"/>
  <c r="D84" i="1" a="1"/>
  <c r="D84" i="1" s="1"/>
  <c r="E84" i="1"/>
  <c r="F84" i="1"/>
  <c r="G84" i="1"/>
  <c r="H84" i="1"/>
  <c r="L84" i="1" s="1"/>
  <c r="I84" i="1"/>
  <c r="A85" i="1"/>
  <c r="B85" i="1" a="1"/>
  <c r="B85" i="1" s="1"/>
  <c r="C85" i="1" s="1" a="1"/>
  <c r="C85" i="1" s="1"/>
  <c r="D85" i="1" a="1"/>
  <c r="D85" i="1" s="1"/>
  <c r="E85" i="1"/>
  <c r="F85" i="1"/>
  <c r="G85" i="1"/>
  <c r="H85" i="1"/>
  <c r="L85" i="1" s="1"/>
  <c r="I85" i="1"/>
  <c r="A86" i="1"/>
  <c r="B86" i="1" a="1"/>
  <c r="B86" i="1" s="1"/>
  <c r="C86" i="1" s="1" a="1"/>
  <c r="C86" i="1" s="1"/>
  <c r="D86" i="1" a="1"/>
  <c r="D86" i="1" s="1"/>
  <c r="E86" i="1"/>
  <c r="F86" i="1"/>
  <c r="G86" i="1"/>
  <c r="H86" i="1"/>
  <c r="L86" i="1" s="1"/>
  <c r="I86" i="1"/>
  <c r="A87" i="1"/>
  <c r="B87" i="1" a="1"/>
  <c r="B87" i="1" s="1"/>
  <c r="C87" i="1" s="1" a="1"/>
  <c r="C87" i="1" s="1"/>
  <c r="D87" i="1" a="1"/>
  <c r="D87" i="1" s="1"/>
  <c r="E87" i="1"/>
  <c r="F87" i="1"/>
  <c r="G87" i="1"/>
  <c r="H87" i="1"/>
  <c r="I87" i="1"/>
  <c r="A88" i="1"/>
  <c r="B88" i="1" a="1"/>
  <c r="B88" i="1" s="1"/>
  <c r="C88" i="1" s="1" a="1"/>
  <c r="C88" i="1" s="1"/>
  <c r="D88" i="1" a="1"/>
  <c r="D88" i="1" s="1"/>
  <c r="E88" i="1"/>
  <c r="F88" i="1"/>
  <c r="G88" i="1"/>
  <c r="H88" i="1"/>
  <c r="M88" i="1" s="1"/>
  <c r="I88" i="1"/>
  <c r="A89" i="1"/>
  <c r="B89" i="1" a="1"/>
  <c r="B89" i="1" s="1"/>
  <c r="C89" i="1" s="1" a="1"/>
  <c r="C89" i="1" s="1"/>
  <c r="D89" i="1" a="1"/>
  <c r="D89" i="1" s="1"/>
  <c r="E89" i="1"/>
  <c r="F89" i="1"/>
  <c r="G89" i="1"/>
  <c r="H89" i="1"/>
  <c r="M89" i="1" s="1"/>
  <c r="I89" i="1"/>
  <c r="A90" i="1"/>
  <c r="B90" i="1" a="1"/>
  <c r="B90" i="1" s="1"/>
  <c r="C90" i="1" s="1" a="1"/>
  <c r="C90" i="1" s="1"/>
  <c r="D90" i="1" a="1"/>
  <c r="D90" i="1" s="1"/>
  <c r="E90" i="1"/>
  <c r="F90" i="1"/>
  <c r="G90" i="1"/>
  <c r="H90" i="1"/>
  <c r="M90" i="1" s="1"/>
  <c r="I90" i="1"/>
  <c r="A91" i="1"/>
  <c r="B91" i="1" a="1"/>
  <c r="B91" i="1" s="1"/>
  <c r="C91" i="1" s="1" a="1"/>
  <c r="C91" i="1" s="1"/>
  <c r="D91" i="1" a="1"/>
  <c r="D91" i="1" s="1"/>
  <c r="E91" i="1"/>
  <c r="F91" i="1"/>
  <c r="G91" i="1"/>
  <c r="H91" i="1"/>
  <c r="M91" i="1" s="1"/>
  <c r="I91" i="1"/>
  <c r="A92" i="1"/>
  <c r="B92" i="1" a="1"/>
  <c r="B92" i="1" s="1"/>
  <c r="C92" i="1" s="1" a="1"/>
  <c r="C92" i="1" s="1"/>
  <c r="D92" i="1" a="1"/>
  <c r="D92" i="1" s="1"/>
  <c r="E92" i="1"/>
  <c r="F92" i="1"/>
  <c r="G92" i="1"/>
  <c r="H92" i="1"/>
  <c r="M92" i="1" s="1"/>
  <c r="I92" i="1"/>
  <c r="A93" i="1"/>
  <c r="B93" i="1" a="1"/>
  <c r="B93" i="1" s="1"/>
  <c r="C93" i="1" s="1" a="1"/>
  <c r="C93" i="1" s="1"/>
  <c r="D93" i="1" a="1"/>
  <c r="D93" i="1" s="1"/>
  <c r="E93" i="1"/>
  <c r="F93" i="1"/>
  <c r="G93" i="1"/>
  <c r="H93" i="1"/>
  <c r="M93" i="1" s="1"/>
  <c r="I93" i="1"/>
  <c r="A94" i="1"/>
  <c r="B94" i="1" a="1"/>
  <c r="B94" i="1" s="1"/>
  <c r="C94" i="1" s="1" a="1"/>
  <c r="C94" i="1" s="1"/>
  <c r="D94" i="1" a="1"/>
  <c r="D94" i="1" s="1"/>
  <c r="E94" i="1"/>
  <c r="F94" i="1"/>
  <c r="G94" i="1"/>
  <c r="H94" i="1"/>
  <c r="M94" i="1" s="1"/>
  <c r="I94" i="1"/>
  <c r="A95" i="1"/>
  <c r="B95" i="1" a="1"/>
  <c r="B95" i="1" s="1"/>
  <c r="C95" i="1" s="1" a="1"/>
  <c r="C95" i="1" s="1"/>
  <c r="D95" i="1" a="1"/>
  <c r="D95" i="1" s="1"/>
  <c r="E95" i="1"/>
  <c r="F95" i="1"/>
  <c r="G95" i="1"/>
  <c r="H95" i="1"/>
  <c r="M95" i="1" s="1"/>
  <c r="I95" i="1"/>
  <c r="A96" i="1"/>
  <c r="B96" i="1" a="1"/>
  <c r="B96" i="1" s="1"/>
  <c r="C96" i="1" s="1" a="1"/>
  <c r="C96" i="1" s="1"/>
  <c r="D96" i="1" a="1"/>
  <c r="D96" i="1" s="1"/>
  <c r="E96" i="1"/>
  <c r="F96" i="1"/>
  <c r="G96" i="1"/>
  <c r="H96" i="1"/>
  <c r="M96" i="1" s="1"/>
  <c r="I96" i="1"/>
  <c r="A97" i="1"/>
  <c r="B97" i="1" a="1"/>
  <c r="B97" i="1" s="1"/>
  <c r="C97" i="1" s="1" a="1"/>
  <c r="C97" i="1" s="1"/>
  <c r="D97" i="1" a="1"/>
  <c r="D97" i="1" s="1"/>
  <c r="E97" i="1"/>
  <c r="F97" i="1"/>
  <c r="G97" i="1"/>
  <c r="H97" i="1"/>
  <c r="M97" i="1" s="1"/>
  <c r="I97" i="1"/>
  <c r="A98" i="1"/>
  <c r="B98" i="1" a="1"/>
  <c r="B98" i="1" s="1"/>
  <c r="C98" i="1" s="1" a="1"/>
  <c r="C98" i="1" s="1"/>
  <c r="D98" i="1" a="1"/>
  <c r="D98" i="1" s="1"/>
  <c r="E98" i="1"/>
  <c r="F98" i="1"/>
  <c r="G98" i="1"/>
  <c r="H98" i="1"/>
  <c r="M98" i="1" s="1"/>
  <c r="I98" i="1"/>
  <c r="A99" i="1"/>
  <c r="B99" i="1" a="1"/>
  <c r="B99" i="1" s="1"/>
  <c r="C99" i="1" s="1" a="1"/>
  <c r="C99" i="1" s="1"/>
  <c r="D99" i="1" a="1"/>
  <c r="D99" i="1" s="1"/>
  <c r="E99" i="1"/>
  <c r="F99" i="1"/>
  <c r="G99" i="1"/>
  <c r="H99" i="1"/>
  <c r="M99" i="1" s="1"/>
  <c r="I99" i="1"/>
  <c r="A100" i="1"/>
  <c r="B100" i="1" a="1"/>
  <c r="B100" i="1" s="1"/>
  <c r="C100" i="1" s="1" a="1"/>
  <c r="C100" i="1" s="1"/>
  <c r="D100" i="1" a="1"/>
  <c r="D100" i="1" s="1"/>
  <c r="E100" i="1"/>
  <c r="F100" i="1"/>
  <c r="G100" i="1"/>
  <c r="H100" i="1"/>
  <c r="M100" i="1" s="1"/>
  <c r="I100" i="1"/>
  <c r="A101" i="1"/>
  <c r="B101" i="1" a="1"/>
  <c r="B101" i="1" s="1"/>
  <c r="C101" i="1" s="1" a="1"/>
  <c r="C101" i="1" s="1"/>
  <c r="D101" i="1" a="1"/>
  <c r="D101" i="1" s="1"/>
  <c r="E101" i="1"/>
  <c r="F101" i="1"/>
  <c r="G101" i="1"/>
  <c r="H101" i="1"/>
  <c r="M101" i="1" s="1"/>
  <c r="I101" i="1"/>
  <c r="A102" i="1"/>
  <c r="B102" i="1" a="1"/>
  <c r="B102" i="1" s="1"/>
  <c r="C102" i="1" s="1" a="1"/>
  <c r="C102" i="1" s="1"/>
  <c r="D102" i="1" a="1"/>
  <c r="D102" i="1" s="1"/>
  <c r="E102" i="1"/>
  <c r="F102" i="1"/>
  <c r="G102" i="1"/>
  <c r="H102" i="1"/>
  <c r="M102" i="1" s="1"/>
  <c r="I102" i="1"/>
  <c r="A103" i="1"/>
  <c r="B103" i="1" a="1"/>
  <c r="B103" i="1" s="1"/>
  <c r="C103" i="1" s="1" a="1"/>
  <c r="C103" i="1" s="1"/>
  <c r="D103" i="1" a="1"/>
  <c r="D103" i="1" s="1"/>
  <c r="E103" i="1"/>
  <c r="F103" i="1"/>
  <c r="G103" i="1"/>
  <c r="H103" i="1"/>
  <c r="M103" i="1" s="1"/>
  <c r="I103" i="1"/>
  <c r="A104" i="1"/>
  <c r="B104" i="1" a="1"/>
  <c r="B104" i="1" s="1"/>
  <c r="C104" i="1" s="1" a="1"/>
  <c r="C104" i="1" s="1"/>
  <c r="D104" i="1" a="1"/>
  <c r="D104" i="1" s="1"/>
  <c r="E104" i="1"/>
  <c r="F104" i="1"/>
  <c r="G104" i="1"/>
  <c r="H104" i="1"/>
  <c r="M104" i="1" s="1"/>
  <c r="I104" i="1"/>
  <c r="A105" i="1"/>
  <c r="B105" i="1" a="1"/>
  <c r="B105" i="1" s="1"/>
  <c r="C105" i="1" s="1" a="1"/>
  <c r="C105" i="1" s="1"/>
  <c r="D105" i="1" a="1"/>
  <c r="D105" i="1" s="1"/>
  <c r="E105" i="1"/>
  <c r="F105" i="1"/>
  <c r="G105" i="1"/>
  <c r="H105" i="1"/>
  <c r="M105" i="1" s="1"/>
  <c r="I105" i="1"/>
  <c r="A106" i="1"/>
  <c r="B106" i="1" a="1"/>
  <c r="B106" i="1" s="1"/>
  <c r="C106" i="1" s="1" a="1"/>
  <c r="C106" i="1" s="1"/>
  <c r="D106" i="1" a="1"/>
  <c r="D106" i="1" s="1"/>
  <c r="E106" i="1"/>
  <c r="F106" i="1"/>
  <c r="G106" i="1"/>
  <c r="H106" i="1"/>
  <c r="M106" i="1" s="1"/>
  <c r="I106" i="1"/>
  <c r="A107" i="1"/>
  <c r="B107" i="1" a="1"/>
  <c r="B107" i="1" s="1"/>
  <c r="C107" i="1" s="1" a="1"/>
  <c r="C107" i="1" s="1"/>
  <c r="D107" i="1" a="1"/>
  <c r="D107" i="1" s="1"/>
  <c r="E107" i="1"/>
  <c r="F107" i="1"/>
  <c r="G107" i="1"/>
  <c r="H107" i="1"/>
  <c r="M107" i="1" s="1"/>
  <c r="I107" i="1"/>
  <c r="A108" i="1"/>
  <c r="B108" i="1" a="1"/>
  <c r="B108" i="1" s="1"/>
  <c r="C108" i="1" s="1" a="1"/>
  <c r="C108" i="1" s="1"/>
  <c r="D108" i="1" a="1"/>
  <c r="D108" i="1" s="1"/>
  <c r="E108" i="1"/>
  <c r="F108" i="1"/>
  <c r="G108" i="1"/>
  <c r="H108" i="1"/>
  <c r="M108" i="1" s="1"/>
  <c r="I108" i="1"/>
  <c r="A109" i="1"/>
  <c r="B109" i="1" a="1"/>
  <c r="B109" i="1" s="1"/>
  <c r="C109" i="1" s="1" a="1"/>
  <c r="C109" i="1" s="1"/>
  <c r="D109" i="1" a="1"/>
  <c r="D109" i="1" s="1"/>
  <c r="E109" i="1"/>
  <c r="F109" i="1"/>
  <c r="G109" i="1"/>
  <c r="H109" i="1"/>
  <c r="M109" i="1" s="1"/>
  <c r="I109" i="1"/>
  <c r="A110" i="1"/>
  <c r="B110" i="1" a="1"/>
  <c r="B110" i="1" s="1"/>
  <c r="C110" i="1" s="1" a="1"/>
  <c r="C110" i="1" s="1"/>
  <c r="D110" i="1" a="1"/>
  <c r="D110" i="1" s="1"/>
  <c r="E110" i="1"/>
  <c r="F110" i="1"/>
  <c r="G110" i="1"/>
  <c r="H110" i="1"/>
  <c r="M110" i="1" s="1"/>
  <c r="I110" i="1"/>
  <c r="A111" i="1"/>
  <c r="B111" i="1" a="1"/>
  <c r="B111" i="1" s="1"/>
  <c r="C111" i="1" s="1" a="1"/>
  <c r="C111" i="1" s="1"/>
  <c r="D111" i="1" a="1"/>
  <c r="D111" i="1" s="1"/>
  <c r="E111" i="1"/>
  <c r="F111" i="1"/>
  <c r="G111" i="1"/>
  <c r="H111" i="1"/>
  <c r="M111" i="1" s="1"/>
  <c r="I111" i="1"/>
  <c r="A112" i="1"/>
  <c r="B112" i="1" a="1"/>
  <c r="B112" i="1" s="1"/>
  <c r="C112" i="1" s="1" a="1"/>
  <c r="C112" i="1" s="1"/>
  <c r="D112" i="1" a="1"/>
  <c r="D112" i="1" s="1"/>
  <c r="E112" i="1"/>
  <c r="F112" i="1"/>
  <c r="G112" i="1"/>
  <c r="H112" i="1"/>
  <c r="M112" i="1" s="1"/>
  <c r="I112" i="1"/>
  <c r="A113" i="1"/>
  <c r="B113" i="1" a="1"/>
  <c r="B113" i="1" s="1"/>
  <c r="C113" i="1" s="1" a="1"/>
  <c r="C113" i="1" s="1"/>
  <c r="D113" i="1" a="1"/>
  <c r="D113" i="1" s="1"/>
  <c r="E113" i="1"/>
  <c r="F113" i="1"/>
  <c r="G113" i="1"/>
  <c r="H113" i="1"/>
  <c r="M113" i="1" s="1"/>
  <c r="I113" i="1"/>
  <c r="A114" i="1"/>
  <c r="B114" i="1" a="1"/>
  <c r="B114" i="1" s="1"/>
  <c r="C114" i="1" s="1" a="1"/>
  <c r="C114" i="1" s="1"/>
  <c r="D114" i="1" a="1"/>
  <c r="D114" i="1" s="1"/>
  <c r="E114" i="1"/>
  <c r="F114" i="1"/>
  <c r="G114" i="1"/>
  <c r="H114" i="1"/>
  <c r="M114" i="1" s="1"/>
  <c r="I114" i="1"/>
  <c r="A115" i="1"/>
  <c r="B115" i="1" a="1"/>
  <c r="B115" i="1" s="1"/>
  <c r="C115" i="1" s="1" a="1"/>
  <c r="C115" i="1" s="1"/>
  <c r="D115" i="1" a="1"/>
  <c r="D115" i="1" s="1"/>
  <c r="E115" i="1"/>
  <c r="F115" i="1"/>
  <c r="G115" i="1"/>
  <c r="H115" i="1"/>
  <c r="M115" i="1" s="1"/>
  <c r="I115" i="1"/>
  <c r="A116" i="1"/>
  <c r="B116" i="1" a="1"/>
  <c r="B116" i="1" s="1"/>
  <c r="C116" i="1" s="1" a="1"/>
  <c r="C116" i="1" s="1"/>
  <c r="D116" i="1" a="1"/>
  <c r="D116" i="1" s="1"/>
  <c r="E116" i="1"/>
  <c r="F116" i="1"/>
  <c r="G116" i="1"/>
  <c r="H116" i="1"/>
  <c r="M116" i="1" s="1"/>
  <c r="I116" i="1"/>
  <c r="A117" i="1"/>
  <c r="B117" i="1" a="1"/>
  <c r="B117" i="1" s="1"/>
  <c r="C117" i="1" s="1" a="1"/>
  <c r="C117" i="1" s="1"/>
  <c r="D117" i="1" a="1"/>
  <c r="D117" i="1" s="1"/>
  <c r="E117" i="1"/>
  <c r="F117" i="1"/>
  <c r="G117" i="1"/>
  <c r="H117" i="1"/>
  <c r="M117" i="1" s="1"/>
  <c r="I117" i="1"/>
  <c r="A118" i="1"/>
  <c r="B118" i="1" a="1"/>
  <c r="B118" i="1" s="1"/>
  <c r="C118" i="1" s="1" a="1"/>
  <c r="C118" i="1" s="1"/>
  <c r="D118" i="1" a="1"/>
  <c r="D118" i="1" s="1"/>
  <c r="E118" i="1"/>
  <c r="F118" i="1"/>
  <c r="G118" i="1"/>
  <c r="H118" i="1"/>
  <c r="M118" i="1" s="1"/>
  <c r="I118" i="1"/>
  <c r="A119" i="1"/>
  <c r="B119" i="1" a="1"/>
  <c r="B119" i="1" s="1"/>
  <c r="C119" i="1" s="1" a="1"/>
  <c r="C119" i="1" s="1"/>
  <c r="D119" i="1" a="1"/>
  <c r="D119" i="1" s="1"/>
  <c r="E119" i="1"/>
  <c r="F119" i="1"/>
  <c r="G119" i="1"/>
  <c r="H119" i="1"/>
  <c r="M119" i="1" s="1"/>
  <c r="I119" i="1"/>
  <c r="A120" i="1"/>
  <c r="B120" i="1" a="1"/>
  <c r="B120" i="1" s="1"/>
  <c r="C120" i="1" s="1" a="1"/>
  <c r="C120" i="1" s="1"/>
  <c r="D120" i="1" a="1"/>
  <c r="D120" i="1" s="1"/>
  <c r="E120" i="1"/>
  <c r="F120" i="1"/>
  <c r="G120" i="1"/>
  <c r="H120" i="1"/>
  <c r="M120" i="1" s="1"/>
  <c r="I120" i="1"/>
  <c r="A121" i="1"/>
  <c r="B121" i="1" a="1"/>
  <c r="B121" i="1" s="1"/>
  <c r="C121" i="1" s="1" a="1"/>
  <c r="C121" i="1" s="1"/>
  <c r="D121" i="1" a="1"/>
  <c r="D121" i="1" s="1"/>
  <c r="E121" i="1"/>
  <c r="F121" i="1"/>
  <c r="G121" i="1"/>
  <c r="H121" i="1"/>
  <c r="M121" i="1" s="1"/>
  <c r="I121" i="1"/>
  <c r="A122" i="1"/>
  <c r="B122" i="1" a="1"/>
  <c r="B122" i="1" s="1"/>
  <c r="C122" i="1" s="1" a="1"/>
  <c r="C122" i="1" s="1"/>
  <c r="D122" i="1" a="1"/>
  <c r="D122" i="1" s="1"/>
  <c r="E122" i="1"/>
  <c r="F122" i="1"/>
  <c r="G122" i="1"/>
  <c r="H122" i="1"/>
  <c r="M122" i="1" s="1"/>
  <c r="I122" i="1"/>
  <c r="A123" i="1"/>
  <c r="B123" i="1" a="1"/>
  <c r="B123" i="1" s="1"/>
  <c r="C123" i="1" s="1" a="1"/>
  <c r="C123" i="1" s="1"/>
  <c r="D123" i="1" a="1"/>
  <c r="D123" i="1" s="1"/>
  <c r="E123" i="1"/>
  <c r="F123" i="1"/>
  <c r="G123" i="1"/>
  <c r="H123" i="1"/>
  <c r="M123" i="1" s="1"/>
  <c r="I123" i="1"/>
  <c r="A124" i="1"/>
  <c r="B124" i="1" a="1"/>
  <c r="B124" i="1" s="1"/>
  <c r="C124" i="1" s="1" a="1"/>
  <c r="C124" i="1" s="1"/>
  <c r="D124" i="1" a="1"/>
  <c r="D124" i="1" s="1"/>
  <c r="E124" i="1"/>
  <c r="F124" i="1"/>
  <c r="G124" i="1"/>
  <c r="H124" i="1"/>
  <c r="I124" i="1"/>
  <c r="A125" i="1"/>
  <c r="B125" i="1" a="1"/>
  <c r="B125" i="1" s="1"/>
  <c r="C125" i="1" s="1" a="1"/>
  <c r="C125" i="1" s="1"/>
  <c r="D125" i="1" a="1"/>
  <c r="D125" i="1" s="1"/>
  <c r="E125" i="1"/>
  <c r="F125" i="1"/>
  <c r="G125" i="1"/>
  <c r="H125" i="1"/>
  <c r="I125" i="1"/>
  <c r="A126" i="1"/>
  <c r="B126" i="1" a="1"/>
  <c r="B126" i="1" s="1"/>
  <c r="C126" i="1" s="1" a="1"/>
  <c r="C126" i="1" s="1"/>
  <c r="D126" i="1" a="1"/>
  <c r="D126" i="1" s="1"/>
  <c r="E126" i="1"/>
  <c r="F126" i="1"/>
  <c r="G126" i="1"/>
  <c r="H126" i="1"/>
  <c r="I126" i="1"/>
  <c r="A127" i="1"/>
  <c r="B127" i="1" a="1"/>
  <c r="B127" i="1" s="1"/>
  <c r="C127" i="1" s="1" a="1"/>
  <c r="C127" i="1" s="1"/>
  <c r="D127" i="1" a="1"/>
  <c r="D127" i="1" s="1"/>
  <c r="E127" i="1"/>
  <c r="F127" i="1"/>
  <c r="G127" i="1"/>
  <c r="H127" i="1"/>
  <c r="L127" i="1" s="1"/>
  <c r="I127" i="1"/>
  <c r="A128" i="1"/>
  <c r="B128" i="1" a="1"/>
  <c r="B128" i="1" s="1"/>
  <c r="C128" i="1" s="1" a="1"/>
  <c r="C128" i="1" s="1"/>
  <c r="D128" i="1" a="1"/>
  <c r="D128" i="1" s="1"/>
  <c r="E128" i="1"/>
  <c r="F128" i="1"/>
  <c r="G128" i="1"/>
  <c r="H128" i="1"/>
  <c r="I128" i="1"/>
  <c r="A129" i="1"/>
  <c r="B129" i="1" a="1"/>
  <c r="B129" i="1" s="1"/>
  <c r="C129" i="1" s="1" a="1"/>
  <c r="C129" i="1" s="1"/>
  <c r="D129" i="1" a="1"/>
  <c r="D129" i="1" s="1"/>
  <c r="E129" i="1"/>
  <c r="F129" i="1"/>
  <c r="G129" i="1"/>
  <c r="H129" i="1"/>
  <c r="L129" i="1" s="1"/>
  <c r="I129" i="1"/>
  <c r="A130" i="1"/>
  <c r="B130" i="1" a="1"/>
  <c r="B130" i="1" s="1"/>
  <c r="C130" i="1" s="1" a="1"/>
  <c r="C130" i="1" s="1"/>
  <c r="D130" i="1" a="1"/>
  <c r="D130" i="1" s="1"/>
  <c r="E130" i="1"/>
  <c r="F130" i="1"/>
  <c r="G130" i="1"/>
  <c r="H130" i="1"/>
  <c r="L130" i="1" s="1"/>
  <c r="I130" i="1"/>
  <c r="A131" i="1"/>
  <c r="B131" i="1" a="1"/>
  <c r="B131" i="1" s="1"/>
  <c r="C131" i="1" s="1" a="1"/>
  <c r="C131" i="1" s="1"/>
  <c r="D131" i="1" a="1"/>
  <c r="D131" i="1" s="1"/>
  <c r="E131" i="1"/>
  <c r="F131" i="1"/>
  <c r="G131" i="1"/>
  <c r="H131" i="1"/>
  <c r="I131" i="1"/>
  <c r="A132" i="1"/>
  <c r="B132" i="1" a="1"/>
  <c r="B132" i="1" s="1"/>
  <c r="C132" i="1" s="1" a="1"/>
  <c r="C132" i="1" s="1"/>
  <c r="D132" i="1" a="1"/>
  <c r="D132" i="1" s="1"/>
  <c r="E132" i="1"/>
  <c r="F132" i="1"/>
  <c r="G132" i="1"/>
  <c r="H132" i="1"/>
  <c r="L132" i="1" s="1"/>
  <c r="I132" i="1"/>
  <c r="A133" i="1"/>
  <c r="B133" i="1" a="1"/>
  <c r="B133" i="1" s="1"/>
  <c r="C133" i="1" s="1" a="1"/>
  <c r="C133" i="1" s="1"/>
  <c r="D133" i="1" a="1"/>
  <c r="D133" i="1" s="1"/>
  <c r="E133" i="1"/>
  <c r="F133" i="1"/>
  <c r="G133" i="1"/>
  <c r="H133" i="1"/>
  <c r="I133" i="1"/>
  <c r="A134" i="1"/>
  <c r="B134" i="1" a="1"/>
  <c r="B134" i="1" s="1"/>
  <c r="C134" i="1" s="1" a="1"/>
  <c r="C134" i="1" s="1"/>
  <c r="D134" i="1" a="1"/>
  <c r="D134" i="1" s="1"/>
  <c r="E134" i="1"/>
  <c r="F134" i="1"/>
  <c r="G134" i="1"/>
  <c r="H134" i="1"/>
  <c r="L134" i="1" s="1"/>
  <c r="I134" i="1"/>
  <c r="A135" i="1"/>
  <c r="B135" i="1" a="1"/>
  <c r="B135" i="1" s="1"/>
  <c r="C135" i="1" s="1" a="1"/>
  <c r="C135" i="1" s="1"/>
  <c r="D135" i="1" a="1"/>
  <c r="D135" i="1" s="1"/>
  <c r="E135" i="1"/>
  <c r="F135" i="1"/>
  <c r="G135" i="1"/>
  <c r="H135" i="1"/>
  <c r="L135" i="1" s="1"/>
  <c r="I135" i="1"/>
  <c r="A136" i="1"/>
  <c r="B136" i="1" a="1"/>
  <c r="B136" i="1" s="1"/>
  <c r="C136" i="1" s="1" a="1"/>
  <c r="C136" i="1" s="1"/>
  <c r="D136" i="1" a="1"/>
  <c r="D136" i="1" s="1"/>
  <c r="E136" i="1"/>
  <c r="F136" i="1"/>
  <c r="G136" i="1"/>
  <c r="H136" i="1"/>
  <c r="L136" i="1" s="1"/>
  <c r="I136" i="1"/>
  <c r="A137" i="1"/>
  <c r="B137" i="1" a="1"/>
  <c r="B137" i="1" s="1"/>
  <c r="C137" i="1" s="1" a="1"/>
  <c r="C137" i="1" s="1"/>
  <c r="D137" i="1" a="1"/>
  <c r="D137" i="1" s="1"/>
  <c r="E137" i="1"/>
  <c r="F137" i="1"/>
  <c r="G137" i="1"/>
  <c r="H137" i="1"/>
  <c r="L137" i="1" s="1"/>
  <c r="I137" i="1"/>
  <c r="A138" i="1"/>
  <c r="B138" i="1" a="1"/>
  <c r="B138" i="1" s="1"/>
  <c r="C138" i="1" s="1" a="1"/>
  <c r="C138" i="1" s="1"/>
  <c r="D138" i="1" a="1"/>
  <c r="D138" i="1" s="1"/>
  <c r="E138" i="1"/>
  <c r="F138" i="1"/>
  <c r="G138" i="1"/>
  <c r="H138" i="1"/>
  <c r="I138" i="1"/>
  <c r="A139" i="1"/>
  <c r="B139" i="1" a="1"/>
  <c r="B139" i="1" s="1"/>
  <c r="C139" i="1" s="1" a="1"/>
  <c r="C139" i="1" s="1"/>
  <c r="D139" i="1" a="1"/>
  <c r="D139" i="1" s="1"/>
  <c r="E139" i="1"/>
  <c r="F139" i="1"/>
  <c r="G139" i="1"/>
  <c r="H139" i="1"/>
  <c r="L139" i="1" s="1"/>
  <c r="I139" i="1"/>
  <c r="A140" i="1"/>
  <c r="B140" i="1" a="1"/>
  <c r="B140" i="1" s="1"/>
  <c r="C140" i="1" s="1" a="1"/>
  <c r="C140" i="1" s="1"/>
  <c r="D140" i="1" a="1"/>
  <c r="D140" i="1" s="1"/>
  <c r="E140" i="1"/>
  <c r="F140" i="1"/>
  <c r="G140" i="1"/>
  <c r="H140" i="1"/>
  <c r="L140" i="1" s="1"/>
  <c r="I140" i="1"/>
  <c r="A141" i="1"/>
  <c r="B141" i="1" a="1"/>
  <c r="B141" i="1" s="1"/>
  <c r="C141" i="1" s="1" a="1"/>
  <c r="C141" i="1" s="1"/>
  <c r="D141" i="1" a="1"/>
  <c r="D141" i="1" s="1"/>
  <c r="E141" i="1"/>
  <c r="F141" i="1"/>
  <c r="G141" i="1"/>
  <c r="H141" i="1"/>
  <c r="L141" i="1" s="1"/>
  <c r="I141" i="1"/>
  <c r="A142" i="1"/>
  <c r="B142" i="1" a="1"/>
  <c r="B142" i="1" s="1"/>
  <c r="C142" i="1" s="1" a="1"/>
  <c r="C142" i="1" s="1"/>
  <c r="D142" i="1" a="1"/>
  <c r="D142" i="1" s="1"/>
  <c r="E142" i="1"/>
  <c r="F142" i="1"/>
  <c r="G142" i="1"/>
  <c r="H142" i="1"/>
  <c r="L142" i="1" s="1"/>
  <c r="I142" i="1"/>
  <c r="A143" i="1"/>
  <c r="B143" i="1" a="1"/>
  <c r="B143" i="1" s="1"/>
  <c r="C143" i="1" s="1" a="1"/>
  <c r="C143" i="1" s="1"/>
  <c r="D143" i="1" a="1"/>
  <c r="D143" i="1" s="1"/>
  <c r="E143" i="1"/>
  <c r="F143" i="1"/>
  <c r="G143" i="1"/>
  <c r="H143" i="1"/>
  <c r="L143" i="1" s="1"/>
  <c r="I143" i="1"/>
  <c r="A144" i="1"/>
  <c r="B144" i="1" a="1"/>
  <c r="B144" i="1" s="1"/>
  <c r="C144" i="1" s="1" a="1"/>
  <c r="C144" i="1" s="1"/>
  <c r="D144" i="1" a="1"/>
  <c r="D144" i="1" s="1"/>
  <c r="E144" i="1"/>
  <c r="F144" i="1"/>
  <c r="G144" i="1"/>
  <c r="H144" i="1"/>
  <c r="L144" i="1" s="1"/>
  <c r="I144" i="1"/>
  <c r="A145" i="1"/>
  <c r="B145" i="1" a="1"/>
  <c r="B145" i="1" s="1"/>
  <c r="C145" i="1" s="1" a="1"/>
  <c r="C145" i="1" s="1"/>
  <c r="D145" i="1" a="1"/>
  <c r="D145" i="1" s="1"/>
  <c r="E145" i="1"/>
  <c r="F145" i="1"/>
  <c r="G145" i="1"/>
  <c r="H145" i="1"/>
  <c r="M145" i="1" s="1"/>
  <c r="I145" i="1"/>
  <c r="A146" i="1"/>
  <c r="B146" i="1" a="1"/>
  <c r="B146" i="1" s="1"/>
  <c r="C146" i="1" s="1" a="1"/>
  <c r="C146" i="1" s="1"/>
  <c r="D146" i="1" a="1"/>
  <c r="D146" i="1" s="1"/>
  <c r="E146" i="1"/>
  <c r="F146" i="1"/>
  <c r="G146" i="1"/>
  <c r="H146" i="1"/>
  <c r="L146" i="1" s="1"/>
  <c r="I146" i="1"/>
  <c r="A147" i="1"/>
  <c r="B147" i="1" a="1"/>
  <c r="B147" i="1" s="1"/>
  <c r="C147" i="1" s="1" a="1"/>
  <c r="C147" i="1" s="1"/>
  <c r="D147" i="1" a="1"/>
  <c r="D147" i="1" s="1"/>
  <c r="E147" i="1"/>
  <c r="F147" i="1"/>
  <c r="G147" i="1"/>
  <c r="H147" i="1"/>
  <c r="L147" i="1" s="1"/>
  <c r="I147" i="1"/>
  <c r="A148" i="1"/>
  <c r="B148" i="1" a="1"/>
  <c r="B148" i="1" s="1"/>
  <c r="C148" i="1" s="1" a="1"/>
  <c r="C148" i="1" s="1"/>
  <c r="D148" i="1" a="1"/>
  <c r="D148" i="1" s="1"/>
  <c r="E148" i="1"/>
  <c r="F148" i="1"/>
  <c r="G148" i="1"/>
  <c r="H148" i="1"/>
  <c r="I148" i="1"/>
  <c r="A149" i="1"/>
  <c r="B149" i="1" a="1"/>
  <c r="B149" i="1" s="1"/>
  <c r="C149" i="1" s="1" a="1"/>
  <c r="C149" i="1" s="1"/>
  <c r="D149" i="1" a="1"/>
  <c r="D149" i="1" s="1"/>
  <c r="E149" i="1"/>
  <c r="F149" i="1"/>
  <c r="G149" i="1"/>
  <c r="H149" i="1"/>
  <c r="I149" i="1"/>
  <c r="A150" i="1"/>
  <c r="B150" i="1" a="1"/>
  <c r="B150" i="1" s="1"/>
  <c r="C150" i="1" s="1" a="1"/>
  <c r="C150" i="1" s="1"/>
  <c r="D150" i="1" a="1"/>
  <c r="D150" i="1" s="1"/>
  <c r="E150" i="1"/>
  <c r="F150" i="1"/>
  <c r="G150" i="1"/>
  <c r="H150" i="1"/>
  <c r="I150" i="1"/>
  <c r="A151" i="1"/>
  <c r="B151" i="1" a="1"/>
  <c r="B151" i="1" s="1"/>
  <c r="C151" i="1" s="1" a="1"/>
  <c r="C151" i="1" s="1"/>
  <c r="D151" i="1" a="1"/>
  <c r="D151" i="1" s="1"/>
  <c r="E151" i="1"/>
  <c r="F151" i="1"/>
  <c r="G151" i="1"/>
  <c r="H151" i="1"/>
  <c r="M151" i="1" s="1"/>
  <c r="I151" i="1"/>
  <c r="A152" i="1"/>
  <c r="B152" i="1" a="1"/>
  <c r="B152" i="1" s="1"/>
  <c r="C152" i="1" s="1" a="1"/>
  <c r="C152" i="1" s="1"/>
  <c r="D152" i="1" a="1"/>
  <c r="D152" i="1" s="1"/>
  <c r="E152" i="1"/>
  <c r="F152" i="1"/>
  <c r="G152" i="1"/>
  <c r="H152" i="1"/>
  <c r="M152" i="1" s="1"/>
  <c r="I152" i="1"/>
  <c r="A153" i="1"/>
  <c r="B153" i="1" a="1"/>
  <c r="B153" i="1" s="1"/>
  <c r="C153" i="1" s="1" a="1"/>
  <c r="C153" i="1" s="1"/>
  <c r="D153" i="1" a="1"/>
  <c r="D153" i="1" s="1"/>
  <c r="E153" i="1"/>
  <c r="F153" i="1"/>
  <c r="G153" i="1"/>
  <c r="H153" i="1"/>
  <c r="I153" i="1"/>
  <c r="A154" i="1"/>
  <c r="B154" i="1" a="1"/>
  <c r="B154" i="1" s="1"/>
  <c r="C154" i="1" s="1" a="1"/>
  <c r="C154" i="1" s="1"/>
  <c r="D154" i="1" a="1"/>
  <c r="D154" i="1" s="1"/>
  <c r="E154" i="1"/>
  <c r="F154" i="1"/>
  <c r="G154" i="1"/>
  <c r="H154" i="1"/>
  <c r="I154" i="1"/>
  <c r="A155" i="1"/>
  <c r="B155" i="1" a="1"/>
  <c r="B155" i="1" s="1"/>
  <c r="C155" i="1" s="1" a="1"/>
  <c r="C155" i="1" s="1"/>
  <c r="D155" i="1" a="1"/>
  <c r="D155" i="1" s="1"/>
  <c r="E155" i="1"/>
  <c r="F155" i="1"/>
  <c r="G155" i="1"/>
  <c r="H155" i="1"/>
  <c r="I155" i="1"/>
  <c r="A156" i="1"/>
  <c r="B156" i="1" a="1"/>
  <c r="B156" i="1" s="1"/>
  <c r="C156" i="1" s="1" a="1"/>
  <c r="C156" i="1" s="1"/>
  <c r="D156" i="1" a="1"/>
  <c r="D156" i="1" s="1"/>
  <c r="E156" i="1"/>
  <c r="F156" i="1"/>
  <c r="G156" i="1"/>
  <c r="H156" i="1"/>
  <c r="M156" i="1" s="1"/>
  <c r="I156" i="1"/>
  <c r="A157" i="1"/>
  <c r="B157" i="1" a="1"/>
  <c r="B157" i="1" s="1"/>
  <c r="C157" i="1" s="1" a="1"/>
  <c r="C157" i="1" s="1"/>
  <c r="D157" i="1" a="1"/>
  <c r="D157" i="1" s="1"/>
  <c r="E157" i="1"/>
  <c r="F157" i="1"/>
  <c r="G157" i="1"/>
  <c r="H157" i="1"/>
  <c r="M157" i="1" s="1"/>
  <c r="I157" i="1"/>
  <c r="A158" i="1"/>
  <c r="B158" i="1" a="1"/>
  <c r="B158" i="1" s="1"/>
  <c r="C158" i="1" s="1" a="1"/>
  <c r="C158" i="1" s="1"/>
  <c r="D158" i="1" a="1"/>
  <c r="D158" i="1" s="1"/>
  <c r="E158" i="1"/>
  <c r="F158" i="1"/>
  <c r="G158" i="1"/>
  <c r="H158" i="1"/>
  <c r="I158" i="1"/>
  <c r="A159" i="1"/>
  <c r="B159" i="1" a="1"/>
  <c r="B159" i="1" s="1"/>
  <c r="C159" i="1" s="1" a="1"/>
  <c r="C159" i="1" s="1"/>
  <c r="D159" i="1" a="1"/>
  <c r="D159" i="1" s="1"/>
  <c r="E159" i="1"/>
  <c r="F159" i="1"/>
  <c r="G159" i="1"/>
  <c r="H159" i="1"/>
  <c r="M159" i="1" s="1"/>
  <c r="I159" i="1"/>
  <c r="A160" i="1"/>
  <c r="B160" i="1" a="1"/>
  <c r="B160" i="1" s="1"/>
  <c r="C160" i="1" s="1" a="1"/>
  <c r="C160" i="1" s="1"/>
  <c r="D160" i="1" a="1"/>
  <c r="D160" i="1" s="1"/>
  <c r="E160" i="1"/>
  <c r="F160" i="1"/>
  <c r="G160" i="1"/>
  <c r="H160" i="1"/>
  <c r="M160" i="1" s="1"/>
  <c r="I160" i="1"/>
  <c r="A161" i="1"/>
  <c r="B161" i="1" a="1"/>
  <c r="B161" i="1" s="1"/>
  <c r="C161" i="1" s="1" a="1"/>
  <c r="C161" i="1" s="1"/>
  <c r="D161" i="1" a="1"/>
  <c r="D161" i="1" s="1"/>
  <c r="E161" i="1"/>
  <c r="F161" i="1"/>
  <c r="G161" i="1"/>
  <c r="H161" i="1"/>
  <c r="M161" i="1" s="1"/>
  <c r="I161" i="1"/>
  <c r="A162" i="1"/>
  <c r="B162" i="1" a="1"/>
  <c r="B162" i="1" s="1"/>
  <c r="C162" i="1" s="1" a="1"/>
  <c r="C162" i="1" s="1"/>
  <c r="D162" i="1" a="1"/>
  <c r="D162" i="1" s="1"/>
  <c r="E162" i="1"/>
  <c r="F162" i="1"/>
  <c r="G162" i="1"/>
  <c r="H162" i="1"/>
  <c r="I162" i="1"/>
  <c r="A163" i="1"/>
  <c r="B163" i="1" a="1"/>
  <c r="B163" i="1" s="1"/>
  <c r="C163" i="1" s="1" a="1"/>
  <c r="C163" i="1" s="1"/>
  <c r="D163" i="1" a="1"/>
  <c r="D163" i="1" s="1"/>
  <c r="E163" i="1"/>
  <c r="F163" i="1"/>
  <c r="G163" i="1"/>
  <c r="H163" i="1"/>
  <c r="I163" i="1"/>
  <c r="A164" i="1"/>
  <c r="B164" i="1" a="1"/>
  <c r="B164" i="1" s="1"/>
  <c r="C164" i="1" s="1" a="1"/>
  <c r="C164" i="1" s="1"/>
  <c r="D164" i="1" a="1"/>
  <c r="D164" i="1" s="1"/>
  <c r="E164" i="1"/>
  <c r="F164" i="1"/>
  <c r="G164" i="1"/>
  <c r="H164" i="1"/>
  <c r="I164" i="1"/>
  <c r="A165" i="1"/>
  <c r="B165" i="1" a="1"/>
  <c r="B165" i="1" s="1"/>
  <c r="C165" i="1" s="1" a="1"/>
  <c r="C165" i="1" s="1"/>
  <c r="D165" i="1" a="1"/>
  <c r="D165" i="1" s="1"/>
  <c r="E165" i="1"/>
  <c r="F165" i="1"/>
  <c r="G165" i="1"/>
  <c r="H165" i="1"/>
  <c r="M165" i="1" s="1"/>
  <c r="I165" i="1"/>
  <c r="A166" i="1"/>
  <c r="B166" i="1" a="1"/>
  <c r="B166" i="1" s="1"/>
  <c r="C166" i="1" s="1" a="1"/>
  <c r="C166" i="1" s="1"/>
  <c r="D166" i="1" a="1"/>
  <c r="D166" i="1" s="1"/>
  <c r="E166" i="1"/>
  <c r="F166" i="1"/>
  <c r="G166" i="1"/>
  <c r="H166" i="1"/>
  <c r="I166" i="1"/>
  <c r="A167" i="1"/>
  <c r="B167" i="1" a="1"/>
  <c r="B167" i="1" s="1"/>
  <c r="C167" i="1" s="1" a="1"/>
  <c r="C167" i="1" s="1"/>
  <c r="D167" i="1" a="1"/>
  <c r="D167" i="1" s="1"/>
  <c r="E167" i="1"/>
  <c r="F167" i="1"/>
  <c r="G167" i="1"/>
  <c r="H167" i="1"/>
  <c r="M167" i="1" s="1"/>
  <c r="I167" i="1"/>
  <c r="A168" i="1"/>
  <c r="B168" i="1" a="1"/>
  <c r="B168" i="1" s="1"/>
  <c r="C168" i="1" s="1" a="1"/>
  <c r="C168" i="1" s="1"/>
  <c r="D168" i="1" a="1"/>
  <c r="D168" i="1" s="1"/>
  <c r="E168" i="1"/>
  <c r="F168" i="1"/>
  <c r="G168" i="1"/>
  <c r="H168" i="1"/>
  <c r="I168" i="1"/>
  <c r="A169" i="1"/>
  <c r="B169" i="1" a="1"/>
  <c r="B169" i="1" s="1"/>
  <c r="C169" i="1" s="1" a="1"/>
  <c r="C169" i="1" s="1"/>
  <c r="D169" i="1" a="1"/>
  <c r="D169" i="1" s="1"/>
  <c r="E169" i="1"/>
  <c r="F169" i="1"/>
  <c r="G169" i="1"/>
  <c r="H169" i="1"/>
  <c r="I169" i="1"/>
  <c r="A170" i="1"/>
  <c r="B170" i="1" a="1"/>
  <c r="B170" i="1" s="1"/>
  <c r="C170" i="1" s="1" a="1"/>
  <c r="C170" i="1" s="1"/>
  <c r="D170" i="1" a="1"/>
  <c r="D170" i="1" s="1"/>
  <c r="E170" i="1"/>
  <c r="F170" i="1"/>
  <c r="G170" i="1"/>
  <c r="H170" i="1"/>
  <c r="I170" i="1"/>
  <c r="A171" i="1"/>
  <c r="B171" i="1" a="1"/>
  <c r="B171" i="1" s="1"/>
  <c r="C171" i="1" s="1" a="1"/>
  <c r="C171" i="1" s="1"/>
  <c r="D171" i="1" a="1"/>
  <c r="D171" i="1" s="1"/>
  <c r="E171" i="1"/>
  <c r="F171" i="1"/>
  <c r="G171" i="1"/>
  <c r="H171" i="1"/>
  <c r="I171" i="1"/>
  <c r="A172" i="1"/>
  <c r="B172" i="1" a="1"/>
  <c r="B172" i="1" s="1"/>
  <c r="C172" i="1" s="1" a="1"/>
  <c r="C172" i="1" s="1"/>
  <c r="D172" i="1" a="1"/>
  <c r="D172" i="1" s="1"/>
  <c r="E172" i="1"/>
  <c r="F172" i="1"/>
  <c r="G172" i="1"/>
  <c r="H172" i="1"/>
  <c r="M172" i="1" s="1"/>
  <c r="I172" i="1"/>
  <c r="A173" i="1"/>
  <c r="B173" i="1" a="1"/>
  <c r="B173" i="1" s="1"/>
  <c r="C173" i="1" s="1" a="1"/>
  <c r="C173" i="1" s="1"/>
  <c r="D173" i="1" a="1"/>
  <c r="D173" i="1" s="1"/>
  <c r="E173" i="1"/>
  <c r="F173" i="1"/>
  <c r="G173" i="1"/>
  <c r="H173" i="1"/>
  <c r="I173" i="1"/>
  <c r="A174" i="1"/>
  <c r="B174" i="1" a="1"/>
  <c r="B174" i="1" s="1"/>
  <c r="C174" i="1" s="1" a="1"/>
  <c r="C174" i="1" s="1"/>
  <c r="D174" i="1" a="1"/>
  <c r="D174" i="1" s="1"/>
  <c r="E174" i="1"/>
  <c r="F174" i="1"/>
  <c r="G174" i="1"/>
  <c r="H174" i="1"/>
  <c r="M174" i="1" s="1"/>
  <c r="I174" i="1"/>
  <c r="A175" i="1"/>
  <c r="B175" i="1" a="1"/>
  <c r="B175" i="1" s="1"/>
  <c r="C175" i="1" s="1" a="1"/>
  <c r="C175" i="1" s="1"/>
  <c r="D175" i="1" a="1"/>
  <c r="D175" i="1" s="1"/>
  <c r="E175" i="1"/>
  <c r="F175" i="1"/>
  <c r="G175" i="1"/>
  <c r="H175" i="1"/>
  <c r="M175" i="1" s="1"/>
  <c r="I175" i="1"/>
  <c r="A176" i="1"/>
  <c r="B176" i="1" a="1"/>
  <c r="B176" i="1" s="1"/>
  <c r="C176" i="1" s="1" a="1"/>
  <c r="C176" i="1" s="1"/>
  <c r="D176" i="1" a="1"/>
  <c r="D176" i="1" s="1"/>
  <c r="E176" i="1"/>
  <c r="F176" i="1"/>
  <c r="G176" i="1"/>
  <c r="H176" i="1"/>
  <c r="I176" i="1"/>
  <c r="A177" i="1"/>
  <c r="B177" i="1" a="1"/>
  <c r="B177" i="1" s="1"/>
  <c r="C177" i="1" s="1" a="1"/>
  <c r="C177" i="1" s="1"/>
  <c r="D177" i="1" a="1"/>
  <c r="D177" i="1" s="1"/>
  <c r="E177" i="1"/>
  <c r="F177" i="1"/>
  <c r="G177" i="1"/>
  <c r="H177" i="1"/>
  <c r="M177" i="1" s="1"/>
  <c r="I177" i="1"/>
  <c r="A178" i="1"/>
  <c r="B178" i="1" a="1"/>
  <c r="B178" i="1" s="1"/>
  <c r="C178" i="1" s="1" a="1"/>
  <c r="C178" i="1" s="1"/>
  <c r="D178" i="1" a="1"/>
  <c r="D178" i="1" s="1"/>
  <c r="E178" i="1"/>
  <c r="F178" i="1"/>
  <c r="G178" i="1"/>
  <c r="H178" i="1"/>
  <c r="I178" i="1"/>
  <c r="A179" i="1"/>
  <c r="B179" i="1" a="1"/>
  <c r="B179" i="1" s="1"/>
  <c r="C179" i="1" s="1" a="1"/>
  <c r="C179" i="1" s="1"/>
  <c r="D179" i="1" a="1"/>
  <c r="D179" i="1" s="1"/>
  <c r="E179" i="1"/>
  <c r="F179" i="1"/>
  <c r="G179" i="1"/>
  <c r="H179" i="1"/>
  <c r="M179" i="1" s="1"/>
  <c r="I179" i="1"/>
  <c r="A180" i="1"/>
  <c r="B180" i="1" a="1"/>
  <c r="B180" i="1" s="1"/>
  <c r="C180" i="1" s="1" a="1"/>
  <c r="C180" i="1" s="1"/>
  <c r="D180" i="1" a="1"/>
  <c r="D180" i="1" s="1"/>
  <c r="E180" i="1"/>
  <c r="F180" i="1"/>
  <c r="G180" i="1"/>
  <c r="H180" i="1"/>
  <c r="I180" i="1"/>
  <c r="A181" i="1"/>
  <c r="B181" i="1" a="1"/>
  <c r="B181" i="1" s="1"/>
  <c r="C181" i="1" s="1" a="1"/>
  <c r="C181" i="1" s="1"/>
  <c r="D181" i="1" a="1"/>
  <c r="D181" i="1" s="1"/>
  <c r="E181" i="1"/>
  <c r="F181" i="1"/>
  <c r="G181" i="1"/>
  <c r="H181" i="1"/>
  <c r="M181" i="1" s="1"/>
  <c r="I181" i="1"/>
  <c r="A182" i="1"/>
  <c r="B182" i="1" a="1"/>
  <c r="B182" i="1" s="1"/>
  <c r="C182" i="1" s="1" a="1"/>
  <c r="C182" i="1" s="1"/>
  <c r="D182" i="1" a="1"/>
  <c r="D182" i="1" s="1"/>
  <c r="E182" i="1"/>
  <c r="F182" i="1"/>
  <c r="G182" i="1"/>
  <c r="H182" i="1"/>
  <c r="I182" i="1"/>
  <c r="A183" i="1"/>
  <c r="B183" i="1" a="1"/>
  <c r="B183" i="1" s="1"/>
  <c r="C183" i="1" s="1" a="1"/>
  <c r="C183" i="1" s="1"/>
  <c r="D183" i="1" a="1"/>
  <c r="D183" i="1" s="1"/>
  <c r="E183" i="1"/>
  <c r="F183" i="1"/>
  <c r="G183" i="1"/>
  <c r="H183" i="1"/>
  <c r="L183" i="1" s="1"/>
  <c r="I183" i="1"/>
  <c r="A184" i="1"/>
  <c r="B184" i="1" a="1"/>
  <c r="B184" i="1" s="1"/>
  <c r="C184" i="1" s="1" a="1"/>
  <c r="C184" i="1" s="1"/>
  <c r="D184" i="1" a="1"/>
  <c r="D184" i="1" s="1"/>
  <c r="E184" i="1"/>
  <c r="F184" i="1"/>
  <c r="G184" i="1"/>
  <c r="H184" i="1"/>
  <c r="I184" i="1"/>
  <c r="A185" i="1"/>
  <c r="B185" i="1" a="1"/>
  <c r="B185" i="1" s="1"/>
  <c r="C185" i="1" s="1" a="1"/>
  <c r="C185" i="1" s="1"/>
  <c r="D185" i="1" a="1"/>
  <c r="D185" i="1" s="1"/>
  <c r="E185" i="1"/>
  <c r="F185" i="1"/>
  <c r="G185" i="1"/>
  <c r="H185" i="1"/>
  <c r="I185" i="1"/>
  <c r="A186" i="1"/>
  <c r="B186" i="1" a="1"/>
  <c r="B186" i="1" s="1"/>
  <c r="C186" i="1" s="1" a="1"/>
  <c r="C186" i="1" s="1"/>
  <c r="D186" i="1" a="1"/>
  <c r="D186" i="1" s="1"/>
  <c r="E186" i="1"/>
  <c r="F186" i="1"/>
  <c r="G186" i="1"/>
  <c r="H186" i="1"/>
  <c r="L186" i="1" s="1"/>
  <c r="I186" i="1"/>
  <c r="A187" i="1"/>
  <c r="B187" i="1" a="1"/>
  <c r="B187" i="1" s="1"/>
  <c r="C187" i="1" s="1" a="1"/>
  <c r="C187" i="1" s="1"/>
  <c r="D187" i="1" a="1"/>
  <c r="D187" i="1" s="1"/>
  <c r="E187" i="1"/>
  <c r="F187" i="1"/>
  <c r="G187" i="1"/>
  <c r="H187" i="1"/>
  <c r="L187" i="1" s="1"/>
  <c r="I187" i="1"/>
  <c r="A188" i="1"/>
  <c r="B188" i="1" a="1"/>
  <c r="B188" i="1" s="1"/>
  <c r="C188" i="1" s="1" a="1"/>
  <c r="C188" i="1" s="1"/>
  <c r="D188" i="1" a="1"/>
  <c r="D188" i="1" s="1"/>
  <c r="E188" i="1"/>
  <c r="F188" i="1"/>
  <c r="G188" i="1"/>
  <c r="H188" i="1"/>
  <c r="I188" i="1"/>
  <c r="A189" i="1"/>
  <c r="B189" i="1" a="1"/>
  <c r="B189" i="1" s="1"/>
  <c r="C189" i="1" s="1" a="1"/>
  <c r="C189" i="1" s="1"/>
  <c r="D189" i="1" a="1"/>
  <c r="D189" i="1" s="1"/>
  <c r="E189" i="1"/>
  <c r="F189" i="1"/>
  <c r="G189" i="1"/>
  <c r="H189" i="1"/>
  <c r="I189" i="1"/>
  <c r="A190" i="1"/>
  <c r="B190" i="1" a="1"/>
  <c r="B190" i="1" s="1"/>
  <c r="C190" i="1" s="1" a="1"/>
  <c r="C190" i="1" s="1"/>
  <c r="D190" i="1" a="1"/>
  <c r="D190" i="1" s="1"/>
  <c r="E190" i="1"/>
  <c r="F190" i="1"/>
  <c r="G190" i="1"/>
  <c r="H190" i="1"/>
  <c r="L190" i="1" s="1"/>
  <c r="I190" i="1"/>
  <c r="A191" i="1"/>
  <c r="B191" i="1" a="1"/>
  <c r="B191" i="1" s="1"/>
  <c r="C191" i="1" s="1" a="1"/>
  <c r="C191" i="1" s="1"/>
  <c r="D191" i="1" a="1"/>
  <c r="D191" i="1" s="1"/>
  <c r="E191" i="1"/>
  <c r="F191" i="1"/>
  <c r="G191" i="1"/>
  <c r="H191" i="1"/>
  <c r="L191" i="1" s="1"/>
  <c r="I191" i="1"/>
  <c r="A192" i="1"/>
  <c r="B192" i="1" a="1"/>
  <c r="B192" i="1" s="1"/>
  <c r="C192" i="1" s="1" a="1"/>
  <c r="C192" i="1" s="1"/>
  <c r="D192" i="1" a="1"/>
  <c r="D192" i="1" s="1"/>
  <c r="E192" i="1"/>
  <c r="F192" i="1"/>
  <c r="G192" i="1"/>
  <c r="H192" i="1"/>
  <c r="L192" i="1" s="1"/>
  <c r="I192" i="1"/>
  <c r="A193" i="1"/>
  <c r="B193" i="1" a="1"/>
  <c r="B193" i="1" s="1"/>
  <c r="C193" i="1" s="1" a="1"/>
  <c r="C193" i="1" s="1"/>
  <c r="D193" i="1" a="1"/>
  <c r="D193" i="1" s="1"/>
  <c r="E193" i="1"/>
  <c r="F193" i="1"/>
  <c r="G193" i="1"/>
  <c r="H193" i="1"/>
  <c r="I193" i="1"/>
  <c r="A194" i="1"/>
  <c r="B194" i="1" a="1"/>
  <c r="B194" i="1" s="1"/>
  <c r="C194" i="1" s="1" a="1"/>
  <c r="C194" i="1" s="1"/>
  <c r="D194" i="1" a="1"/>
  <c r="D194" i="1" s="1"/>
  <c r="E194" i="1"/>
  <c r="F194" i="1"/>
  <c r="G194" i="1"/>
  <c r="H194" i="1"/>
  <c r="I194" i="1"/>
  <c r="A195" i="1"/>
  <c r="B195" i="1" a="1"/>
  <c r="B195" i="1" s="1"/>
  <c r="C195" i="1" s="1" a="1"/>
  <c r="C195" i="1" s="1"/>
  <c r="D195" i="1" a="1"/>
  <c r="D195" i="1" s="1"/>
  <c r="E195" i="1"/>
  <c r="F195" i="1"/>
  <c r="G195" i="1"/>
  <c r="H195" i="1"/>
  <c r="L195" i="1" s="1"/>
  <c r="I195" i="1"/>
  <c r="A196" i="1"/>
  <c r="B196" i="1" a="1"/>
  <c r="B196" i="1" s="1"/>
  <c r="C196" i="1" s="1" a="1"/>
  <c r="C196" i="1" s="1"/>
  <c r="D196" i="1" a="1"/>
  <c r="D196" i="1" s="1"/>
  <c r="E196" i="1"/>
  <c r="F196" i="1"/>
  <c r="G196" i="1"/>
  <c r="H196" i="1"/>
  <c r="I196" i="1"/>
  <c r="A197" i="1"/>
  <c r="B197" i="1" a="1"/>
  <c r="B197" i="1" s="1"/>
  <c r="C197" i="1" s="1" a="1"/>
  <c r="C197" i="1" s="1"/>
  <c r="D197" i="1" a="1"/>
  <c r="D197" i="1" s="1"/>
  <c r="E197" i="1"/>
  <c r="F197" i="1"/>
  <c r="G197" i="1"/>
  <c r="H197" i="1"/>
  <c r="L197" i="1" s="1"/>
  <c r="I197" i="1"/>
  <c r="A198" i="1"/>
  <c r="B198" i="1" a="1"/>
  <c r="B198" i="1" s="1"/>
  <c r="C198" i="1" s="1" a="1"/>
  <c r="C198" i="1" s="1"/>
  <c r="D198" i="1" a="1"/>
  <c r="D198" i="1" s="1"/>
  <c r="E198" i="1"/>
  <c r="F198" i="1"/>
  <c r="G198" i="1"/>
  <c r="H198" i="1"/>
  <c r="M198" i="1" s="1"/>
  <c r="I198" i="1"/>
  <c r="A199" i="1"/>
  <c r="B199" i="1" a="1"/>
  <c r="B199" i="1" s="1"/>
  <c r="C199" i="1" s="1" a="1"/>
  <c r="C199" i="1" s="1"/>
  <c r="D199" i="1" a="1"/>
  <c r="D199" i="1" s="1"/>
  <c r="E199" i="1"/>
  <c r="F199" i="1"/>
  <c r="G199" i="1"/>
  <c r="H199" i="1"/>
  <c r="L199" i="1" s="1"/>
  <c r="I199" i="1"/>
  <c r="A200" i="1"/>
  <c r="B200" i="1" a="1"/>
  <c r="B200" i="1" s="1"/>
  <c r="C200" i="1" s="1" a="1"/>
  <c r="C200" i="1" s="1"/>
  <c r="D200" i="1" a="1"/>
  <c r="D200" i="1" s="1"/>
  <c r="E200" i="1"/>
  <c r="F200" i="1"/>
  <c r="G200" i="1"/>
  <c r="H200" i="1"/>
  <c r="I200" i="1"/>
  <c r="A201" i="1"/>
  <c r="B201" i="1" a="1"/>
  <c r="B201" i="1" s="1"/>
  <c r="C201" i="1" s="1" a="1"/>
  <c r="C201" i="1" s="1"/>
  <c r="D201" i="1" a="1"/>
  <c r="D201" i="1" s="1"/>
  <c r="E201" i="1"/>
  <c r="F201" i="1"/>
  <c r="G201" i="1"/>
  <c r="H201" i="1"/>
  <c r="I201" i="1"/>
  <c r="A202" i="1"/>
  <c r="B202" i="1" a="1"/>
  <c r="B202" i="1" s="1"/>
  <c r="C202" i="1" s="1" a="1"/>
  <c r="C202" i="1" s="1"/>
  <c r="D202" i="1" a="1"/>
  <c r="D202" i="1" s="1"/>
  <c r="E202" i="1"/>
  <c r="F202" i="1"/>
  <c r="G202" i="1"/>
  <c r="H202" i="1"/>
  <c r="I202" i="1"/>
  <c r="A203" i="1"/>
  <c r="B203" i="1" a="1"/>
  <c r="B203" i="1" s="1"/>
  <c r="C203" i="1" s="1" a="1"/>
  <c r="C203" i="1" s="1"/>
  <c r="D203" i="1" a="1"/>
  <c r="D203" i="1" s="1"/>
  <c r="E203" i="1"/>
  <c r="F203" i="1"/>
  <c r="G203" i="1"/>
  <c r="H203" i="1"/>
  <c r="L203" i="1" s="1"/>
  <c r="I203" i="1"/>
  <c r="A204" i="1"/>
  <c r="B204" i="1" a="1"/>
  <c r="B204" i="1" s="1"/>
  <c r="C204" i="1" s="1" a="1"/>
  <c r="C204" i="1" s="1"/>
  <c r="D204" i="1" a="1"/>
  <c r="D204" i="1" s="1"/>
  <c r="E204" i="1"/>
  <c r="F204" i="1"/>
  <c r="G204" i="1"/>
  <c r="H204" i="1"/>
  <c r="I204" i="1"/>
  <c r="A205" i="1"/>
  <c r="B205" i="1" a="1"/>
  <c r="B205" i="1" s="1"/>
  <c r="C205" i="1" s="1" a="1"/>
  <c r="C205" i="1" s="1"/>
  <c r="D205" i="1" a="1"/>
  <c r="D205" i="1" s="1"/>
  <c r="E205" i="1"/>
  <c r="F205" i="1"/>
  <c r="G205" i="1"/>
  <c r="H205" i="1"/>
  <c r="L205" i="1" s="1"/>
  <c r="I205" i="1"/>
  <c r="A206" i="1"/>
  <c r="B206" i="1" a="1"/>
  <c r="B206" i="1" s="1"/>
  <c r="C206" i="1" s="1" a="1"/>
  <c r="C206" i="1" s="1"/>
  <c r="D206" i="1" a="1"/>
  <c r="D206" i="1" s="1"/>
  <c r="E206" i="1"/>
  <c r="F206" i="1"/>
  <c r="G206" i="1"/>
  <c r="H206" i="1"/>
  <c r="L206" i="1" s="1"/>
  <c r="I206" i="1"/>
  <c r="A207" i="1"/>
  <c r="B207" i="1" a="1"/>
  <c r="B207" i="1" s="1"/>
  <c r="C207" i="1" s="1" a="1"/>
  <c r="C207" i="1" s="1"/>
  <c r="D207" i="1" a="1"/>
  <c r="D207" i="1" s="1"/>
  <c r="E207" i="1"/>
  <c r="F207" i="1"/>
  <c r="G207" i="1"/>
  <c r="H207" i="1"/>
  <c r="L207" i="1" s="1"/>
  <c r="I207" i="1"/>
  <c r="A208" i="1"/>
  <c r="B208" i="1" a="1"/>
  <c r="B208" i="1" s="1"/>
  <c r="C208" i="1" s="1" a="1"/>
  <c r="C208" i="1" s="1"/>
  <c r="D208" i="1" a="1"/>
  <c r="D208" i="1" s="1"/>
  <c r="E208" i="1"/>
  <c r="F208" i="1"/>
  <c r="G208" i="1"/>
  <c r="H208" i="1"/>
  <c r="I208" i="1"/>
  <c r="A209" i="1"/>
  <c r="B209" i="1" a="1"/>
  <c r="B209" i="1" s="1"/>
  <c r="C209" i="1" s="1" a="1"/>
  <c r="C209" i="1" s="1"/>
  <c r="D209" i="1" a="1"/>
  <c r="D209" i="1" s="1"/>
  <c r="E209" i="1"/>
  <c r="F209" i="1"/>
  <c r="G209" i="1"/>
  <c r="H209" i="1"/>
  <c r="I209" i="1"/>
  <c r="A210" i="1"/>
  <c r="B210" i="1" a="1"/>
  <c r="B210" i="1" s="1"/>
  <c r="C210" i="1" s="1" a="1"/>
  <c r="C210" i="1" s="1"/>
  <c r="D210" i="1" a="1"/>
  <c r="D210" i="1" s="1"/>
  <c r="E210" i="1"/>
  <c r="F210" i="1"/>
  <c r="G210" i="1"/>
  <c r="H210" i="1"/>
  <c r="M210" i="1" s="1"/>
  <c r="I210" i="1"/>
  <c r="A211" i="1"/>
  <c r="B211" i="1" a="1"/>
  <c r="B211" i="1" s="1"/>
  <c r="C211" i="1" s="1" a="1"/>
  <c r="C211" i="1" s="1"/>
  <c r="D211" i="1" a="1"/>
  <c r="D211" i="1" s="1"/>
  <c r="E211" i="1"/>
  <c r="F211" i="1"/>
  <c r="G211" i="1"/>
  <c r="H211" i="1"/>
  <c r="L211" i="1" s="1"/>
  <c r="I211" i="1"/>
  <c r="A212" i="1"/>
  <c r="B212" i="1" a="1"/>
  <c r="B212" i="1" s="1"/>
  <c r="C212" i="1" s="1" a="1"/>
  <c r="C212" i="1" s="1"/>
  <c r="D212" i="1" a="1"/>
  <c r="D212" i="1" s="1"/>
  <c r="E212" i="1"/>
  <c r="F212" i="1"/>
  <c r="G212" i="1"/>
  <c r="H212" i="1"/>
  <c r="L212" i="1" s="1"/>
  <c r="I212" i="1"/>
  <c r="A213" i="1"/>
  <c r="B213" i="1" a="1"/>
  <c r="B213" i="1" s="1"/>
  <c r="C213" i="1" s="1" a="1"/>
  <c r="C213" i="1" s="1"/>
  <c r="D213" i="1" a="1"/>
  <c r="D213" i="1" s="1"/>
  <c r="E213" i="1"/>
  <c r="F213" i="1"/>
  <c r="G213" i="1"/>
  <c r="H213" i="1"/>
  <c r="I213" i="1"/>
  <c r="A214" i="1"/>
  <c r="B214" i="1" a="1"/>
  <c r="B214" i="1" s="1"/>
  <c r="C214" i="1" s="1" a="1"/>
  <c r="C214" i="1" s="1"/>
  <c r="D214" i="1" a="1"/>
  <c r="D214" i="1" s="1"/>
  <c r="E214" i="1"/>
  <c r="F214" i="1"/>
  <c r="G214" i="1"/>
  <c r="H214" i="1"/>
  <c r="L214" i="1" s="1"/>
  <c r="I214" i="1"/>
  <c r="A215" i="1"/>
  <c r="B215" i="1" a="1"/>
  <c r="B215" i="1" s="1"/>
  <c r="C215" i="1" s="1" a="1"/>
  <c r="C215" i="1" s="1"/>
  <c r="D215" i="1" a="1"/>
  <c r="D215" i="1" s="1"/>
  <c r="E215" i="1"/>
  <c r="F215" i="1"/>
  <c r="G215" i="1"/>
  <c r="H215" i="1"/>
  <c r="L215" i="1" s="1"/>
  <c r="I215" i="1"/>
  <c r="A216" i="1"/>
  <c r="B216" i="1" a="1"/>
  <c r="B216" i="1" s="1"/>
  <c r="C216" i="1" s="1" a="1"/>
  <c r="C216" i="1" s="1"/>
  <c r="D216" i="1" a="1"/>
  <c r="D216" i="1" s="1"/>
  <c r="E216" i="1"/>
  <c r="F216" i="1"/>
  <c r="G216" i="1"/>
  <c r="H216" i="1"/>
  <c r="L216" i="1" s="1"/>
  <c r="I216" i="1"/>
  <c r="A217" i="1"/>
  <c r="B217" i="1" a="1"/>
  <c r="B217" i="1" s="1"/>
  <c r="C217" i="1" s="1" a="1"/>
  <c r="C217" i="1" s="1"/>
  <c r="D217" i="1" a="1"/>
  <c r="D217" i="1" s="1"/>
  <c r="E217" i="1"/>
  <c r="F217" i="1"/>
  <c r="G217" i="1"/>
  <c r="H217" i="1"/>
  <c r="I217" i="1"/>
  <c r="A218" i="1"/>
  <c r="B218" i="1" a="1"/>
  <c r="B218" i="1" s="1"/>
  <c r="C218" i="1" s="1" a="1"/>
  <c r="C218" i="1" s="1"/>
  <c r="D218" i="1" a="1"/>
  <c r="D218" i="1" s="1"/>
  <c r="E218" i="1"/>
  <c r="F218" i="1"/>
  <c r="G218" i="1"/>
  <c r="H218" i="1"/>
  <c r="I218" i="1"/>
  <c r="A219" i="1"/>
  <c r="B219" i="1" a="1"/>
  <c r="B219" i="1" s="1"/>
  <c r="C219" i="1" s="1" a="1"/>
  <c r="C219" i="1" s="1"/>
  <c r="D219" i="1" a="1"/>
  <c r="D219" i="1" s="1"/>
  <c r="E219" i="1"/>
  <c r="F219" i="1"/>
  <c r="G219" i="1"/>
  <c r="H219" i="1"/>
  <c r="L219" i="1" s="1"/>
  <c r="I219" i="1"/>
  <c r="A220" i="1"/>
  <c r="B220" i="1" a="1"/>
  <c r="B220" i="1" s="1"/>
  <c r="C220" i="1" s="1" a="1"/>
  <c r="C220" i="1" s="1"/>
  <c r="D220" i="1" a="1"/>
  <c r="D220" i="1" s="1"/>
  <c r="E220" i="1"/>
  <c r="F220" i="1"/>
  <c r="G220" i="1"/>
  <c r="H220" i="1"/>
  <c r="I220" i="1"/>
  <c r="A221" i="1"/>
  <c r="B221" i="1" a="1"/>
  <c r="B221" i="1" s="1"/>
  <c r="C221" i="1" s="1" a="1"/>
  <c r="C221" i="1" s="1"/>
  <c r="D221" i="1" a="1"/>
  <c r="D221" i="1" s="1"/>
  <c r="E221" i="1"/>
  <c r="F221" i="1"/>
  <c r="G221" i="1"/>
  <c r="H221" i="1"/>
  <c r="I221" i="1"/>
  <c r="A222" i="1"/>
  <c r="B222" i="1" a="1"/>
  <c r="B222" i="1" s="1"/>
  <c r="C222" i="1" s="1" a="1"/>
  <c r="C222" i="1" s="1"/>
  <c r="D222" i="1" a="1"/>
  <c r="D222" i="1" s="1"/>
  <c r="E222" i="1"/>
  <c r="F222" i="1"/>
  <c r="G222" i="1"/>
  <c r="H222" i="1"/>
  <c r="M222" i="1" s="1"/>
  <c r="I222" i="1"/>
  <c r="A223" i="1"/>
  <c r="B223" i="1" a="1"/>
  <c r="B223" i="1" s="1"/>
  <c r="C223" i="1" s="1" a="1"/>
  <c r="C223" i="1" s="1"/>
  <c r="D223" i="1" a="1"/>
  <c r="D223" i="1" s="1"/>
  <c r="E223" i="1"/>
  <c r="F223" i="1"/>
  <c r="G223" i="1"/>
  <c r="H223" i="1"/>
  <c r="I223" i="1"/>
  <c r="A224" i="1"/>
  <c r="B224" i="1" a="1"/>
  <c r="B224" i="1" s="1"/>
  <c r="C224" i="1" s="1" a="1"/>
  <c r="C224" i="1" s="1"/>
  <c r="D224" i="1" a="1"/>
  <c r="D224" i="1" s="1"/>
  <c r="E224" i="1"/>
  <c r="F224" i="1"/>
  <c r="G224" i="1"/>
  <c r="H224" i="1"/>
  <c r="L224" i="1" s="1"/>
  <c r="I224" i="1"/>
  <c r="A225" i="1"/>
  <c r="B225" i="1" a="1"/>
  <c r="B225" i="1" s="1"/>
  <c r="C225" i="1" s="1" a="1"/>
  <c r="C225" i="1" s="1"/>
  <c r="D225" i="1" a="1"/>
  <c r="D225" i="1" s="1"/>
  <c r="E225" i="1"/>
  <c r="F225" i="1"/>
  <c r="G225" i="1"/>
  <c r="H225" i="1"/>
  <c r="I225" i="1"/>
  <c r="A226" i="1"/>
  <c r="B226" i="1" a="1"/>
  <c r="B226" i="1" s="1"/>
  <c r="C226" i="1" s="1" a="1"/>
  <c r="C226" i="1" s="1"/>
  <c r="D226" i="1" a="1"/>
  <c r="D226" i="1" s="1"/>
  <c r="E226" i="1"/>
  <c r="F226" i="1"/>
  <c r="G226" i="1"/>
  <c r="H226" i="1"/>
  <c r="M226" i="1" s="1"/>
  <c r="I226" i="1"/>
  <c r="A227" i="1"/>
  <c r="B227" i="1" a="1"/>
  <c r="B227" i="1" s="1"/>
  <c r="C227" i="1" s="1" a="1"/>
  <c r="C227" i="1" s="1"/>
  <c r="D227" i="1" a="1"/>
  <c r="D227" i="1" s="1"/>
  <c r="E227" i="1"/>
  <c r="F227" i="1"/>
  <c r="G227" i="1"/>
  <c r="H227" i="1"/>
  <c r="M227" i="1" s="1"/>
  <c r="I227" i="1"/>
  <c r="A228" i="1"/>
  <c r="B228" i="1" a="1"/>
  <c r="B228" i="1" s="1"/>
  <c r="C228" i="1" s="1" a="1"/>
  <c r="C228" i="1" s="1"/>
  <c r="D228" i="1" a="1"/>
  <c r="D228" i="1" s="1"/>
  <c r="E228" i="1"/>
  <c r="F228" i="1"/>
  <c r="G228" i="1"/>
  <c r="H228" i="1"/>
  <c r="M228" i="1" s="1"/>
  <c r="I228" i="1"/>
  <c r="A229" i="1"/>
  <c r="B229" i="1" a="1"/>
  <c r="B229" i="1" s="1"/>
  <c r="C229" i="1" s="1" a="1"/>
  <c r="C229" i="1" s="1"/>
  <c r="D229" i="1" a="1"/>
  <c r="D229" i="1" s="1"/>
  <c r="E229" i="1"/>
  <c r="F229" i="1"/>
  <c r="G229" i="1"/>
  <c r="H229" i="1"/>
  <c r="M229" i="1" s="1"/>
  <c r="I229" i="1"/>
  <c r="A230" i="1"/>
  <c r="B230" i="1" a="1"/>
  <c r="B230" i="1" s="1"/>
  <c r="C230" i="1" s="1" a="1"/>
  <c r="C230" i="1" s="1"/>
  <c r="D230" i="1" a="1"/>
  <c r="D230" i="1" s="1"/>
  <c r="E230" i="1"/>
  <c r="F230" i="1"/>
  <c r="G230" i="1"/>
  <c r="H230" i="1"/>
  <c r="M230" i="1" s="1"/>
  <c r="I230" i="1"/>
  <c r="A231" i="1"/>
  <c r="B231" i="1" a="1"/>
  <c r="B231" i="1" s="1"/>
  <c r="C231" i="1" s="1" a="1"/>
  <c r="C231" i="1" s="1"/>
  <c r="D231" i="1" a="1"/>
  <c r="D231" i="1" s="1"/>
  <c r="E231" i="1"/>
  <c r="F231" i="1"/>
  <c r="G231" i="1"/>
  <c r="H231" i="1"/>
  <c r="M231" i="1" s="1"/>
  <c r="I231" i="1"/>
  <c r="A232" i="1"/>
  <c r="B232" i="1" a="1"/>
  <c r="B232" i="1" s="1"/>
  <c r="C232" i="1" s="1" a="1"/>
  <c r="C232" i="1" s="1"/>
  <c r="D232" i="1" a="1"/>
  <c r="D232" i="1" s="1"/>
  <c r="E232" i="1"/>
  <c r="F232" i="1"/>
  <c r="G232" i="1"/>
  <c r="H232" i="1"/>
  <c r="M232" i="1" s="1"/>
  <c r="I232" i="1"/>
  <c r="A233" i="1"/>
  <c r="B233" i="1" a="1"/>
  <c r="B233" i="1" s="1"/>
  <c r="C233" i="1" s="1" a="1"/>
  <c r="C233" i="1" s="1"/>
  <c r="D233" i="1" a="1"/>
  <c r="D233" i="1" s="1"/>
  <c r="E233" i="1"/>
  <c r="F233" i="1"/>
  <c r="G233" i="1"/>
  <c r="H233" i="1"/>
  <c r="M233" i="1" s="1"/>
  <c r="I233" i="1"/>
  <c r="A234" i="1"/>
  <c r="B234" i="1" a="1"/>
  <c r="B234" i="1" s="1"/>
  <c r="C234" i="1" s="1" a="1"/>
  <c r="C234" i="1" s="1"/>
  <c r="D234" i="1" a="1"/>
  <c r="D234" i="1" s="1"/>
  <c r="E234" i="1"/>
  <c r="F234" i="1"/>
  <c r="G234" i="1"/>
  <c r="H234" i="1"/>
  <c r="M234" i="1" s="1"/>
  <c r="I234" i="1"/>
  <c r="A235" i="1"/>
  <c r="B235" i="1" a="1"/>
  <c r="B235" i="1" s="1"/>
  <c r="C235" i="1" s="1" a="1"/>
  <c r="C235" i="1" s="1"/>
  <c r="D235" i="1" a="1"/>
  <c r="D235" i="1" s="1"/>
  <c r="E235" i="1"/>
  <c r="F235" i="1"/>
  <c r="G235" i="1"/>
  <c r="H235" i="1"/>
  <c r="M235" i="1" s="1"/>
  <c r="I235" i="1"/>
  <c r="A236" i="1"/>
  <c r="B236" i="1" a="1"/>
  <c r="B236" i="1" s="1"/>
  <c r="C236" i="1" s="1" a="1"/>
  <c r="C236" i="1" s="1"/>
  <c r="D236" i="1" a="1"/>
  <c r="D236" i="1" s="1"/>
  <c r="E236" i="1"/>
  <c r="F236" i="1"/>
  <c r="G236" i="1"/>
  <c r="H236" i="1"/>
  <c r="M236" i="1" s="1"/>
  <c r="I236" i="1"/>
  <c r="A237" i="1"/>
  <c r="B237" i="1" a="1"/>
  <c r="B237" i="1" s="1"/>
  <c r="C237" i="1" s="1" a="1"/>
  <c r="C237" i="1" s="1"/>
  <c r="D237" i="1" a="1"/>
  <c r="D237" i="1" s="1"/>
  <c r="E237" i="1"/>
  <c r="F237" i="1"/>
  <c r="G237" i="1"/>
  <c r="H237" i="1"/>
  <c r="M237" i="1" s="1"/>
  <c r="I237" i="1"/>
  <c r="A238" i="1"/>
  <c r="B238" i="1" a="1"/>
  <c r="B238" i="1" s="1"/>
  <c r="C238" i="1" s="1" a="1"/>
  <c r="C238" i="1" s="1"/>
  <c r="D238" i="1" a="1"/>
  <c r="D238" i="1" s="1"/>
  <c r="E238" i="1"/>
  <c r="F238" i="1"/>
  <c r="G238" i="1"/>
  <c r="H238" i="1"/>
  <c r="M238" i="1" s="1"/>
  <c r="I238" i="1"/>
  <c r="A239" i="1"/>
  <c r="B239" i="1" a="1"/>
  <c r="B239" i="1" s="1"/>
  <c r="C239" i="1" s="1" a="1"/>
  <c r="C239" i="1" s="1"/>
  <c r="D239" i="1" a="1"/>
  <c r="D239" i="1" s="1"/>
  <c r="E239" i="1"/>
  <c r="F239" i="1"/>
  <c r="G239" i="1"/>
  <c r="H239" i="1"/>
  <c r="M239" i="1" s="1"/>
  <c r="I239" i="1"/>
  <c r="A240" i="1"/>
  <c r="B240" i="1" a="1"/>
  <c r="B240" i="1" s="1"/>
  <c r="C240" i="1" s="1" a="1"/>
  <c r="C240" i="1" s="1"/>
  <c r="D240" i="1" a="1"/>
  <c r="D240" i="1" s="1"/>
  <c r="E240" i="1"/>
  <c r="F240" i="1"/>
  <c r="G240" i="1"/>
  <c r="H240" i="1"/>
  <c r="M240" i="1" s="1"/>
  <c r="I240" i="1"/>
  <c r="A241" i="1"/>
  <c r="B241" i="1" a="1"/>
  <c r="B241" i="1" s="1"/>
  <c r="C241" i="1" s="1" a="1"/>
  <c r="C241" i="1" s="1"/>
  <c r="D241" i="1" a="1"/>
  <c r="D241" i="1" s="1"/>
  <c r="E241" i="1"/>
  <c r="F241" i="1"/>
  <c r="G241" i="1"/>
  <c r="H241" i="1"/>
  <c r="M241" i="1" s="1"/>
  <c r="I241" i="1"/>
  <c r="A242" i="1"/>
  <c r="B242" i="1" a="1"/>
  <c r="B242" i="1" s="1"/>
  <c r="C242" i="1" s="1" a="1"/>
  <c r="C242" i="1" s="1"/>
  <c r="D242" i="1" a="1"/>
  <c r="D242" i="1" s="1"/>
  <c r="E242" i="1"/>
  <c r="F242" i="1"/>
  <c r="G242" i="1"/>
  <c r="H242" i="1"/>
  <c r="M242" i="1" s="1"/>
  <c r="I242" i="1"/>
  <c r="A243" i="1"/>
  <c r="B243" i="1" a="1"/>
  <c r="B243" i="1" s="1"/>
  <c r="C243" i="1" s="1" a="1"/>
  <c r="C243" i="1" s="1"/>
  <c r="D243" i="1" a="1"/>
  <c r="D243" i="1" s="1"/>
  <c r="E243" i="1"/>
  <c r="F243" i="1"/>
  <c r="G243" i="1"/>
  <c r="H243" i="1"/>
  <c r="M243" i="1" s="1"/>
  <c r="I243" i="1"/>
  <c r="A244" i="1"/>
  <c r="B244" i="1" a="1"/>
  <c r="B244" i="1" s="1"/>
  <c r="C244" i="1" s="1" a="1"/>
  <c r="C244" i="1" s="1"/>
  <c r="D244" i="1" a="1"/>
  <c r="D244" i="1" s="1"/>
  <c r="E244" i="1"/>
  <c r="F244" i="1"/>
  <c r="G244" i="1"/>
  <c r="H244" i="1"/>
  <c r="M244" i="1" s="1"/>
  <c r="I244" i="1"/>
  <c r="A245" i="1"/>
  <c r="B245" i="1" a="1"/>
  <c r="B245" i="1" s="1"/>
  <c r="C245" i="1" s="1" a="1"/>
  <c r="C245" i="1" s="1"/>
  <c r="D245" i="1" a="1"/>
  <c r="D245" i="1" s="1"/>
  <c r="E245" i="1"/>
  <c r="F245" i="1"/>
  <c r="G245" i="1"/>
  <c r="H245" i="1"/>
  <c r="M245" i="1" s="1"/>
  <c r="I245" i="1"/>
  <c r="A246" i="1"/>
  <c r="B246" i="1" a="1"/>
  <c r="B246" i="1" s="1"/>
  <c r="C246" i="1" s="1" a="1"/>
  <c r="C246" i="1" s="1"/>
  <c r="D246" i="1" a="1"/>
  <c r="D246" i="1" s="1"/>
  <c r="E246" i="1"/>
  <c r="F246" i="1"/>
  <c r="G246" i="1"/>
  <c r="H246" i="1"/>
  <c r="M246" i="1" s="1"/>
  <c r="I246" i="1"/>
  <c r="A247" i="1"/>
  <c r="B247" i="1" a="1"/>
  <c r="B247" i="1" s="1"/>
  <c r="C247" i="1" s="1" a="1"/>
  <c r="C247" i="1" s="1"/>
  <c r="D247" i="1" a="1"/>
  <c r="D247" i="1" s="1"/>
  <c r="E247" i="1"/>
  <c r="F247" i="1"/>
  <c r="G247" i="1"/>
  <c r="H247" i="1"/>
  <c r="M247" i="1" s="1"/>
  <c r="I247" i="1"/>
  <c r="A248" i="1"/>
  <c r="B248" i="1" a="1"/>
  <c r="B248" i="1" s="1"/>
  <c r="C248" i="1" s="1" a="1"/>
  <c r="C248" i="1" s="1"/>
  <c r="D248" i="1" a="1"/>
  <c r="D248" i="1" s="1"/>
  <c r="E248" i="1"/>
  <c r="F248" i="1"/>
  <c r="G248" i="1"/>
  <c r="H248" i="1"/>
  <c r="M248" i="1" s="1"/>
  <c r="I248" i="1"/>
  <c r="A249" i="1"/>
  <c r="B249" i="1" a="1"/>
  <c r="B249" i="1" s="1"/>
  <c r="C249" i="1" s="1" a="1"/>
  <c r="C249" i="1" s="1"/>
  <c r="D249" i="1" a="1"/>
  <c r="D249" i="1" s="1"/>
  <c r="E249" i="1"/>
  <c r="F249" i="1"/>
  <c r="G249" i="1"/>
  <c r="H249" i="1"/>
  <c r="M249" i="1" s="1"/>
  <c r="I249" i="1"/>
  <c r="A250" i="1"/>
  <c r="B250" i="1" a="1"/>
  <c r="B250" i="1" s="1"/>
  <c r="C250" i="1" s="1" a="1"/>
  <c r="C250" i="1" s="1"/>
  <c r="D250" i="1" a="1"/>
  <c r="D250" i="1" s="1"/>
  <c r="E250" i="1"/>
  <c r="F250" i="1"/>
  <c r="G250" i="1"/>
  <c r="H250" i="1"/>
  <c r="M250" i="1" s="1"/>
  <c r="I250" i="1"/>
  <c r="A251" i="1"/>
  <c r="B251" i="1" a="1"/>
  <c r="B251" i="1" s="1"/>
  <c r="C251" i="1" s="1" a="1"/>
  <c r="C251" i="1" s="1"/>
  <c r="D251" i="1" a="1"/>
  <c r="D251" i="1" s="1"/>
  <c r="E251" i="1"/>
  <c r="F251" i="1"/>
  <c r="G251" i="1"/>
  <c r="H251" i="1"/>
  <c r="M251" i="1" s="1"/>
  <c r="I251" i="1"/>
  <c r="A252" i="1"/>
  <c r="B252" i="1" a="1"/>
  <c r="B252" i="1" s="1"/>
  <c r="C252" i="1" s="1" a="1"/>
  <c r="C252" i="1" s="1"/>
  <c r="D252" i="1" a="1"/>
  <c r="D252" i="1" s="1"/>
  <c r="E252" i="1"/>
  <c r="F252" i="1"/>
  <c r="G252" i="1"/>
  <c r="H252" i="1"/>
  <c r="I252" i="1"/>
  <c r="A253" i="1"/>
  <c r="B253" i="1" a="1"/>
  <c r="B253" i="1" s="1"/>
  <c r="C253" i="1" s="1" a="1"/>
  <c r="C253" i="1" s="1"/>
  <c r="D253" i="1" a="1"/>
  <c r="D253" i="1" s="1"/>
  <c r="E253" i="1"/>
  <c r="F253" i="1"/>
  <c r="G253" i="1"/>
  <c r="H253" i="1"/>
  <c r="I253" i="1"/>
  <c r="A254" i="1"/>
  <c r="B254" i="1" a="1"/>
  <c r="B254" i="1" s="1"/>
  <c r="C254" i="1" s="1" a="1"/>
  <c r="C254" i="1" s="1"/>
  <c r="D254" i="1" a="1"/>
  <c r="D254" i="1" s="1"/>
  <c r="E254" i="1"/>
  <c r="F254" i="1"/>
  <c r="G254" i="1"/>
  <c r="H254" i="1"/>
  <c r="I254" i="1"/>
  <c r="A255" i="1"/>
  <c r="B255" i="1" a="1"/>
  <c r="B255" i="1" s="1"/>
  <c r="C255" i="1" s="1" a="1"/>
  <c r="C255" i="1" s="1"/>
  <c r="D255" i="1" a="1"/>
  <c r="D255" i="1" s="1"/>
  <c r="E255" i="1"/>
  <c r="F255" i="1"/>
  <c r="G255" i="1"/>
  <c r="H255" i="1"/>
  <c r="I255" i="1"/>
  <c r="A256" i="1"/>
  <c r="B256" i="1" a="1"/>
  <c r="B256" i="1" s="1"/>
  <c r="C256" i="1" s="1" a="1"/>
  <c r="C256" i="1" s="1"/>
  <c r="D256" i="1" a="1"/>
  <c r="D256" i="1" s="1"/>
  <c r="E256" i="1"/>
  <c r="F256" i="1"/>
  <c r="G256" i="1"/>
  <c r="H256" i="1"/>
  <c r="M256" i="1" s="1"/>
  <c r="I256" i="1"/>
  <c r="A257" i="1"/>
  <c r="B257" i="1" a="1"/>
  <c r="B257" i="1" s="1"/>
  <c r="C257" i="1" s="1" a="1"/>
  <c r="C257" i="1" s="1"/>
  <c r="D257" i="1" a="1"/>
  <c r="D257" i="1" s="1"/>
  <c r="E257" i="1"/>
  <c r="F257" i="1"/>
  <c r="G257" i="1"/>
  <c r="H257" i="1"/>
  <c r="I257" i="1"/>
  <c r="A258" i="1"/>
  <c r="B258" i="1" a="1"/>
  <c r="B258" i="1" s="1"/>
  <c r="C258" i="1" s="1" a="1"/>
  <c r="C258" i="1" s="1"/>
  <c r="D258" i="1" a="1"/>
  <c r="D258" i="1" s="1"/>
  <c r="E258" i="1"/>
  <c r="F258" i="1"/>
  <c r="G258" i="1"/>
  <c r="H258" i="1"/>
  <c r="I258" i="1"/>
  <c r="A259" i="1"/>
  <c r="B259" i="1" a="1"/>
  <c r="B259" i="1" s="1"/>
  <c r="C259" i="1" s="1" a="1"/>
  <c r="C259" i="1" s="1"/>
  <c r="D259" i="1" a="1"/>
  <c r="D259" i="1" s="1"/>
  <c r="E259" i="1"/>
  <c r="F259" i="1"/>
  <c r="G259" i="1"/>
  <c r="H259" i="1"/>
  <c r="M259" i="1" s="1"/>
  <c r="I259" i="1"/>
  <c r="A260" i="1"/>
  <c r="B260" i="1" a="1"/>
  <c r="B260" i="1" s="1"/>
  <c r="C260" i="1" s="1" a="1"/>
  <c r="C260" i="1" s="1"/>
  <c r="D260" i="1" a="1"/>
  <c r="D260" i="1" s="1"/>
  <c r="E260" i="1"/>
  <c r="F260" i="1"/>
  <c r="G260" i="1"/>
  <c r="H260" i="1"/>
  <c r="I260" i="1"/>
  <c r="A261" i="1"/>
  <c r="B261" i="1" a="1"/>
  <c r="B261" i="1" s="1"/>
  <c r="C261" i="1" s="1" a="1"/>
  <c r="C261" i="1" s="1"/>
  <c r="D261" i="1" a="1"/>
  <c r="D261" i="1" s="1"/>
  <c r="E261" i="1"/>
  <c r="F261" i="1"/>
  <c r="G261" i="1"/>
  <c r="H261" i="1"/>
  <c r="M261" i="1" s="1"/>
  <c r="I261" i="1"/>
  <c r="A262" i="1"/>
  <c r="B262" i="1" a="1"/>
  <c r="B262" i="1" s="1"/>
  <c r="C262" i="1" s="1" a="1"/>
  <c r="C262" i="1" s="1"/>
  <c r="D262" i="1" a="1"/>
  <c r="D262" i="1" s="1"/>
  <c r="E262" i="1"/>
  <c r="F262" i="1"/>
  <c r="G262" i="1"/>
  <c r="H262" i="1"/>
  <c r="I262" i="1"/>
  <c r="A263" i="1"/>
  <c r="B263" i="1" a="1"/>
  <c r="B263" i="1" s="1"/>
  <c r="C263" i="1" s="1" a="1"/>
  <c r="C263" i="1" s="1"/>
  <c r="D263" i="1" a="1"/>
  <c r="D263" i="1" s="1"/>
  <c r="E263" i="1"/>
  <c r="F263" i="1"/>
  <c r="G263" i="1"/>
  <c r="H263" i="1"/>
  <c r="M263" i="1" s="1"/>
  <c r="I263" i="1"/>
  <c r="A264" i="1"/>
  <c r="B264" i="1" a="1"/>
  <c r="B264" i="1" s="1"/>
  <c r="C264" i="1" s="1" a="1"/>
  <c r="C264" i="1" s="1"/>
  <c r="D264" i="1" a="1"/>
  <c r="D264" i="1" s="1"/>
  <c r="E264" i="1"/>
  <c r="F264" i="1"/>
  <c r="G264" i="1"/>
  <c r="H264" i="1"/>
  <c r="M264" i="1" s="1"/>
  <c r="I264" i="1"/>
  <c r="A265" i="1"/>
  <c r="B265" i="1" a="1"/>
  <c r="B265" i="1" s="1"/>
  <c r="C265" i="1" s="1" a="1"/>
  <c r="C265" i="1" s="1"/>
  <c r="D265" i="1" a="1"/>
  <c r="D265" i="1" s="1"/>
  <c r="E265" i="1"/>
  <c r="F265" i="1"/>
  <c r="G265" i="1"/>
  <c r="H265" i="1"/>
  <c r="M265" i="1" s="1"/>
  <c r="I265" i="1"/>
  <c r="A266" i="1"/>
  <c r="B266" i="1" a="1"/>
  <c r="B266" i="1" s="1"/>
  <c r="C266" i="1" s="1" a="1"/>
  <c r="C266" i="1" s="1"/>
  <c r="D266" i="1" a="1"/>
  <c r="D266" i="1" s="1"/>
  <c r="E266" i="1"/>
  <c r="F266" i="1"/>
  <c r="G266" i="1"/>
  <c r="H266" i="1"/>
  <c r="I266" i="1"/>
  <c r="A267" i="1"/>
  <c r="B267" i="1" a="1"/>
  <c r="B267" i="1" s="1"/>
  <c r="C267" i="1" s="1" a="1"/>
  <c r="C267" i="1" s="1"/>
  <c r="D267" i="1" a="1"/>
  <c r="D267" i="1" s="1"/>
  <c r="E267" i="1"/>
  <c r="F267" i="1"/>
  <c r="G267" i="1"/>
  <c r="H267" i="1"/>
  <c r="M267" i="1" s="1"/>
  <c r="I267" i="1"/>
  <c r="A268" i="1"/>
  <c r="B268" i="1" a="1"/>
  <c r="B268" i="1" s="1"/>
  <c r="C268" i="1" s="1" a="1"/>
  <c r="C268" i="1" s="1"/>
  <c r="D268" i="1" a="1"/>
  <c r="D268" i="1" s="1"/>
  <c r="E268" i="1"/>
  <c r="F268" i="1"/>
  <c r="G268" i="1"/>
  <c r="H268" i="1"/>
  <c r="M268" i="1" s="1"/>
  <c r="I268" i="1"/>
  <c r="A269" i="1"/>
  <c r="B269" i="1" a="1"/>
  <c r="B269" i="1" s="1"/>
  <c r="C269" i="1" s="1" a="1"/>
  <c r="C269" i="1" s="1"/>
  <c r="D269" i="1" a="1"/>
  <c r="D269" i="1" s="1"/>
  <c r="E269" i="1"/>
  <c r="F269" i="1"/>
  <c r="G269" i="1"/>
  <c r="H269" i="1"/>
  <c r="M269" i="1" s="1"/>
  <c r="I269" i="1"/>
  <c r="A270" i="1"/>
  <c r="B270" i="1" a="1"/>
  <c r="B270" i="1" s="1"/>
  <c r="C270" i="1" s="1" a="1"/>
  <c r="C270" i="1" s="1"/>
  <c r="D270" i="1" a="1"/>
  <c r="D270" i="1" s="1"/>
  <c r="E270" i="1"/>
  <c r="F270" i="1"/>
  <c r="G270" i="1"/>
  <c r="H270" i="1"/>
  <c r="I270" i="1"/>
  <c r="A271" i="1"/>
  <c r="B271" i="1" a="1"/>
  <c r="B271" i="1" s="1"/>
  <c r="C271" i="1" s="1" a="1"/>
  <c r="C271" i="1" s="1"/>
  <c r="D271" i="1" a="1"/>
  <c r="D271" i="1" s="1"/>
  <c r="E271" i="1"/>
  <c r="F271" i="1"/>
  <c r="G271" i="1"/>
  <c r="H271" i="1"/>
  <c r="M271" i="1" s="1"/>
  <c r="I271" i="1"/>
  <c r="A272" i="1"/>
  <c r="B272" i="1" a="1"/>
  <c r="B272" i="1" s="1"/>
  <c r="C272" i="1" s="1" a="1"/>
  <c r="C272" i="1" s="1"/>
  <c r="D272" i="1" a="1"/>
  <c r="D272" i="1" s="1"/>
  <c r="E272" i="1"/>
  <c r="F272" i="1"/>
  <c r="G272" i="1"/>
  <c r="H272" i="1"/>
  <c r="M272" i="1" s="1"/>
  <c r="I272" i="1"/>
  <c r="A273" i="1"/>
  <c r="B273" i="1" a="1"/>
  <c r="B273" i="1" s="1"/>
  <c r="C273" i="1" s="1" a="1"/>
  <c r="C273" i="1" s="1"/>
  <c r="D273" i="1" a="1"/>
  <c r="D273" i="1" s="1"/>
  <c r="E273" i="1"/>
  <c r="F273" i="1"/>
  <c r="G273" i="1"/>
  <c r="H273" i="1"/>
  <c r="M273" i="1" s="1"/>
  <c r="I273" i="1"/>
  <c r="A274" i="1"/>
  <c r="B274" i="1" a="1"/>
  <c r="B274" i="1" s="1"/>
  <c r="C274" i="1" s="1" a="1"/>
  <c r="C274" i="1" s="1"/>
  <c r="D274" i="1" a="1"/>
  <c r="D274" i="1" s="1"/>
  <c r="E274" i="1"/>
  <c r="F274" i="1"/>
  <c r="G274" i="1"/>
  <c r="H274" i="1"/>
  <c r="M274" i="1" s="1"/>
  <c r="I274" i="1"/>
  <c r="A275" i="1"/>
  <c r="B275" i="1" a="1"/>
  <c r="B275" i="1" s="1"/>
  <c r="C275" i="1" s="1" a="1"/>
  <c r="C275" i="1" s="1"/>
  <c r="D275" i="1" a="1"/>
  <c r="D275" i="1" s="1"/>
  <c r="E275" i="1"/>
  <c r="F275" i="1"/>
  <c r="G275" i="1"/>
  <c r="H275" i="1"/>
  <c r="M275" i="1" s="1"/>
  <c r="I275" i="1"/>
  <c r="A276" i="1"/>
  <c r="B276" i="1" a="1"/>
  <c r="B276" i="1" s="1"/>
  <c r="C276" i="1" s="1" a="1"/>
  <c r="C276" i="1" s="1"/>
  <c r="D276" i="1" a="1"/>
  <c r="D276" i="1" s="1"/>
  <c r="E276" i="1"/>
  <c r="F276" i="1"/>
  <c r="G276" i="1"/>
  <c r="H276" i="1"/>
  <c r="I276" i="1"/>
  <c r="A277" i="1"/>
  <c r="B277" i="1" a="1"/>
  <c r="B277" i="1" s="1"/>
  <c r="C277" i="1" s="1" a="1"/>
  <c r="C277" i="1" s="1"/>
  <c r="D277" i="1" a="1"/>
  <c r="D277" i="1" s="1"/>
  <c r="E277" i="1"/>
  <c r="F277" i="1"/>
  <c r="G277" i="1"/>
  <c r="H277" i="1"/>
  <c r="M277" i="1" s="1"/>
  <c r="I277" i="1"/>
  <c r="A278" i="1"/>
  <c r="B278" i="1" a="1"/>
  <c r="B278" i="1" s="1"/>
  <c r="C278" i="1" s="1" a="1"/>
  <c r="C278" i="1" s="1"/>
  <c r="D278" i="1" a="1"/>
  <c r="D278" i="1" s="1"/>
  <c r="E278" i="1"/>
  <c r="F278" i="1"/>
  <c r="G278" i="1"/>
  <c r="H278" i="1"/>
  <c r="M278" i="1" s="1"/>
  <c r="I278" i="1"/>
  <c r="A279" i="1"/>
  <c r="B279" i="1" a="1"/>
  <c r="B279" i="1" s="1"/>
  <c r="C279" i="1" s="1" a="1"/>
  <c r="C279" i="1" s="1"/>
  <c r="D279" i="1" a="1"/>
  <c r="D279" i="1" s="1"/>
  <c r="E279" i="1"/>
  <c r="F279" i="1"/>
  <c r="G279" i="1"/>
  <c r="H279" i="1"/>
  <c r="M279" i="1" s="1"/>
  <c r="I279" i="1"/>
  <c r="A280" i="1"/>
  <c r="B280" i="1" a="1"/>
  <c r="B280" i="1" s="1"/>
  <c r="C280" i="1" s="1" a="1"/>
  <c r="C280" i="1" s="1"/>
  <c r="D280" i="1" a="1"/>
  <c r="D280" i="1" s="1"/>
  <c r="E280" i="1"/>
  <c r="F280" i="1"/>
  <c r="G280" i="1"/>
  <c r="H280" i="1"/>
  <c r="M280" i="1" s="1"/>
  <c r="I280" i="1"/>
  <c r="A281" i="1"/>
  <c r="B281" i="1" a="1"/>
  <c r="B281" i="1" s="1"/>
  <c r="C281" i="1" s="1" a="1"/>
  <c r="C281" i="1" s="1"/>
  <c r="D281" i="1" a="1"/>
  <c r="D281" i="1" s="1"/>
  <c r="E281" i="1"/>
  <c r="F281" i="1"/>
  <c r="G281" i="1"/>
  <c r="H281" i="1"/>
  <c r="M281" i="1" s="1"/>
  <c r="I281" i="1"/>
  <c r="A282" i="1"/>
  <c r="B282" i="1" a="1"/>
  <c r="B282" i="1" s="1"/>
  <c r="C282" i="1" s="1" a="1"/>
  <c r="C282" i="1" s="1"/>
  <c r="D282" i="1" a="1"/>
  <c r="D282" i="1" s="1"/>
  <c r="E282" i="1"/>
  <c r="F282" i="1"/>
  <c r="G282" i="1"/>
  <c r="H282" i="1"/>
  <c r="M282" i="1" s="1"/>
  <c r="I282" i="1"/>
  <c r="A283" i="1"/>
  <c r="B283" i="1" a="1"/>
  <c r="B283" i="1" s="1"/>
  <c r="C283" i="1" s="1" a="1"/>
  <c r="C283" i="1" s="1"/>
  <c r="D283" i="1" a="1"/>
  <c r="D283" i="1" s="1"/>
  <c r="E283" i="1"/>
  <c r="F283" i="1"/>
  <c r="G283" i="1"/>
  <c r="H283" i="1"/>
  <c r="M283" i="1" s="1"/>
  <c r="I283" i="1"/>
  <c r="A284" i="1"/>
  <c r="B284" i="1" a="1"/>
  <c r="B284" i="1" s="1"/>
  <c r="C284" i="1" s="1" a="1"/>
  <c r="C284" i="1" s="1"/>
  <c r="D284" i="1" a="1"/>
  <c r="D284" i="1" s="1"/>
  <c r="E284" i="1"/>
  <c r="F284" i="1"/>
  <c r="G284" i="1"/>
  <c r="H284" i="1"/>
  <c r="I284" i="1"/>
  <c r="A285" i="1"/>
  <c r="B285" i="1" a="1"/>
  <c r="B285" i="1" s="1"/>
  <c r="C285" i="1" s="1" a="1"/>
  <c r="C285" i="1" s="1"/>
  <c r="D285" i="1" a="1"/>
  <c r="D285" i="1" s="1"/>
  <c r="E285" i="1"/>
  <c r="F285" i="1"/>
  <c r="G285" i="1"/>
  <c r="H285" i="1"/>
  <c r="M285" i="1" s="1"/>
  <c r="I285" i="1"/>
  <c r="A286" i="1"/>
  <c r="B286" i="1" a="1"/>
  <c r="B286" i="1" s="1"/>
  <c r="C286" i="1" s="1" a="1"/>
  <c r="C286" i="1" s="1"/>
  <c r="D286" i="1" a="1"/>
  <c r="D286" i="1" s="1"/>
  <c r="E286" i="1"/>
  <c r="F286" i="1"/>
  <c r="G286" i="1"/>
  <c r="H286" i="1"/>
  <c r="M286" i="1" s="1"/>
  <c r="I286" i="1"/>
  <c r="A287" i="1"/>
  <c r="B287" i="1" a="1"/>
  <c r="B287" i="1" s="1"/>
  <c r="C287" i="1" s="1" a="1"/>
  <c r="C287" i="1" s="1"/>
  <c r="D287" i="1" a="1"/>
  <c r="D287" i="1" s="1"/>
  <c r="E287" i="1"/>
  <c r="F287" i="1"/>
  <c r="G287" i="1"/>
  <c r="H287" i="1"/>
  <c r="M287" i="1" s="1"/>
  <c r="I287" i="1"/>
  <c r="A288" i="1"/>
  <c r="B288" i="1" a="1"/>
  <c r="B288" i="1" s="1"/>
  <c r="C288" i="1" s="1" a="1"/>
  <c r="C288" i="1" s="1"/>
  <c r="D288" i="1" a="1"/>
  <c r="D288" i="1" s="1"/>
  <c r="E288" i="1"/>
  <c r="F288" i="1"/>
  <c r="G288" i="1"/>
  <c r="H288" i="1"/>
  <c r="M288" i="1" s="1"/>
  <c r="I288" i="1"/>
  <c r="A289" i="1"/>
  <c r="B289" i="1" a="1"/>
  <c r="B289" i="1" s="1"/>
  <c r="C289" i="1" s="1" a="1"/>
  <c r="C289" i="1" s="1"/>
  <c r="D289" i="1" a="1"/>
  <c r="D289" i="1" s="1"/>
  <c r="E289" i="1"/>
  <c r="F289" i="1"/>
  <c r="G289" i="1"/>
  <c r="H289" i="1"/>
  <c r="I289" i="1"/>
  <c r="A290" i="1"/>
  <c r="B290" i="1" a="1"/>
  <c r="B290" i="1" s="1"/>
  <c r="C290" i="1" s="1" a="1"/>
  <c r="C290" i="1" s="1"/>
  <c r="D290" i="1" a="1"/>
  <c r="D290" i="1" s="1"/>
  <c r="E290" i="1"/>
  <c r="F290" i="1"/>
  <c r="G290" i="1"/>
  <c r="H290" i="1"/>
  <c r="M290" i="1" s="1"/>
  <c r="I290" i="1"/>
  <c r="A291" i="1"/>
  <c r="B291" i="1" a="1"/>
  <c r="B291" i="1" s="1"/>
  <c r="C291" i="1" s="1" a="1"/>
  <c r="C291" i="1" s="1"/>
  <c r="D291" i="1" a="1"/>
  <c r="D291" i="1" s="1"/>
  <c r="E291" i="1"/>
  <c r="F291" i="1"/>
  <c r="G291" i="1"/>
  <c r="H291" i="1"/>
  <c r="M291" i="1" s="1"/>
  <c r="I291" i="1"/>
  <c r="A292" i="1"/>
  <c r="B292" i="1" a="1"/>
  <c r="B292" i="1" s="1"/>
  <c r="C292" i="1" s="1" a="1"/>
  <c r="C292" i="1" s="1"/>
  <c r="D292" i="1" a="1"/>
  <c r="D292" i="1" s="1"/>
  <c r="E292" i="1"/>
  <c r="F292" i="1"/>
  <c r="G292" i="1"/>
  <c r="H292" i="1"/>
  <c r="M292" i="1" s="1"/>
  <c r="I292" i="1"/>
  <c r="A293" i="1"/>
  <c r="B293" i="1" a="1"/>
  <c r="B293" i="1" s="1"/>
  <c r="C293" i="1" s="1" a="1"/>
  <c r="C293" i="1" s="1"/>
  <c r="D293" i="1" a="1"/>
  <c r="D293" i="1" s="1"/>
  <c r="E293" i="1"/>
  <c r="F293" i="1"/>
  <c r="G293" i="1"/>
  <c r="H293" i="1"/>
  <c r="M293" i="1" s="1"/>
  <c r="I293" i="1"/>
  <c r="A294" i="1"/>
  <c r="B294" i="1" a="1"/>
  <c r="B294" i="1" s="1"/>
  <c r="C294" i="1" s="1" a="1"/>
  <c r="C294" i="1" s="1"/>
  <c r="D294" i="1" a="1"/>
  <c r="D294" i="1" s="1"/>
  <c r="E294" i="1"/>
  <c r="F294" i="1"/>
  <c r="G294" i="1"/>
  <c r="H294" i="1"/>
  <c r="M294" i="1" s="1"/>
  <c r="I294" i="1"/>
  <c r="A295" i="1"/>
  <c r="B295" i="1" a="1"/>
  <c r="B295" i="1" s="1"/>
  <c r="C295" i="1" s="1" a="1"/>
  <c r="C295" i="1" s="1"/>
  <c r="D295" i="1" a="1"/>
  <c r="D295" i="1" s="1"/>
  <c r="E295" i="1"/>
  <c r="F295" i="1"/>
  <c r="G295" i="1"/>
  <c r="H295" i="1"/>
  <c r="M295" i="1" s="1"/>
  <c r="I295" i="1"/>
  <c r="A296" i="1"/>
  <c r="B296" i="1" a="1"/>
  <c r="B296" i="1" s="1"/>
  <c r="C296" i="1" s="1" a="1"/>
  <c r="C296" i="1" s="1"/>
  <c r="D296" i="1" a="1"/>
  <c r="D296" i="1" s="1"/>
  <c r="E296" i="1"/>
  <c r="F296" i="1"/>
  <c r="G296" i="1"/>
  <c r="H296" i="1"/>
  <c r="M296" i="1" s="1"/>
  <c r="I296" i="1"/>
  <c r="A297" i="1"/>
  <c r="B297" i="1" a="1"/>
  <c r="B297" i="1" s="1"/>
  <c r="C297" i="1" s="1" a="1"/>
  <c r="C297" i="1" s="1"/>
  <c r="D297" i="1" a="1"/>
  <c r="D297" i="1" s="1"/>
  <c r="E297" i="1"/>
  <c r="F297" i="1"/>
  <c r="G297" i="1"/>
  <c r="H297" i="1"/>
  <c r="I297" i="1"/>
  <c r="A298" i="1"/>
  <c r="B298" i="1" a="1"/>
  <c r="B298" i="1" s="1"/>
  <c r="C298" i="1" s="1" a="1"/>
  <c r="C298" i="1" s="1"/>
  <c r="D298" i="1" a="1"/>
  <c r="D298" i="1" s="1"/>
  <c r="E298" i="1"/>
  <c r="F298" i="1"/>
  <c r="G298" i="1"/>
  <c r="H298" i="1"/>
  <c r="M298" i="1" s="1"/>
  <c r="I298" i="1"/>
  <c r="A299" i="1"/>
  <c r="B299" i="1" a="1"/>
  <c r="B299" i="1" s="1"/>
  <c r="C299" i="1" s="1" a="1"/>
  <c r="C299" i="1" s="1"/>
  <c r="D299" i="1" a="1"/>
  <c r="D299" i="1" s="1"/>
  <c r="E299" i="1"/>
  <c r="F299" i="1"/>
  <c r="G299" i="1"/>
  <c r="H299" i="1"/>
  <c r="M299" i="1" s="1"/>
  <c r="I299" i="1"/>
  <c r="A300" i="1"/>
  <c r="B300" i="1" a="1"/>
  <c r="B300" i="1" s="1"/>
  <c r="C300" i="1" s="1" a="1"/>
  <c r="C300" i="1" s="1"/>
  <c r="D300" i="1" a="1"/>
  <c r="D300" i="1" s="1"/>
  <c r="E300" i="1"/>
  <c r="F300" i="1"/>
  <c r="G300" i="1"/>
  <c r="H300" i="1"/>
  <c r="I300" i="1"/>
  <c r="A301" i="1"/>
  <c r="B301" i="1" a="1"/>
  <c r="B301" i="1" s="1"/>
  <c r="C301" i="1" s="1" a="1"/>
  <c r="C301" i="1" s="1"/>
  <c r="D301" i="1" a="1"/>
  <c r="D301" i="1" s="1"/>
  <c r="E301" i="1"/>
  <c r="F301" i="1"/>
  <c r="G301" i="1"/>
  <c r="H301" i="1"/>
  <c r="M301" i="1" s="1"/>
  <c r="I301" i="1"/>
  <c r="A302" i="1"/>
  <c r="B302" i="1" a="1"/>
  <c r="B302" i="1" s="1"/>
  <c r="C302" i="1" s="1" a="1"/>
  <c r="C302" i="1" s="1"/>
  <c r="D302" i="1" a="1"/>
  <c r="D302" i="1" s="1"/>
  <c r="E302" i="1"/>
  <c r="F302" i="1"/>
  <c r="G302" i="1"/>
  <c r="H302" i="1"/>
  <c r="M302" i="1" s="1"/>
  <c r="I302" i="1"/>
  <c r="A303" i="1"/>
  <c r="B303" i="1" a="1"/>
  <c r="B303" i="1" s="1"/>
  <c r="C303" i="1" s="1" a="1"/>
  <c r="C303" i="1" s="1"/>
  <c r="D303" i="1" a="1"/>
  <c r="D303" i="1" s="1"/>
  <c r="E303" i="1"/>
  <c r="F303" i="1"/>
  <c r="G303" i="1"/>
  <c r="H303" i="1"/>
  <c r="I303" i="1"/>
  <c r="A304" i="1"/>
  <c r="B304" i="1" a="1"/>
  <c r="B304" i="1" s="1"/>
  <c r="C304" i="1" s="1" a="1"/>
  <c r="C304" i="1" s="1"/>
  <c r="D304" i="1" a="1"/>
  <c r="D304" i="1" s="1"/>
  <c r="E304" i="1"/>
  <c r="F304" i="1"/>
  <c r="G304" i="1"/>
  <c r="H304" i="1"/>
  <c r="M304" i="1" s="1"/>
  <c r="I304" i="1"/>
  <c r="A305" i="1"/>
  <c r="B305" i="1" a="1"/>
  <c r="B305" i="1" s="1"/>
  <c r="C305" i="1" s="1" a="1"/>
  <c r="C305" i="1" s="1"/>
  <c r="D305" i="1" a="1"/>
  <c r="D305" i="1" s="1"/>
  <c r="E305" i="1"/>
  <c r="F305" i="1"/>
  <c r="G305" i="1"/>
  <c r="H305" i="1"/>
  <c r="M305" i="1" s="1"/>
  <c r="I305" i="1"/>
  <c r="A306" i="1"/>
  <c r="B306" i="1" a="1"/>
  <c r="B306" i="1" s="1"/>
  <c r="C306" i="1" s="1" a="1"/>
  <c r="C306" i="1" s="1"/>
  <c r="D306" i="1" a="1"/>
  <c r="D306" i="1" s="1"/>
  <c r="E306" i="1"/>
  <c r="F306" i="1"/>
  <c r="G306" i="1"/>
  <c r="H306" i="1"/>
  <c r="M306" i="1" s="1"/>
  <c r="I306" i="1"/>
  <c r="A307" i="1"/>
  <c r="B307" i="1" a="1"/>
  <c r="B307" i="1" s="1"/>
  <c r="C307" i="1" s="1" a="1"/>
  <c r="C307" i="1" s="1"/>
  <c r="D307" i="1" a="1"/>
  <c r="D307" i="1" s="1"/>
  <c r="E307" i="1"/>
  <c r="F307" i="1"/>
  <c r="G307" i="1"/>
  <c r="H307" i="1"/>
  <c r="I307" i="1"/>
  <c r="A308" i="1"/>
  <c r="B308" i="1" a="1"/>
  <c r="B308" i="1" s="1"/>
  <c r="C308" i="1" s="1" a="1"/>
  <c r="C308" i="1" s="1"/>
  <c r="D308" i="1" a="1"/>
  <c r="D308" i="1" s="1"/>
  <c r="E308" i="1"/>
  <c r="F308" i="1"/>
  <c r="G308" i="1"/>
  <c r="H308" i="1"/>
  <c r="M308" i="1" s="1"/>
  <c r="I308" i="1"/>
  <c r="A309" i="1"/>
  <c r="B309" i="1" a="1"/>
  <c r="B309" i="1" s="1"/>
  <c r="C309" i="1" s="1" a="1"/>
  <c r="C309" i="1" s="1"/>
  <c r="D309" i="1" a="1"/>
  <c r="D309" i="1" s="1"/>
  <c r="E309" i="1"/>
  <c r="F309" i="1"/>
  <c r="G309" i="1"/>
  <c r="H309" i="1"/>
  <c r="M309" i="1" s="1"/>
  <c r="I309" i="1"/>
  <c r="A310" i="1"/>
  <c r="B310" i="1" a="1"/>
  <c r="B310" i="1" s="1"/>
  <c r="C310" i="1" s="1" a="1"/>
  <c r="C310" i="1" s="1"/>
  <c r="D310" i="1" a="1"/>
  <c r="D310" i="1" s="1"/>
  <c r="E310" i="1"/>
  <c r="F310" i="1"/>
  <c r="G310" i="1"/>
  <c r="H310" i="1"/>
  <c r="I310" i="1"/>
  <c r="A311" i="1"/>
  <c r="B311" i="1" a="1"/>
  <c r="B311" i="1" s="1"/>
  <c r="C311" i="1" s="1" a="1"/>
  <c r="C311" i="1" s="1"/>
  <c r="D311" i="1" a="1"/>
  <c r="D311" i="1" s="1"/>
  <c r="E311" i="1"/>
  <c r="F311" i="1"/>
  <c r="G311" i="1"/>
  <c r="H311" i="1"/>
  <c r="I311" i="1"/>
  <c r="A312" i="1"/>
  <c r="B312" i="1" a="1"/>
  <c r="B312" i="1" s="1"/>
  <c r="C312" i="1" s="1" a="1"/>
  <c r="C312" i="1" s="1"/>
  <c r="D312" i="1" a="1"/>
  <c r="D312" i="1" s="1"/>
  <c r="E312" i="1"/>
  <c r="F312" i="1"/>
  <c r="G312" i="1"/>
  <c r="H312" i="1"/>
  <c r="M312" i="1" s="1"/>
  <c r="I312" i="1"/>
  <c r="A313" i="1"/>
  <c r="B313" i="1" a="1"/>
  <c r="B313" i="1" s="1"/>
  <c r="C313" i="1" s="1" a="1"/>
  <c r="C313" i="1" s="1"/>
  <c r="D313" i="1" a="1"/>
  <c r="D313" i="1" s="1"/>
  <c r="E313" i="1"/>
  <c r="F313" i="1"/>
  <c r="G313" i="1"/>
  <c r="H313" i="1"/>
  <c r="M313" i="1" s="1"/>
  <c r="I313" i="1"/>
  <c r="A314" i="1"/>
  <c r="B314" i="1" a="1"/>
  <c r="B314" i="1" s="1"/>
  <c r="C314" i="1" s="1" a="1"/>
  <c r="C314" i="1" s="1"/>
  <c r="D314" i="1" a="1"/>
  <c r="D314" i="1" s="1"/>
  <c r="E314" i="1"/>
  <c r="F314" i="1"/>
  <c r="G314" i="1"/>
  <c r="H314" i="1"/>
  <c r="I314" i="1"/>
  <c r="A315" i="1"/>
  <c r="B315" i="1" a="1"/>
  <c r="B315" i="1" s="1"/>
  <c r="C315" i="1" s="1" a="1"/>
  <c r="C315" i="1" s="1"/>
  <c r="D315" i="1" a="1"/>
  <c r="D315" i="1" s="1"/>
  <c r="E315" i="1"/>
  <c r="F315" i="1"/>
  <c r="G315" i="1"/>
  <c r="H315" i="1"/>
  <c r="M315" i="1" s="1"/>
  <c r="I315" i="1"/>
  <c r="A316" i="1"/>
  <c r="B316" i="1" a="1"/>
  <c r="B316" i="1" s="1"/>
  <c r="C316" i="1" s="1" a="1"/>
  <c r="C316" i="1" s="1"/>
  <c r="D316" i="1" a="1"/>
  <c r="D316" i="1" s="1"/>
  <c r="E316" i="1"/>
  <c r="F316" i="1"/>
  <c r="G316" i="1"/>
  <c r="H316" i="1"/>
  <c r="M316" i="1" s="1"/>
  <c r="I316" i="1"/>
  <c r="A317" i="1"/>
  <c r="B317" i="1" a="1"/>
  <c r="B317" i="1" s="1"/>
  <c r="C317" i="1" s="1" a="1"/>
  <c r="C317" i="1" s="1"/>
  <c r="D317" i="1" a="1"/>
  <c r="D317" i="1" s="1"/>
  <c r="E317" i="1"/>
  <c r="F317" i="1"/>
  <c r="G317" i="1"/>
  <c r="H317" i="1"/>
  <c r="M317" i="1" s="1"/>
  <c r="I317" i="1"/>
  <c r="A318" i="1"/>
  <c r="B318" i="1" a="1"/>
  <c r="B318" i="1" s="1"/>
  <c r="C318" i="1" s="1" a="1"/>
  <c r="C318" i="1" s="1"/>
  <c r="D318" i="1" a="1"/>
  <c r="D318" i="1" s="1"/>
  <c r="E318" i="1"/>
  <c r="F318" i="1"/>
  <c r="G318" i="1"/>
  <c r="H318" i="1"/>
  <c r="I318" i="1"/>
  <c r="A319" i="1"/>
  <c r="B319" i="1" a="1"/>
  <c r="B319" i="1" s="1"/>
  <c r="C319" i="1" s="1" a="1"/>
  <c r="C319" i="1" s="1"/>
  <c r="D319" i="1" a="1"/>
  <c r="D319" i="1" s="1"/>
  <c r="E319" i="1"/>
  <c r="F319" i="1"/>
  <c r="G319" i="1"/>
  <c r="H319" i="1"/>
  <c r="I319" i="1"/>
  <c r="A320" i="1"/>
  <c r="B320" i="1" a="1"/>
  <c r="B320" i="1" s="1"/>
  <c r="C320" i="1" s="1" a="1"/>
  <c r="C320" i="1" s="1"/>
  <c r="D320" i="1" a="1"/>
  <c r="D320" i="1" s="1"/>
  <c r="E320" i="1"/>
  <c r="F320" i="1"/>
  <c r="G320" i="1"/>
  <c r="H320" i="1"/>
  <c r="M320" i="1" s="1"/>
  <c r="I320" i="1"/>
  <c r="A321" i="1"/>
  <c r="B321" i="1" a="1"/>
  <c r="B321" i="1" s="1"/>
  <c r="C321" i="1" s="1" a="1"/>
  <c r="C321" i="1" s="1"/>
  <c r="D321" i="1" a="1"/>
  <c r="D321" i="1" s="1"/>
  <c r="E321" i="1"/>
  <c r="F321" i="1"/>
  <c r="G321" i="1"/>
  <c r="H321" i="1"/>
  <c r="M321" i="1" s="1"/>
  <c r="I321" i="1"/>
  <c r="A322" i="1"/>
  <c r="B322" i="1" a="1"/>
  <c r="B322" i="1" s="1"/>
  <c r="C322" i="1" s="1" a="1"/>
  <c r="C322" i="1" s="1"/>
  <c r="D322" i="1" a="1"/>
  <c r="D322" i="1" s="1"/>
  <c r="E322" i="1"/>
  <c r="F322" i="1"/>
  <c r="G322" i="1"/>
  <c r="H322" i="1"/>
  <c r="I322" i="1"/>
  <c r="A323" i="1"/>
  <c r="B323" i="1" a="1"/>
  <c r="B323" i="1" s="1"/>
  <c r="C323" i="1" s="1" a="1"/>
  <c r="C323" i="1" s="1"/>
  <c r="D323" i="1" a="1"/>
  <c r="D323" i="1" s="1"/>
  <c r="E323" i="1"/>
  <c r="F323" i="1"/>
  <c r="G323" i="1"/>
  <c r="H323" i="1"/>
  <c r="I323" i="1"/>
  <c r="A324" i="1"/>
  <c r="B324" i="1" a="1"/>
  <c r="B324" i="1" s="1"/>
  <c r="C324" i="1" s="1" a="1"/>
  <c r="C324" i="1" s="1"/>
  <c r="D324" i="1" a="1"/>
  <c r="D324" i="1" s="1"/>
  <c r="E324" i="1"/>
  <c r="F324" i="1"/>
  <c r="G324" i="1"/>
  <c r="H324" i="1"/>
  <c r="M324" i="1" s="1"/>
  <c r="I324" i="1"/>
  <c r="A325" i="1"/>
  <c r="B325" i="1" a="1"/>
  <c r="B325" i="1" s="1"/>
  <c r="C325" i="1" s="1" a="1"/>
  <c r="C325" i="1" s="1"/>
  <c r="D325" i="1" a="1"/>
  <c r="D325" i="1" s="1"/>
  <c r="E325" i="1"/>
  <c r="F325" i="1"/>
  <c r="G325" i="1"/>
  <c r="H325" i="1"/>
  <c r="I325" i="1"/>
  <c r="A326" i="1"/>
  <c r="B326" i="1" a="1"/>
  <c r="B326" i="1" s="1"/>
  <c r="C326" i="1" s="1" a="1"/>
  <c r="C326" i="1" s="1"/>
  <c r="D326" i="1" a="1"/>
  <c r="D326" i="1" s="1"/>
  <c r="E326" i="1"/>
  <c r="F326" i="1"/>
  <c r="G326" i="1"/>
  <c r="H326" i="1"/>
  <c r="I326" i="1"/>
  <c r="A327" i="1"/>
  <c r="B327" i="1" a="1"/>
  <c r="B327" i="1" s="1"/>
  <c r="C327" i="1" s="1" a="1"/>
  <c r="C327" i="1" s="1"/>
  <c r="D327" i="1" a="1"/>
  <c r="D327" i="1" s="1"/>
  <c r="E327" i="1"/>
  <c r="F327" i="1"/>
  <c r="G327" i="1"/>
  <c r="H327" i="1"/>
  <c r="I327" i="1"/>
  <c r="A328" i="1"/>
  <c r="B328" i="1" a="1"/>
  <c r="B328" i="1" s="1"/>
  <c r="C328" i="1" s="1" a="1"/>
  <c r="C328" i="1" s="1"/>
  <c r="D328" i="1" a="1"/>
  <c r="D328" i="1" s="1"/>
  <c r="E328" i="1"/>
  <c r="F328" i="1"/>
  <c r="G328" i="1"/>
  <c r="H328" i="1"/>
  <c r="I328" i="1"/>
  <c r="A329" i="1"/>
  <c r="B329" i="1" a="1"/>
  <c r="B329" i="1" s="1"/>
  <c r="C329" i="1" s="1" a="1"/>
  <c r="C329" i="1" s="1"/>
  <c r="D329" i="1" a="1"/>
  <c r="D329" i="1" s="1"/>
  <c r="E329" i="1"/>
  <c r="F329" i="1"/>
  <c r="G329" i="1"/>
  <c r="H329" i="1"/>
  <c r="I329" i="1"/>
  <c r="A330" i="1"/>
  <c r="B330" i="1" a="1"/>
  <c r="B330" i="1" s="1"/>
  <c r="C330" i="1" s="1" a="1"/>
  <c r="C330" i="1" s="1"/>
  <c r="D330" i="1" a="1"/>
  <c r="D330" i="1" s="1"/>
  <c r="E330" i="1"/>
  <c r="F330" i="1"/>
  <c r="G330" i="1"/>
  <c r="H330" i="1"/>
  <c r="I330" i="1"/>
  <c r="A331" i="1"/>
  <c r="B331" i="1" a="1"/>
  <c r="B331" i="1" s="1"/>
  <c r="C331" i="1" s="1" a="1"/>
  <c r="C331" i="1" s="1"/>
  <c r="D331" i="1" a="1"/>
  <c r="D331" i="1" s="1"/>
  <c r="E331" i="1"/>
  <c r="F331" i="1"/>
  <c r="G331" i="1"/>
  <c r="H331" i="1"/>
  <c r="M331" i="1" s="1"/>
  <c r="I331" i="1"/>
  <c r="A332" i="1"/>
  <c r="B332" i="1" a="1"/>
  <c r="B332" i="1" s="1"/>
  <c r="C332" i="1" s="1" a="1"/>
  <c r="C332" i="1" s="1"/>
  <c r="D332" i="1" a="1"/>
  <c r="D332" i="1" s="1"/>
  <c r="E332" i="1"/>
  <c r="F332" i="1"/>
  <c r="G332" i="1"/>
  <c r="H332" i="1"/>
  <c r="M332" i="1" s="1"/>
  <c r="I332" i="1"/>
  <c r="A333" i="1"/>
  <c r="B333" i="1" a="1"/>
  <c r="B333" i="1" s="1"/>
  <c r="C333" i="1" s="1" a="1"/>
  <c r="C333" i="1" s="1"/>
  <c r="D333" i="1" a="1"/>
  <c r="D333" i="1" s="1"/>
  <c r="E333" i="1"/>
  <c r="F333" i="1"/>
  <c r="G333" i="1"/>
  <c r="H333" i="1"/>
  <c r="I333" i="1"/>
  <c r="A334" i="1"/>
  <c r="B334" i="1" a="1"/>
  <c r="B334" i="1" s="1"/>
  <c r="C334" i="1" s="1" a="1"/>
  <c r="C334" i="1" s="1"/>
  <c r="D334" i="1" a="1"/>
  <c r="D334" i="1" s="1"/>
  <c r="E334" i="1"/>
  <c r="F334" i="1"/>
  <c r="G334" i="1"/>
  <c r="H334" i="1"/>
  <c r="I334" i="1"/>
  <c r="A335" i="1"/>
  <c r="B335" i="1" a="1"/>
  <c r="B335" i="1" s="1"/>
  <c r="C335" i="1" s="1" a="1"/>
  <c r="C335" i="1" s="1"/>
  <c r="D335" i="1" a="1"/>
  <c r="D335" i="1" s="1"/>
  <c r="E335" i="1"/>
  <c r="F335" i="1"/>
  <c r="G335" i="1"/>
  <c r="H335" i="1"/>
  <c r="I335" i="1"/>
  <c r="A336" i="1"/>
  <c r="B336" i="1" a="1"/>
  <c r="B336" i="1" s="1"/>
  <c r="C336" i="1" s="1" a="1"/>
  <c r="C336" i="1" s="1"/>
  <c r="D336" i="1" a="1"/>
  <c r="D336" i="1" s="1"/>
  <c r="E336" i="1"/>
  <c r="F336" i="1"/>
  <c r="G336" i="1"/>
  <c r="H336" i="1"/>
  <c r="M336" i="1" s="1"/>
  <c r="I336" i="1"/>
  <c r="A337" i="1"/>
  <c r="B337" i="1" a="1"/>
  <c r="B337" i="1" s="1"/>
  <c r="C337" i="1" s="1" a="1"/>
  <c r="C337" i="1" s="1"/>
  <c r="D337" i="1" a="1"/>
  <c r="D337" i="1" s="1"/>
  <c r="E337" i="1"/>
  <c r="F337" i="1"/>
  <c r="G337" i="1"/>
  <c r="H337" i="1"/>
  <c r="I337" i="1"/>
  <c r="A338" i="1"/>
  <c r="B338" i="1" a="1"/>
  <c r="B338" i="1" s="1"/>
  <c r="C338" i="1" s="1" a="1"/>
  <c r="C338" i="1" s="1"/>
  <c r="D338" i="1" a="1"/>
  <c r="D338" i="1" s="1"/>
  <c r="E338" i="1"/>
  <c r="F338" i="1"/>
  <c r="G338" i="1"/>
  <c r="H338" i="1"/>
  <c r="I338" i="1"/>
  <c r="A339" i="1"/>
  <c r="B339" i="1" a="1"/>
  <c r="B339" i="1" s="1"/>
  <c r="C339" i="1" s="1" a="1"/>
  <c r="C339" i="1" s="1"/>
  <c r="D339" i="1" a="1"/>
  <c r="D339" i="1" s="1"/>
  <c r="E339" i="1"/>
  <c r="F339" i="1"/>
  <c r="G339" i="1"/>
  <c r="H339" i="1"/>
  <c r="I339" i="1"/>
  <c r="A340" i="1"/>
  <c r="B340" i="1" a="1"/>
  <c r="B340" i="1" s="1"/>
  <c r="C340" i="1" s="1" a="1"/>
  <c r="C340" i="1" s="1"/>
  <c r="D340" i="1" a="1"/>
  <c r="D340" i="1" s="1"/>
  <c r="E340" i="1"/>
  <c r="F340" i="1"/>
  <c r="G340" i="1"/>
  <c r="H340" i="1"/>
  <c r="M340" i="1" s="1"/>
  <c r="I340" i="1"/>
  <c r="A341" i="1"/>
  <c r="B341" i="1" a="1"/>
  <c r="B341" i="1" s="1"/>
  <c r="C341" i="1" s="1" a="1"/>
  <c r="C341" i="1" s="1"/>
  <c r="D341" i="1" a="1"/>
  <c r="D341" i="1" s="1"/>
  <c r="E341" i="1"/>
  <c r="F341" i="1"/>
  <c r="G341" i="1"/>
  <c r="H341" i="1"/>
  <c r="I341" i="1"/>
  <c r="A342" i="1"/>
  <c r="B342" i="1" a="1"/>
  <c r="B342" i="1" s="1"/>
  <c r="C342" i="1" s="1" a="1"/>
  <c r="C342" i="1" s="1"/>
  <c r="D342" i="1" a="1"/>
  <c r="D342" i="1" s="1"/>
  <c r="E342" i="1"/>
  <c r="F342" i="1"/>
  <c r="G342" i="1"/>
  <c r="H342" i="1"/>
  <c r="I342" i="1"/>
  <c r="A343" i="1"/>
  <c r="B343" i="1" a="1"/>
  <c r="B343" i="1" s="1"/>
  <c r="C343" i="1" s="1" a="1"/>
  <c r="C343" i="1" s="1"/>
  <c r="D343" i="1" a="1"/>
  <c r="D343" i="1" s="1"/>
  <c r="E343" i="1"/>
  <c r="F343" i="1"/>
  <c r="G343" i="1"/>
  <c r="H343" i="1"/>
  <c r="M343" i="1" s="1"/>
  <c r="I343" i="1"/>
  <c r="A344" i="1"/>
  <c r="B344" i="1" a="1"/>
  <c r="B344" i="1" s="1"/>
  <c r="C344" i="1" s="1" a="1"/>
  <c r="C344" i="1" s="1"/>
  <c r="D344" i="1" a="1"/>
  <c r="D344" i="1" s="1"/>
  <c r="E344" i="1"/>
  <c r="F344" i="1"/>
  <c r="G344" i="1"/>
  <c r="H344" i="1"/>
  <c r="I344" i="1"/>
  <c r="A345" i="1"/>
  <c r="B345" i="1" a="1"/>
  <c r="B345" i="1" s="1"/>
  <c r="C345" i="1" s="1" a="1"/>
  <c r="C345" i="1" s="1"/>
  <c r="D345" i="1" a="1"/>
  <c r="D345" i="1" s="1"/>
  <c r="E345" i="1"/>
  <c r="F345" i="1"/>
  <c r="G345" i="1"/>
  <c r="H345" i="1"/>
  <c r="M345" i="1" s="1"/>
  <c r="I345" i="1"/>
  <c r="A346" i="1"/>
  <c r="B346" i="1" a="1"/>
  <c r="B346" i="1" s="1"/>
  <c r="C346" i="1" s="1" a="1"/>
  <c r="C346" i="1" s="1"/>
  <c r="D346" i="1" a="1"/>
  <c r="D346" i="1" s="1"/>
  <c r="E346" i="1"/>
  <c r="F346" i="1"/>
  <c r="G346" i="1"/>
  <c r="H346" i="1"/>
  <c r="M346" i="1" s="1"/>
  <c r="I346" i="1"/>
  <c r="A347" i="1"/>
  <c r="B347" i="1" a="1"/>
  <c r="B347" i="1" s="1"/>
  <c r="C347" i="1" s="1" a="1"/>
  <c r="C347" i="1" s="1"/>
  <c r="D347" i="1" a="1"/>
  <c r="D347" i="1" s="1"/>
  <c r="E347" i="1"/>
  <c r="F347" i="1"/>
  <c r="G347" i="1"/>
  <c r="H347" i="1"/>
  <c r="M347" i="1" s="1"/>
  <c r="I347" i="1"/>
  <c r="A348" i="1"/>
  <c r="B348" i="1" a="1"/>
  <c r="B348" i="1" s="1"/>
  <c r="C348" i="1" s="1" a="1"/>
  <c r="C348" i="1" s="1"/>
  <c r="D348" i="1" a="1"/>
  <c r="D348" i="1" s="1"/>
  <c r="E348" i="1"/>
  <c r="F348" i="1"/>
  <c r="G348" i="1"/>
  <c r="H348" i="1"/>
  <c r="I348" i="1"/>
  <c r="A349" i="1"/>
  <c r="B349" i="1" a="1"/>
  <c r="B349" i="1" s="1"/>
  <c r="C349" i="1" s="1" a="1"/>
  <c r="C349" i="1" s="1"/>
  <c r="D349" i="1" a="1"/>
  <c r="D349" i="1" s="1"/>
  <c r="E349" i="1"/>
  <c r="F349" i="1"/>
  <c r="G349" i="1"/>
  <c r="H349" i="1"/>
  <c r="M349" i="1" s="1"/>
  <c r="I349" i="1"/>
  <c r="A350" i="1"/>
  <c r="B350" i="1" a="1"/>
  <c r="B350" i="1" s="1"/>
  <c r="C350" i="1" s="1" a="1"/>
  <c r="C350" i="1" s="1"/>
  <c r="D350" i="1" a="1"/>
  <c r="D350" i="1" s="1"/>
  <c r="E350" i="1"/>
  <c r="F350" i="1"/>
  <c r="G350" i="1"/>
  <c r="H350" i="1"/>
  <c r="I350" i="1"/>
  <c r="A351" i="1"/>
  <c r="B351" i="1" a="1"/>
  <c r="B351" i="1" s="1"/>
  <c r="C351" i="1" s="1" a="1"/>
  <c r="C351" i="1" s="1"/>
  <c r="D351" i="1" a="1"/>
  <c r="D351" i="1" s="1"/>
  <c r="E351" i="1"/>
  <c r="F351" i="1"/>
  <c r="G351" i="1"/>
  <c r="H351" i="1"/>
  <c r="M351" i="1" s="1"/>
  <c r="I351" i="1"/>
  <c r="A352" i="1"/>
  <c r="B352" i="1" a="1"/>
  <c r="B352" i="1" s="1"/>
  <c r="C352" i="1" s="1" a="1"/>
  <c r="C352" i="1" s="1"/>
  <c r="D352" i="1" a="1"/>
  <c r="D352" i="1" s="1"/>
  <c r="E352" i="1"/>
  <c r="F352" i="1"/>
  <c r="G352" i="1"/>
  <c r="H352" i="1"/>
  <c r="I352" i="1"/>
  <c r="A353" i="1"/>
  <c r="B353" i="1" a="1"/>
  <c r="B353" i="1" s="1"/>
  <c r="C353" i="1" s="1" a="1"/>
  <c r="C353" i="1" s="1"/>
  <c r="D353" i="1" a="1"/>
  <c r="D353" i="1" s="1"/>
  <c r="E353" i="1"/>
  <c r="F353" i="1"/>
  <c r="G353" i="1"/>
  <c r="H353" i="1"/>
  <c r="M353" i="1" s="1"/>
  <c r="I353" i="1"/>
  <c r="A354" i="1"/>
  <c r="B354" i="1" a="1"/>
  <c r="B354" i="1" s="1"/>
  <c r="C354" i="1" s="1" a="1"/>
  <c r="C354" i="1" s="1"/>
  <c r="D354" i="1" a="1"/>
  <c r="D354" i="1" s="1"/>
  <c r="E354" i="1"/>
  <c r="F354" i="1"/>
  <c r="G354" i="1"/>
  <c r="H354" i="1"/>
  <c r="M354" i="1" s="1"/>
  <c r="I354" i="1"/>
  <c r="A355" i="1"/>
  <c r="B355" i="1" a="1"/>
  <c r="B355" i="1" s="1"/>
  <c r="C355" i="1" s="1" a="1"/>
  <c r="C355" i="1" s="1"/>
  <c r="D355" i="1" a="1"/>
  <c r="D355" i="1" s="1"/>
  <c r="E355" i="1"/>
  <c r="F355" i="1"/>
  <c r="G355" i="1"/>
  <c r="H355" i="1"/>
  <c r="M355" i="1" s="1"/>
  <c r="I355" i="1"/>
  <c r="A356" i="1"/>
  <c r="B356" i="1" a="1"/>
  <c r="B356" i="1" s="1"/>
  <c r="C356" i="1" s="1" a="1"/>
  <c r="C356" i="1" s="1"/>
  <c r="D356" i="1" a="1"/>
  <c r="D356" i="1" s="1"/>
  <c r="E356" i="1"/>
  <c r="F356" i="1"/>
  <c r="G356" i="1"/>
  <c r="H356" i="1"/>
  <c r="M356" i="1" s="1"/>
  <c r="I356" i="1"/>
  <c r="A357" i="1"/>
  <c r="B357" i="1" a="1"/>
  <c r="B357" i="1" s="1"/>
  <c r="C357" i="1" s="1" a="1"/>
  <c r="C357" i="1" s="1"/>
  <c r="D357" i="1" a="1"/>
  <c r="D357" i="1" s="1"/>
  <c r="E357" i="1"/>
  <c r="F357" i="1"/>
  <c r="G357" i="1"/>
  <c r="H357" i="1"/>
  <c r="M357" i="1" s="1"/>
  <c r="I357" i="1"/>
  <c r="A358" i="1"/>
  <c r="B358" i="1" a="1"/>
  <c r="B358" i="1" s="1"/>
  <c r="C358" i="1" s="1" a="1"/>
  <c r="C358" i="1" s="1"/>
  <c r="D358" i="1" a="1"/>
  <c r="D358" i="1" s="1"/>
  <c r="E358" i="1"/>
  <c r="F358" i="1"/>
  <c r="G358" i="1"/>
  <c r="H358" i="1"/>
  <c r="M358" i="1" s="1"/>
  <c r="I358" i="1"/>
  <c r="A359" i="1"/>
  <c r="B359" i="1" a="1"/>
  <c r="B359" i="1" s="1"/>
  <c r="C359" i="1" s="1" a="1"/>
  <c r="C359" i="1" s="1"/>
  <c r="D359" i="1" a="1"/>
  <c r="D359" i="1" s="1"/>
  <c r="E359" i="1"/>
  <c r="F359" i="1"/>
  <c r="G359" i="1"/>
  <c r="H359" i="1"/>
  <c r="M359" i="1" s="1"/>
  <c r="I359" i="1"/>
  <c r="A360" i="1"/>
  <c r="B360" i="1" a="1"/>
  <c r="B360" i="1" s="1"/>
  <c r="C360" i="1" s="1" a="1"/>
  <c r="C360" i="1" s="1"/>
  <c r="D360" i="1" a="1"/>
  <c r="D360" i="1" s="1"/>
  <c r="E360" i="1"/>
  <c r="F360" i="1"/>
  <c r="G360" i="1"/>
  <c r="H360" i="1"/>
  <c r="M360" i="1" s="1"/>
  <c r="I360" i="1"/>
  <c r="A361" i="1"/>
  <c r="B361" i="1" a="1"/>
  <c r="B361" i="1" s="1"/>
  <c r="C361" i="1" s="1" a="1"/>
  <c r="C361" i="1" s="1"/>
  <c r="D361" i="1" a="1"/>
  <c r="D361" i="1" s="1"/>
  <c r="E361" i="1"/>
  <c r="F361" i="1"/>
  <c r="G361" i="1"/>
  <c r="H361" i="1"/>
  <c r="M361" i="1" s="1"/>
  <c r="I361" i="1"/>
  <c r="A362" i="1"/>
  <c r="B362" i="1" a="1"/>
  <c r="B362" i="1" s="1"/>
  <c r="C362" i="1" s="1" a="1"/>
  <c r="C362" i="1" s="1"/>
  <c r="D362" i="1" a="1"/>
  <c r="D362" i="1" s="1"/>
  <c r="E362" i="1"/>
  <c r="F362" i="1"/>
  <c r="G362" i="1"/>
  <c r="H362" i="1"/>
  <c r="M362" i="1" s="1"/>
  <c r="I362" i="1"/>
  <c r="A363" i="1"/>
  <c r="B363" i="1" a="1"/>
  <c r="B363" i="1" s="1"/>
  <c r="C363" i="1" s="1" a="1"/>
  <c r="C363" i="1" s="1"/>
  <c r="D363" i="1" a="1"/>
  <c r="D363" i="1" s="1"/>
  <c r="E363" i="1"/>
  <c r="F363" i="1"/>
  <c r="G363" i="1"/>
  <c r="H363" i="1"/>
  <c r="M363" i="1" s="1"/>
  <c r="I363" i="1"/>
  <c r="A364" i="1"/>
  <c r="B364" i="1" a="1"/>
  <c r="B364" i="1" s="1"/>
  <c r="C364" i="1" s="1" a="1"/>
  <c r="C364" i="1" s="1"/>
  <c r="D364" i="1" a="1"/>
  <c r="D364" i="1" s="1"/>
  <c r="E364" i="1"/>
  <c r="F364" i="1"/>
  <c r="G364" i="1"/>
  <c r="H364" i="1"/>
  <c r="I364" i="1"/>
  <c r="A365" i="1"/>
  <c r="B365" i="1" a="1"/>
  <c r="B365" i="1" s="1"/>
  <c r="C365" i="1" s="1" a="1"/>
  <c r="C365" i="1" s="1"/>
  <c r="D365" i="1" a="1"/>
  <c r="D365" i="1" s="1"/>
  <c r="E365" i="1"/>
  <c r="F365" i="1"/>
  <c r="G365" i="1"/>
  <c r="H365" i="1"/>
  <c r="M365" i="1" s="1"/>
  <c r="I365" i="1"/>
  <c r="A366" i="1"/>
  <c r="B366" i="1" a="1"/>
  <c r="B366" i="1" s="1"/>
  <c r="C366" i="1" s="1" a="1"/>
  <c r="C366" i="1" s="1"/>
  <c r="D366" i="1" a="1"/>
  <c r="D366" i="1" s="1"/>
  <c r="E366" i="1"/>
  <c r="F366" i="1"/>
  <c r="G366" i="1"/>
  <c r="H366" i="1"/>
  <c r="I366" i="1"/>
  <c r="A367" i="1"/>
  <c r="B367" i="1" a="1"/>
  <c r="B367" i="1" s="1"/>
  <c r="C367" i="1" s="1" a="1"/>
  <c r="C367" i="1" s="1"/>
  <c r="D367" i="1" a="1"/>
  <c r="D367" i="1" s="1"/>
  <c r="E367" i="1"/>
  <c r="F367" i="1"/>
  <c r="G367" i="1"/>
  <c r="H367" i="1"/>
  <c r="M367" i="1" s="1"/>
  <c r="I367" i="1"/>
  <c r="A368" i="1"/>
  <c r="B368" i="1" a="1"/>
  <c r="B368" i="1" s="1"/>
  <c r="C368" i="1" s="1" a="1"/>
  <c r="C368" i="1" s="1"/>
  <c r="D368" i="1" a="1"/>
  <c r="D368" i="1" s="1"/>
  <c r="E368" i="1"/>
  <c r="F368" i="1"/>
  <c r="G368" i="1"/>
  <c r="H368" i="1"/>
  <c r="I368" i="1"/>
  <c r="A369" i="1"/>
  <c r="B369" i="1" a="1"/>
  <c r="B369" i="1" s="1"/>
  <c r="C369" i="1" s="1" a="1"/>
  <c r="C369" i="1" s="1"/>
  <c r="D369" i="1" a="1"/>
  <c r="D369" i="1" s="1"/>
  <c r="E369" i="1"/>
  <c r="F369" i="1"/>
  <c r="G369" i="1"/>
  <c r="H369" i="1"/>
  <c r="M369" i="1" s="1"/>
  <c r="I369" i="1"/>
  <c r="A370" i="1"/>
  <c r="B370" i="1" a="1"/>
  <c r="B370" i="1" s="1"/>
  <c r="C370" i="1" s="1" a="1"/>
  <c r="C370" i="1" s="1"/>
  <c r="D370" i="1" a="1"/>
  <c r="D370" i="1" s="1"/>
  <c r="E370" i="1"/>
  <c r="F370" i="1"/>
  <c r="G370" i="1"/>
  <c r="H370" i="1"/>
  <c r="M370" i="1" s="1"/>
  <c r="I370" i="1"/>
  <c r="A371" i="1"/>
  <c r="B371" i="1" a="1"/>
  <c r="B371" i="1" s="1"/>
  <c r="C371" i="1" s="1" a="1"/>
  <c r="C371" i="1" s="1"/>
  <c r="D371" i="1" a="1"/>
  <c r="D371" i="1" s="1"/>
  <c r="E371" i="1"/>
  <c r="F371" i="1"/>
  <c r="G371" i="1"/>
  <c r="H371" i="1"/>
  <c r="M371" i="1" s="1"/>
  <c r="I371" i="1"/>
  <c r="A372" i="1"/>
  <c r="B372" i="1" a="1"/>
  <c r="B372" i="1" s="1"/>
  <c r="C372" i="1" s="1" a="1"/>
  <c r="C372" i="1" s="1"/>
  <c r="D372" i="1" a="1"/>
  <c r="D372" i="1" s="1"/>
  <c r="E372" i="1"/>
  <c r="F372" i="1"/>
  <c r="G372" i="1"/>
  <c r="H372" i="1"/>
  <c r="I372" i="1"/>
  <c r="A373" i="1"/>
  <c r="B373" i="1" a="1"/>
  <c r="B373" i="1" s="1"/>
  <c r="C373" i="1" s="1" a="1"/>
  <c r="C373" i="1" s="1"/>
  <c r="D373" i="1" a="1"/>
  <c r="D373" i="1" s="1"/>
  <c r="E373" i="1"/>
  <c r="F373" i="1"/>
  <c r="G373" i="1"/>
  <c r="H373" i="1"/>
  <c r="M373" i="1" s="1"/>
  <c r="I373" i="1"/>
  <c r="A374" i="1"/>
  <c r="B374" i="1" a="1"/>
  <c r="B374" i="1" s="1"/>
  <c r="C374" i="1" s="1" a="1"/>
  <c r="C374" i="1" s="1"/>
  <c r="D374" i="1" a="1"/>
  <c r="D374" i="1" s="1"/>
  <c r="E374" i="1"/>
  <c r="F374" i="1"/>
  <c r="G374" i="1"/>
  <c r="H374" i="1"/>
  <c r="I374" i="1"/>
  <c r="A375" i="1"/>
  <c r="B375" i="1" a="1"/>
  <c r="B375" i="1" s="1"/>
  <c r="C375" i="1" s="1" a="1"/>
  <c r="C375" i="1" s="1"/>
  <c r="D375" i="1" a="1"/>
  <c r="D375" i="1" s="1"/>
  <c r="E375" i="1"/>
  <c r="F375" i="1"/>
  <c r="G375" i="1"/>
  <c r="H375" i="1"/>
  <c r="M375" i="1" s="1"/>
  <c r="I375" i="1"/>
  <c r="A376" i="1"/>
  <c r="B376" i="1" a="1"/>
  <c r="B376" i="1" s="1"/>
  <c r="C376" i="1" s="1" a="1"/>
  <c r="C376" i="1" s="1"/>
  <c r="D376" i="1" a="1"/>
  <c r="D376" i="1" s="1"/>
  <c r="E376" i="1"/>
  <c r="F376" i="1"/>
  <c r="G376" i="1"/>
  <c r="H376" i="1"/>
  <c r="M376" i="1" s="1"/>
  <c r="I376" i="1"/>
  <c r="A377" i="1"/>
  <c r="B377" i="1" a="1"/>
  <c r="B377" i="1" s="1"/>
  <c r="C377" i="1" s="1" a="1"/>
  <c r="C377" i="1" s="1"/>
  <c r="D377" i="1" a="1"/>
  <c r="D377" i="1" s="1"/>
  <c r="E377" i="1"/>
  <c r="F377" i="1"/>
  <c r="G377" i="1"/>
  <c r="H377" i="1"/>
  <c r="I377" i="1"/>
  <c r="A378" i="1"/>
  <c r="B378" i="1" a="1"/>
  <c r="B378" i="1" s="1"/>
  <c r="C378" i="1" s="1" a="1"/>
  <c r="C378" i="1" s="1"/>
  <c r="D378" i="1" a="1"/>
  <c r="D378" i="1" s="1"/>
  <c r="E378" i="1"/>
  <c r="F378" i="1"/>
  <c r="G378" i="1"/>
  <c r="H378" i="1"/>
  <c r="M378" i="1" s="1"/>
  <c r="I378" i="1"/>
  <c r="A379" i="1"/>
  <c r="B379" i="1" a="1"/>
  <c r="B379" i="1" s="1"/>
  <c r="C379" i="1" s="1" a="1"/>
  <c r="C379" i="1" s="1"/>
  <c r="D379" i="1" a="1"/>
  <c r="D379" i="1" s="1"/>
  <c r="E379" i="1"/>
  <c r="F379" i="1"/>
  <c r="G379" i="1"/>
  <c r="H379" i="1"/>
  <c r="M379" i="1" s="1"/>
  <c r="I379" i="1"/>
  <c r="A380" i="1"/>
  <c r="B380" i="1" a="1"/>
  <c r="B380" i="1" s="1"/>
  <c r="C380" i="1" s="1" a="1"/>
  <c r="C380" i="1" s="1"/>
  <c r="D380" i="1" a="1"/>
  <c r="D380" i="1" s="1"/>
  <c r="E380" i="1"/>
  <c r="F380" i="1"/>
  <c r="G380" i="1"/>
  <c r="H380" i="1"/>
  <c r="I380" i="1"/>
  <c r="A381" i="1"/>
  <c r="B381" i="1" a="1"/>
  <c r="B381" i="1" s="1"/>
  <c r="C381" i="1" s="1" a="1"/>
  <c r="C381" i="1" s="1"/>
  <c r="D381" i="1" a="1"/>
  <c r="D381" i="1" s="1"/>
  <c r="E381" i="1"/>
  <c r="F381" i="1"/>
  <c r="G381" i="1"/>
  <c r="H381" i="1"/>
  <c r="I381" i="1"/>
  <c r="A382" i="1"/>
  <c r="B382" i="1" a="1"/>
  <c r="B382" i="1" s="1"/>
  <c r="C382" i="1" s="1" a="1"/>
  <c r="C382" i="1" s="1"/>
  <c r="D382" i="1" a="1"/>
  <c r="D382" i="1" s="1"/>
  <c r="E382" i="1"/>
  <c r="F382" i="1"/>
  <c r="G382" i="1"/>
  <c r="H382" i="1"/>
  <c r="M382" i="1" s="1"/>
  <c r="I382" i="1"/>
  <c r="A383" i="1"/>
  <c r="B383" i="1" a="1"/>
  <c r="B383" i="1" s="1"/>
  <c r="C383" i="1" s="1" a="1"/>
  <c r="C383" i="1" s="1"/>
  <c r="D383" i="1" a="1"/>
  <c r="D383" i="1" s="1"/>
  <c r="E383" i="1"/>
  <c r="F383" i="1"/>
  <c r="G383" i="1"/>
  <c r="H383" i="1"/>
  <c r="M383" i="1" s="1"/>
  <c r="I383" i="1"/>
  <c r="A384" i="1"/>
  <c r="B384" i="1" a="1"/>
  <c r="B384" i="1" s="1"/>
  <c r="C384" i="1" s="1" a="1"/>
  <c r="C384" i="1" s="1"/>
  <c r="D384" i="1" a="1"/>
  <c r="D384" i="1" s="1"/>
  <c r="E384" i="1"/>
  <c r="F384" i="1"/>
  <c r="G384" i="1"/>
  <c r="H384" i="1"/>
  <c r="I384" i="1"/>
  <c r="A385" i="1"/>
  <c r="B385" i="1" a="1"/>
  <c r="B385" i="1" s="1"/>
  <c r="C385" i="1" s="1" a="1"/>
  <c r="C385" i="1" s="1"/>
  <c r="D385" i="1" a="1"/>
  <c r="D385" i="1" s="1"/>
  <c r="E385" i="1"/>
  <c r="F385" i="1"/>
  <c r="G385" i="1"/>
  <c r="H385" i="1"/>
  <c r="M385" i="1" s="1"/>
  <c r="I385" i="1"/>
  <c r="A386" i="1"/>
  <c r="B386" i="1" a="1"/>
  <c r="B386" i="1" s="1"/>
  <c r="C386" i="1" s="1" a="1"/>
  <c r="C386" i="1" s="1"/>
  <c r="D386" i="1" a="1"/>
  <c r="D386" i="1" s="1"/>
  <c r="E386" i="1"/>
  <c r="F386" i="1"/>
  <c r="G386" i="1"/>
  <c r="H386" i="1"/>
  <c r="M386" i="1" s="1"/>
  <c r="I386" i="1"/>
  <c r="A387" i="1"/>
  <c r="B387" i="1" a="1"/>
  <c r="B387" i="1" s="1"/>
  <c r="C387" i="1" s="1" a="1"/>
  <c r="C387" i="1" s="1"/>
  <c r="D387" i="1" a="1"/>
  <c r="D387" i="1" s="1"/>
  <c r="E387" i="1"/>
  <c r="F387" i="1"/>
  <c r="G387" i="1"/>
  <c r="H387" i="1"/>
  <c r="M387" i="1" s="1"/>
  <c r="I387" i="1"/>
  <c r="A388" i="1"/>
  <c r="B388" i="1" a="1"/>
  <c r="B388" i="1" s="1"/>
  <c r="C388" i="1" s="1" a="1"/>
  <c r="C388" i="1" s="1"/>
  <c r="D388" i="1" a="1"/>
  <c r="D388" i="1" s="1"/>
  <c r="E388" i="1"/>
  <c r="F388" i="1"/>
  <c r="G388" i="1"/>
  <c r="H388" i="1"/>
  <c r="I388" i="1"/>
  <c r="A389" i="1"/>
  <c r="B389" i="1" a="1"/>
  <c r="B389" i="1" s="1"/>
  <c r="C389" i="1" s="1" a="1"/>
  <c r="C389" i="1" s="1"/>
  <c r="D389" i="1" a="1"/>
  <c r="D389" i="1" s="1"/>
  <c r="E389" i="1"/>
  <c r="F389" i="1"/>
  <c r="G389" i="1"/>
  <c r="H389" i="1"/>
  <c r="I389" i="1"/>
  <c r="A390" i="1"/>
  <c r="B390" i="1" a="1"/>
  <c r="B390" i="1" s="1"/>
  <c r="C390" i="1" s="1" a="1"/>
  <c r="C390" i="1" s="1"/>
  <c r="D390" i="1" a="1"/>
  <c r="D390" i="1" s="1"/>
  <c r="E390" i="1"/>
  <c r="F390" i="1"/>
  <c r="G390" i="1"/>
  <c r="H390" i="1"/>
  <c r="I390" i="1"/>
  <c r="A391" i="1"/>
  <c r="B391" i="1" a="1"/>
  <c r="B391" i="1" s="1"/>
  <c r="C391" i="1" s="1" a="1"/>
  <c r="C391" i="1" s="1"/>
  <c r="D391" i="1" a="1"/>
  <c r="D391" i="1" s="1"/>
  <c r="E391" i="1"/>
  <c r="F391" i="1"/>
  <c r="G391" i="1"/>
  <c r="H391" i="1"/>
  <c r="M391" i="1" s="1"/>
  <c r="I391" i="1"/>
  <c r="A392" i="1"/>
  <c r="B392" i="1" a="1"/>
  <c r="B392" i="1" s="1"/>
  <c r="C392" i="1" s="1" a="1"/>
  <c r="C392" i="1" s="1"/>
  <c r="D392" i="1" a="1"/>
  <c r="D392" i="1" s="1"/>
  <c r="E392" i="1"/>
  <c r="F392" i="1"/>
  <c r="G392" i="1"/>
  <c r="H392" i="1"/>
  <c r="I392" i="1"/>
  <c r="A393" i="1"/>
  <c r="B393" i="1" a="1"/>
  <c r="B393" i="1" s="1"/>
  <c r="C393" i="1" s="1" a="1"/>
  <c r="C393" i="1" s="1"/>
  <c r="D393" i="1" a="1"/>
  <c r="D393" i="1" s="1"/>
  <c r="E393" i="1"/>
  <c r="F393" i="1"/>
  <c r="G393" i="1"/>
  <c r="H393" i="1"/>
  <c r="I393" i="1"/>
  <c r="A394" i="1"/>
  <c r="B394" i="1" a="1"/>
  <c r="B394" i="1" s="1"/>
  <c r="C394" i="1" s="1" a="1"/>
  <c r="C394" i="1" s="1"/>
  <c r="D394" i="1" a="1"/>
  <c r="D394" i="1" s="1"/>
  <c r="E394" i="1"/>
  <c r="F394" i="1"/>
  <c r="G394" i="1"/>
  <c r="H394" i="1"/>
  <c r="M394" i="1" s="1"/>
  <c r="I394" i="1"/>
  <c r="A395" i="1"/>
  <c r="B395" i="1" a="1"/>
  <c r="B395" i="1" s="1"/>
  <c r="C395" i="1" s="1" a="1"/>
  <c r="C395" i="1" s="1"/>
  <c r="D395" i="1" a="1"/>
  <c r="D395" i="1" s="1"/>
  <c r="E395" i="1"/>
  <c r="F395" i="1"/>
  <c r="G395" i="1"/>
  <c r="H395" i="1"/>
  <c r="M395" i="1" s="1"/>
  <c r="I395" i="1"/>
  <c r="A396" i="1"/>
  <c r="B396" i="1" a="1"/>
  <c r="B396" i="1" s="1"/>
  <c r="C396" i="1" s="1" a="1"/>
  <c r="C396" i="1" s="1"/>
  <c r="D396" i="1" a="1"/>
  <c r="D396" i="1" s="1"/>
  <c r="E396" i="1"/>
  <c r="F396" i="1"/>
  <c r="G396" i="1"/>
  <c r="H396" i="1"/>
  <c r="I396" i="1"/>
  <c r="A397" i="1"/>
  <c r="B397" i="1" a="1"/>
  <c r="B397" i="1" s="1"/>
  <c r="C397" i="1" s="1" a="1"/>
  <c r="C397" i="1" s="1"/>
  <c r="D397" i="1" a="1"/>
  <c r="D397" i="1" s="1"/>
  <c r="E397" i="1"/>
  <c r="F397" i="1"/>
  <c r="G397" i="1"/>
  <c r="H397" i="1"/>
  <c r="I397" i="1"/>
  <c r="A398" i="1"/>
  <c r="B398" i="1" a="1"/>
  <c r="B398" i="1" s="1"/>
  <c r="C398" i="1" s="1" a="1"/>
  <c r="C398" i="1" s="1"/>
  <c r="D398" i="1" a="1"/>
  <c r="D398" i="1" s="1"/>
  <c r="E398" i="1"/>
  <c r="F398" i="1"/>
  <c r="G398" i="1"/>
  <c r="H398" i="1"/>
  <c r="I398" i="1"/>
  <c r="A399" i="1"/>
  <c r="B399" i="1" a="1"/>
  <c r="B399" i="1" s="1"/>
  <c r="C399" i="1" s="1" a="1"/>
  <c r="C399" i="1" s="1"/>
  <c r="D399" i="1" a="1"/>
  <c r="D399" i="1" s="1"/>
  <c r="E399" i="1"/>
  <c r="F399" i="1"/>
  <c r="G399" i="1"/>
  <c r="H399" i="1"/>
  <c r="M399" i="1" s="1"/>
  <c r="I399" i="1"/>
  <c r="A400" i="1"/>
  <c r="B400" i="1" a="1"/>
  <c r="B400" i="1" s="1"/>
  <c r="C400" i="1" s="1" a="1"/>
  <c r="C400" i="1" s="1"/>
  <c r="D400" i="1" a="1"/>
  <c r="D400" i="1" s="1"/>
  <c r="E400" i="1"/>
  <c r="F400" i="1"/>
  <c r="G400" i="1"/>
  <c r="H400" i="1"/>
  <c r="I400" i="1"/>
  <c r="A401" i="1"/>
  <c r="B401" i="1" a="1"/>
  <c r="B401" i="1" s="1"/>
  <c r="C401" i="1" s="1" a="1"/>
  <c r="C401" i="1" s="1"/>
  <c r="D401" i="1" a="1"/>
  <c r="D401" i="1" s="1"/>
  <c r="E401" i="1"/>
  <c r="F401" i="1"/>
  <c r="G401" i="1"/>
  <c r="H401" i="1"/>
  <c r="M401" i="1" s="1"/>
  <c r="I401" i="1"/>
  <c r="A402" i="1"/>
  <c r="B402" i="1" a="1"/>
  <c r="B402" i="1" s="1"/>
  <c r="C402" i="1" s="1" a="1"/>
  <c r="C402" i="1" s="1"/>
  <c r="D402" i="1" a="1"/>
  <c r="D402" i="1" s="1"/>
  <c r="E402" i="1"/>
  <c r="F402" i="1"/>
  <c r="G402" i="1"/>
  <c r="H402" i="1"/>
  <c r="M402" i="1" s="1"/>
  <c r="I402" i="1"/>
  <c r="A403" i="1"/>
  <c r="B403" i="1" a="1"/>
  <c r="B403" i="1" s="1"/>
  <c r="C403" i="1" s="1" a="1"/>
  <c r="C403" i="1" s="1"/>
  <c r="D403" i="1" a="1"/>
  <c r="D403" i="1" s="1"/>
  <c r="E403" i="1"/>
  <c r="F403" i="1"/>
  <c r="G403" i="1"/>
  <c r="H403" i="1"/>
  <c r="M403" i="1" s="1"/>
  <c r="I403" i="1"/>
  <c r="A404" i="1"/>
  <c r="B404" i="1" a="1"/>
  <c r="B404" i="1" s="1"/>
  <c r="C404" i="1" s="1" a="1"/>
  <c r="C404" i="1" s="1"/>
  <c r="D404" i="1" a="1"/>
  <c r="D404" i="1" s="1"/>
  <c r="E404" i="1"/>
  <c r="F404" i="1"/>
  <c r="G404" i="1"/>
  <c r="H404" i="1"/>
  <c r="M404" i="1" s="1"/>
  <c r="I404" i="1"/>
  <c r="A405" i="1"/>
  <c r="B405" i="1" a="1"/>
  <c r="B405" i="1" s="1"/>
  <c r="C405" i="1" s="1" a="1"/>
  <c r="C405" i="1" s="1"/>
  <c r="D405" i="1" a="1"/>
  <c r="D405" i="1" s="1"/>
  <c r="E405" i="1"/>
  <c r="F405" i="1"/>
  <c r="G405" i="1"/>
  <c r="H405" i="1"/>
  <c r="M405" i="1" s="1"/>
  <c r="I405" i="1"/>
  <c r="A406" i="1"/>
  <c r="B406" i="1" a="1"/>
  <c r="B406" i="1" s="1"/>
  <c r="C406" i="1" s="1" a="1"/>
  <c r="C406" i="1" s="1"/>
  <c r="D406" i="1" a="1"/>
  <c r="D406" i="1" s="1"/>
  <c r="E406" i="1"/>
  <c r="F406" i="1"/>
  <c r="G406" i="1"/>
  <c r="H406" i="1"/>
  <c r="I406" i="1"/>
  <c r="A407" i="1"/>
  <c r="B407" i="1" a="1"/>
  <c r="B407" i="1" s="1"/>
  <c r="C407" i="1" s="1" a="1"/>
  <c r="C407" i="1" s="1"/>
  <c r="D407" i="1" a="1"/>
  <c r="D407" i="1" s="1"/>
  <c r="E407" i="1"/>
  <c r="F407" i="1"/>
  <c r="G407" i="1"/>
  <c r="H407" i="1"/>
  <c r="M407" i="1" s="1"/>
  <c r="I407" i="1"/>
  <c r="A408" i="1"/>
  <c r="B408" i="1" a="1"/>
  <c r="B408" i="1" s="1"/>
  <c r="C408" i="1" s="1" a="1"/>
  <c r="C408" i="1" s="1"/>
  <c r="D408" i="1" a="1"/>
  <c r="D408" i="1" s="1"/>
  <c r="E408" i="1"/>
  <c r="F408" i="1"/>
  <c r="G408" i="1"/>
  <c r="H408" i="1"/>
  <c r="M408" i="1" s="1"/>
  <c r="I408" i="1"/>
  <c r="A409" i="1"/>
  <c r="B409" i="1" a="1"/>
  <c r="B409" i="1" s="1"/>
  <c r="C409" i="1" s="1" a="1"/>
  <c r="C409" i="1" s="1"/>
  <c r="D409" i="1" a="1"/>
  <c r="D409" i="1" s="1"/>
  <c r="E409" i="1"/>
  <c r="F409" i="1"/>
  <c r="G409" i="1"/>
  <c r="H409" i="1"/>
  <c r="M409" i="1" s="1"/>
  <c r="I409" i="1"/>
  <c r="A410" i="1"/>
  <c r="B410" i="1" a="1"/>
  <c r="B410" i="1" s="1"/>
  <c r="C410" i="1" s="1" a="1"/>
  <c r="C410" i="1" s="1"/>
  <c r="D410" i="1" a="1"/>
  <c r="D410" i="1" s="1"/>
  <c r="E410" i="1"/>
  <c r="F410" i="1"/>
  <c r="G410" i="1"/>
  <c r="H410" i="1"/>
  <c r="M410" i="1" s="1"/>
  <c r="I410" i="1"/>
  <c r="A411" i="1"/>
  <c r="B411" i="1" a="1"/>
  <c r="B411" i="1" s="1"/>
  <c r="C411" i="1" s="1" a="1"/>
  <c r="C411" i="1" s="1"/>
  <c r="D411" i="1" a="1"/>
  <c r="D411" i="1" s="1"/>
  <c r="E411" i="1"/>
  <c r="F411" i="1"/>
  <c r="G411" i="1"/>
  <c r="H411" i="1"/>
  <c r="M411" i="1" s="1"/>
  <c r="I411" i="1"/>
  <c r="A412" i="1"/>
  <c r="B412" i="1" a="1"/>
  <c r="B412" i="1" s="1"/>
  <c r="C412" i="1" s="1" a="1"/>
  <c r="C412" i="1" s="1"/>
  <c r="D412" i="1" a="1"/>
  <c r="D412" i="1" s="1"/>
  <c r="E412" i="1"/>
  <c r="F412" i="1"/>
  <c r="G412" i="1"/>
  <c r="H412" i="1"/>
  <c r="I412" i="1"/>
  <c r="A413" i="1"/>
  <c r="B413" i="1" a="1"/>
  <c r="B413" i="1" s="1"/>
  <c r="C413" i="1" s="1" a="1"/>
  <c r="C413" i="1" s="1"/>
  <c r="D413" i="1" a="1"/>
  <c r="D413" i="1" s="1"/>
  <c r="E413" i="1"/>
  <c r="F413" i="1"/>
  <c r="G413" i="1"/>
  <c r="H413" i="1"/>
  <c r="I413" i="1"/>
  <c r="A414" i="1"/>
  <c r="B414" i="1" a="1"/>
  <c r="B414" i="1" s="1"/>
  <c r="C414" i="1" s="1" a="1"/>
  <c r="C414" i="1" s="1"/>
  <c r="D414" i="1" a="1"/>
  <c r="D414" i="1" s="1"/>
  <c r="E414" i="1"/>
  <c r="F414" i="1"/>
  <c r="G414" i="1"/>
  <c r="H414" i="1"/>
  <c r="M414" i="1" s="1"/>
  <c r="I414" i="1"/>
  <c r="A415" i="1"/>
  <c r="B415" i="1" a="1"/>
  <c r="B415" i="1" s="1"/>
  <c r="C415" i="1" s="1" a="1"/>
  <c r="C415" i="1" s="1"/>
  <c r="D415" i="1" a="1"/>
  <c r="D415" i="1" s="1"/>
  <c r="E415" i="1"/>
  <c r="F415" i="1"/>
  <c r="G415" i="1"/>
  <c r="H415" i="1"/>
  <c r="M415" i="1" s="1"/>
  <c r="I415" i="1"/>
  <c r="A416" i="1"/>
  <c r="B416" i="1" a="1"/>
  <c r="B416" i="1" s="1"/>
  <c r="C416" i="1" s="1" a="1"/>
  <c r="C416" i="1" s="1"/>
  <c r="D416" i="1" a="1"/>
  <c r="D416" i="1" s="1"/>
  <c r="E416" i="1"/>
  <c r="F416" i="1"/>
  <c r="G416" i="1"/>
  <c r="H416" i="1"/>
  <c r="I416" i="1"/>
  <c r="A417" i="1"/>
  <c r="B417" i="1" a="1"/>
  <c r="B417" i="1" s="1"/>
  <c r="C417" i="1" s="1" a="1"/>
  <c r="C417" i="1" s="1"/>
  <c r="D417" i="1" a="1"/>
  <c r="D417" i="1" s="1"/>
  <c r="E417" i="1"/>
  <c r="F417" i="1"/>
  <c r="G417" i="1"/>
  <c r="H417" i="1"/>
  <c r="M417" i="1" s="1"/>
  <c r="I417" i="1"/>
  <c r="A418" i="1"/>
  <c r="B418" i="1" a="1"/>
  <c r="B418" i="1" s="1"/>
  <c r="C418" i="1" s="1" a="1"/>
  <c r="C418" i="1" s="1"/>
  <c r="D418" i="1" a="1"/>
  <c r="D418" i="1" s="1"/>
  <c r="E418" i="1"/>
  <c r="F418" i="1"/>
  <c r="G418" i="1"/>
  <c r="H418" i="1"/>
  <c r="I418" i="1"/>
  <c r="A419" i="1"/>
  <c r="B419" i="1" a="1"/>
  <c r="B419" i="1" s="1"/>
  <c r="C419" i="1" s="1" a="1"/>
  <c r="C419" i="1" s="1"/>
  <c r="D419" i="1" a="1"/>
  <c r="D419" i="1" s="1"/>
  <c r="E419" i="1"/>
  <c r="F419" i="1"/>
  <c r="G419" i="1"/>
  <c r="H419" i="1"/>
  <c r="M419" i="1" s="1"/>
  <c r="I419" i="1"/>
  <c r="A420" i="1"/>
  <c r="B420" i="1" a="1"/>
  <c r="B420" i="1" s="1"/>
  <c r="C420" i="1" s="1" a="1"/>
  <c r="C420" i="1" s="1"/>
  <c r="D420" i="1" a="1"/>
  <c r="D420" i="1" s="1"/>
  <c r="E420" i="1"/>
  <c r="F420" i="1"/>
  <c r="G420" i="1"/>
  <c r="H420" i="1"/>
  <c r="M420" i="1" s="1"/>
  <c r="I420" i="1"/>
  <c r="A421" i="1"/>
  <c r="B421" i="1" a="1"/>
  <c r="B421" i="1" s="1"/>
  <c r="C421" i="1" s="1" a="1"/>
  <c r="C421" i="1" s="1"/>
  <c r="D421" i="1" a="1"/>
  <c r="D421" i="1" s="1"/>
  <c r="E421" i="1"/>
  <c r="F421" i="1"/>
  <c r="G421" i="1"/>
  <c r="H421" i="1"/>
  <c r="I421" i="1"/>
  <c r="A422" i="1"/>
  <c r="B422" i="1" a="1"/>
  <c r="B422" i="1" s="1"/>
  <c r="C422" i="1" s="1" a="1"/>
  <c r="C422" i="1" s="1"/>
  <c r="D422" i="1" a="1"/>
  <c r="D422" i="1" s="1"/>
  <c r="E422" i="1"/>
  <c r="F422" i="1"/>
  <c r="G422" i="1"/>
  <c r="H422" i="1"/>
  <c r="M422" i="1" s="1"/>
  <c r="I422" i="1"/>
  <c r="A423" i="1"/>
  <c r="B423" i="1" a="1"/>
  <c r="B423" i="1" s="1"/>
  <c r="C423" i="1" s="1" a="1"/>
  <c r="C423" i="1" s="1"/>
  <c r="D423" i="1" a="1"/>
  <c r="D423" i="1" s="1"/>
  <c r="E423" i="1"/>
  <c r="F423" i="1"/>
  <c r="G423" i="1"/>
  <c r="H423" i="1"/>
  <c r="I423" i="1"/>
  <c r="A424" i="1"/>
  <c r="B424" i="1" a="1"/>
  <c r="B424" i="1" s="1"/>
  <c r="C424" i="1" s="1" a="1"/>
  <c r="C424" i="1" s="1"/>
  <c r="D424" i="1" a="1"/>
  <c r="D424" i="1" s="1"/>
  <c r="E424" i="1"/>
  <c r="F424" i="1"/>
  <c r="G424" i="1"/>
  <c r="H424" i="1"/>
  <c r="I424" i="1"/>
  <c r="A425" i="1"/>
  <c r="B425" i="1" a="1"/>
  <c r="B425" i="1" s="1"/>
  <c r="C425" i="1" s="1" a="1"/>
  <c r="C425" i="1" s="1"/>
  <c r="D425" i="1" a="1"/>
  <c r="D425" i="1" s="1"/>
  <c r="E425" i="1"/>
  <c r="F425" i="1"/>
  <c r="G425" i="1"/>
  <c r="H425" i="1"/>
  <c r="I425" i="1"/>
  <c r="A426" i="1"/>
  <c r="B426" i="1" a="1"/>
  <c r="B426" i="1" s="1"/>
  <c r="C426" i="1" s="1" a="1"/>
  <c r="C426" i="1" s="1"/>
  <c r="D426" i="1" a="1"/>
  <c r="D426" i="1" s="1"/>
  <c r="E426" i="1"/>
  <c r="F426" i="1"/>
  <c r="G426" i="1"/>
  <c r="H426" i="1"/>
  <c r="I426" i="1"/>
  <c r="A427" i="1"/>
  <c r="B427" i="1" a="1"/>
  <c r="B427" i="1" s="1"/>
  <c r="C427" i="1" s="1" a="1"/>
  <c r="C427" i="1" s="1"/>
  <c r="D427" i="1" a="1"/>
  <c r="D427" i="1" s="1"/>
  <c r="E427" i="1"/>
  <c r="F427" i="1"/>
  <c r="G427" i="1"/>
  <c r="H427" i="1"/>
  <c r="M427" i="1" s="1"/>
  <c r="I427" i="1"/>
  <c r="A428" i="1"/>
  <c r="B428" i="1" a="1"/>
  <c r="B428" i="1" s="1"/>
  <c r="C428" i="1" s="1" a="1"/>
  <c r="C428" i="1" s="1"/>
  <c r="D428" i="1" a="1"/>
  <c r="D428" i="1" s="1"/>
  <c r="E428" i="1"/>
  <c r="F428" i="1"/>
  <c r="G428" i="1"/>
  <c r="H428" i="1"/>
  <c r="I428" i="1"/>
  <c r="A429" i="1"/>
  <c r="B429" i="1" a="1"/>
  <c r="B429" i="1" s="1"/>
  <c r="C429" i="1" s="1" a="1"/>
  <c r="C429" i="1" s="1"/>
  <c r="D429" i="1" a="1"/>
  <c r="D429" i="1" s="1"/>
  <c r="E429" i="1"/>
  <c r="F429" i="1"/>
  <c r="G429" i="1"/>
  <c r="H429" i="1"/>
  <c r="M429" i="1" s="1"/>
  <c r="I429" i="1"/>
  <c r="A430" i="1"/>
  <c r="B430" i="1" a="1"/>
  <c r="B430" i="1" s="1"/>
  <c r="C430" i="1" s="1" a="1"/>
  <c r="C430" i="1" s="1"/>
  <c r="D430" i="1" a="1"/>
  <c r="D430" i="1" s="1"/>
  <c r="E430" i="1"/>
  <c r="F430" i="1"/>
  <c r="G430" i="1"/>
  <c r="H430" i="1"/>
  <c r="M430" i="1" s="1"/>
  <c r="I430" i="1"/>
  <c r="A431" i="1"/>
  <c r="B431" i="1" a="1"/>
  <c r="B431" i="1" s="1"/>
  <c r="C431" i="1" s="1" a="1"/>
  <c r="C431" i="1" s="1"/>
  <c r="D431" i="1" a="1"/>
  <c r="D431" i="1" s="1"/>
  <c r="E431" i="1"/>
  <c r="F431" i="1"/>
  <c r="G431" i="1"/>
  <c r="H431" i="1"/>
  <c r="I431" i="1"/>
  <c r="A432" i="1"/>
  <c r="B432" i="1" a="1"/>
  <c r="B432" i="1" s="1"/>
  <c r="C432" i="1" s="1" a="1"/>
  <c r="C432" i="1" s="1"/>
  <c r="D432" i="1" a="1"/>
  <c r="D432" i="1" s="1"/>
  <c r="E432" i="1"/>
  <c r="F432" i="1"/>
  <c r="G432" i="1"/>
  <c r="H432" i="1"/>
  <c r="M432" i="1" s="1"/>
  <c r="I432" i="1"/>
  <c r="A433" i="1"/>
  <c r="B433" i="1" a="1"/>
  <c r="B433" i="1" s="1"/>
  <c r="C433" i="1" s="1" a="1"/>
  <c r="C433" i="1" s="1"/>
  <c r="D433" i="1" a="1"/>
  <c r="D433" i="1" s="1"/>
  <c r="E433" i="1"/>
  <c r="F433" i="1"/>
  <c r="G433" i="1"/>
  <c r="H433" i="1"/>
  <c r="M433" i="1" s="1"/>
  <c r="I433" i="1"/>
  <c r="A434" i="1"/>
  <c r="B434" i="1" a="1"/>
  <c r="B434" i="1" s="1"/>
  <c r="C434" i="1" s="1" a="1"/>
  <c r="C434" i="1" s="1"/>
  <c r="D434" i="1" a="1"/>
  <c r="D434" i="1" s="1"/>
  <c r="E434" i="1"/>
  <c r="F434" i="1"/>
  <c r="G434" i="1"/>
  <c r="H434" i="1"/>
  <c r="I434" i="1"/>
  <c r="A435" i="1"/>
  <c r="B435" i="1" a="1"/>
  <c r="B435" i="1" s="1"/>
  <c r="C435" i="1" s="1" a="1"/>
  <c r="C435" i="1" s="1"/>
  <c r="D435" i="1" a="1"/>
  <c r="D435" i="1" s="1"/>
  <c r="E435" i="1"/>
  <c r="F435" i="1"/>
  <c r="G435" i="1"/>
  <c r="H435" i="1"/>
  <c r="M435" i="1" s="1"/>
  <c r="I435" i="1"/>
  <c r="A436" i="1"/>
  <c r="B436" i="1" a="1"/>
  <c r="B436" i="1" s="1"/>
  <c r="C436" i="1" s="1" a="1"/>
  <c r="C436" i="1" s="1"/>
  <c r="D436" i="1" a="1"/>
  <c r="D436" i="1" s="1"/>
  <c r="E436" i="1"/>
  <c r="F436" i="1"/>
  <c r="G436" i="1"/>
  <c r="H436" i="1"/>
  <c r="M436" i="1" s="1"/>
  <c r="I436" i="1"/>
  <c r="A437" i="1"/>
  <c r="B437" i="1" a="1"/>
  <c r="B437" i="1" s="1"/>
  <c r="C437" i="1" s="1" a="1"/>
  <c r="C437" i="1" s="1"/>
  <c r="D437" i="1" a="1"/>
  <c r="D437" i="1" s="1"/>
  <c r="E437" i="1"/>
  <c r="F437" i="1"/>
  <c r="G437" i="1"/>
  <c r="H437" i="1"/>
  <c r="I437" i="1"/>
  <c r="A438" i="1"/>
  <c r="B438" i="1" a="1"/>
  <c r="B438" i="1" s="1"/>
  <c r="C438" i="1" s="1" a="1"/>
  <c r="C438" i="1" s="1"/>
  <c r="D438" i="1" a="1"/>
  <c r="D438" i="1" s="1"/>
  <c r="E438" i="1"/>
  <c r="F438" i="1"/>
  <c r="G438" i="1"/>
  <c r="H438" i="1"/>
  <c r="M438" i="1" s="1"/>
  <c r="I438" i="1"/>
  <c r="A439" i="1"/>
  <c r="B439" i="1" a="1"/>
  <c r="B439" i="1" s="1"/>
  <c r="C439" i="1" s="1" a="1"/>
  <c r="C439" i="1" s="1"/>
  <c r="D439" i="1" a="1"/>
  <c r="D439" i="1" s="1"/>
  <c r="E439" i="1"/>
  <c r="F439" i="1"/>
  <c r="G439" i="1"/>
  <c r="H439" i="1"/>
  <c r="I439" i="1"/>
  <c r="A440" i="1"/>
  <c r="B440" i="1" a="1"/>
  <c r="B440" i="1" s="1"/>
  <c r="C440" i="1" s="1" a="1"/>
  <c r="C440" i="1" s="1"/>
  <c r="D440" i="1" a="1"/>
  <c r="D440" i="1" s="1"/>
  <c r="E440" i="1"/>
  <c r="F440" i="1"/>
  <c r="G440" i="1"/>
  <c r="H440" i="1"/>
  <c r="I440" i="1"/>
  <c r="A441" i="1"/>
  <c r="B441" i="1" a="1"/>
  <c r="B441" i="1" s="1"/>
  <c r="C441" i="1" s="1" a="1"/>
  <c r="C441" i="1" s="1"/>
  <c r="D441" i="1" a="1"/>
  <c r="D441" i="1" s="1"/>
  <c r="E441" i="1"/>
  <c r="F441" i="1"/>
  <c r="G441" i="1"/>
  <c r="H441" i="1"/>
  <c r="I441" i="1"/>
  <c r="A442" i="1"/>
  <c r="B442" i="1" a="1"/>
  <c r="B442" i="1" s="1"/>
  <c r="C442" i="1" s="1" a="1"/>
  <c r="C442" i="1" s="1"/>
  <c r="D442" i="1" a="1"/>
  <c r="D442" i="1" s="1"/>
  <c r="E442" i="1"/>
  <c r="F442" i="1"/>
  <c r="G442" i="1"/>
  <c r="H442" i="1"/>
  <c r="I442" i="1"/>
  <c r="A443" i="1"/>
  <c r="B443" i="1" a="1"/>
  <c r="B443" i="1" s="1"/>
  <c r="C443" i="1" s="1" a="1"/>
  <c r="C443" i="1" s="1"/>
  <c r="D443" i="1" a="1"/>
  <c r="D443" i="1" s="1"/>
  <c r="E443" i="1"/>
  <c r="F443" i="1"/>
  <c r="G443" i="1"/>
  <c r="H443" i="1"/>
  <c r="M443" i="1" s="1"/>
  <c r="I443" i="1"/>
  <c r="A444" i="1"/>
  <c r="B444" i="1" a="1"/>
  <c r="B444" i="1" s="1"/>
  <c r="C444" i="1" s="1" a="1"/>
  <c r="C444" i="1" s="1"/>
  <c r="D444" i="1" a="1"/>
  <c r="D444" i="1" s="1"/>
  <c r="E444" i="1"/>
  <c r="F444" i="1"/>
  <c r="G444" i="1"/>
  <c r="H444" i="1"/>
  <c r="M444" i="1" s="1"/>
  <c r="I444" i="1"/>
  <c r="A445" i="1"/>
  <c r="B445" i="1" a="1"/>
  <c r="B445" i="1" s="1"/>
  <c r="C445" i="1" s="1" a="1"/>
  <c r="C445" i="1" s="1"/>
  <c r="D445" i="1" a="1"/>
  <c r="D445" i="1" s="1"/>
  <c r="E445" i="1"/>
  <c r="F445" i="1"/>
  <c r="G445" i="1"/>
  <c r="H445" i="1"/>
  <c r="I445" i="1"/>
  <c r="A446" i="1"/>
  <c r="B446" i="1" a="1"/>
  <c r="B446" i="1" s="1"/>
  <c r="C446" i="1" s="1" a="1"/>
  <c r="C446" i="1" s="1"/>
  <c r="D446" i="1" a="1"/>
  <c r="D446" i="1" s="1"/>
  <c r="E446" i="1"/>
  <c r="F446" i="1"/>
  <c r="G446" i="1"/>
  <c r="H446" i="1"/>
  <c r="M446" i="1" s="1"/>
  <c r="I446" i="1"/>
  <c r="A447" i="1"/>
  <c r="B447" i="1" a="1"/>
  <c r="B447" i="1" s="1"/>
  <c r="C447" i="1" s="1" a="1"/>
  <c r="C447" i="1" s="1"/>
  <c r="D447" i="1" a="1"/>
  <c r="D447" i="1" s="1"/>
  <c r="E447" i="1"/>
  <c r="F447" i="1"/>
  <c r="G447" i="1"/>
  <c r="H447" i="1"/>
  <c r="I447" i="1"/>
  <c r="A448" i="1"/>
  <c r="B448" i="1" a="1"/>
  <c r="B448" i="1" s="1"/>
  <c r="C448" i="1" s="1" a="1"/>
  <c r="C448" i="1" s="1"/>
  <c r="D448" i="1" a="1"/>
  <c r="D448" i="1" s="1"/>
  <c r="E448" i="1"/>
  <c r="F448" i="1"/>
  <c r="G448" i="1"/>
  <c r="H448" i="1"/>
  <c r="I448" i="1"/>
  <c r="A449" i="1"/>
  <c r="B449" i="1" a="1"/>
  <c r="B449" i="1" s="1"/>
  <c r="C449" i="1" s="1" a="1"/>
  <c r="C449" i="1" s="1"/>
  <c r="D449" i="1" a="1"/>
  <c r="D449" i="1" s="1"/>
  <c r="E449" i="1"/>
  <c r="F449" i="1"/>
  <c r="G449" i="1"/>
  <c r="H449" i="1"/>
  <c r="I449" i="1"/>
  <c r="A450" i="1"/>
  <c r="B450" i="1" a="1"/>
  <c r="B450" i="1" s="1"/>
  <c r="C450" i="1" s="1" a="1"/>
  <c r="C450" i="1" s="1"/>
  <c r="D450" i="1" a="1"/>
  <c r="D450" i="1" s="1"/>
  <c r="E450" i="1"/>
  <c r="F450" i="1"/>
  <c r="G450" i="1"/>
  <c r="H450" i="1"/>
  <c r="I450" i="1"/>
  <c r="A451" i="1"/>
  <c r="B451" i="1" a="1"/>
  <c r="B451" i="1" s="1"/>
  <c r="C451" i="1" s="1" a="1"/>
  <c r="C451" i="1" s="1"/>
  <c r="D451" i="1" a="1"/>
  <c r="D451" i="1" s="1"/>
  <c r="E451" i="1"/>
  <c r="F451" i="1"/>
  <c r="G451" i="1"/>
  <c r="H451" i="1"/>
  <c r="I451" i="1"/>
  <c r="A452" i="1"/>
  <c r="B452" i="1" a="1"/>
  <c r="B452" i="1" s="1"/>
  <c r="C452" i="1" s="1" a="1"/>
  <c r="C452" i="1" s="1"/>
  <c r="D452" i="1" a="1"/>
  <c r="D452" i="1" s="1"/>
  <c r="E452" i="1"/>
  <c r="F452" i="1"/>
  <c r="G452" i="1"/>
  <c r="H452" i="1"/>
  <c r="I452" i="1"/>
  <c r="A453" i="1"/>
  <c r="B453" i="1" a="1"/>
  <c r="B453" i="1" s="1"/>
  <c r="C453" i="1" s="1" a="1"/>
  <c r="C453" i="1" s="1"/>
  <c r="D453" i="1" a="1"/>
  <c r="D453" i="1" s="1"/>
  <c r="E453" i="1"/>
  <c r="F453" i="1"/>
  <c r="G453" i="1"/>
  <c r="H453" i="1"/>
  <c r="I453" i="1"/>
  <c r="A454" i="1"/>
  <c r="B454" i="1" a="1"/>
  <c r="B454" i="1" s="1"/>
  <c r="C454" i="1" s="1" a="1"/>
  <c r="C454" i="1" s="1"/>
  <c r="D454" i="1" a="1"/>
  <c r="D454" i="1" s="1"/>
  <c r="E454" i="1"/>
  <c r="F454" i="1"/>
  <c r="G454" i="1"/>
  <c r="H454" i="1"/>
  <c r="M454" i="1" s="1"/>
  <c r="I454" i="1"/>
  <c r="A455" i="1"/>
  <c r="B455" i="1" a="1"/>
  <c r="B455" i="1" s="1"/>
  <c r="C455" i="1" s="1" a="1"/>
  <c r="C455" i="1" s="1"/>
  <c r="D455" i="1" a="1"/>
  <c r="D455" i="1" s="1"/>
  <c r="E455" i="1"/>
  <c r="F455" i="1"/>
  <c r="G455" i="1"/>
  <c r="H455" i="1"/>
  <c r="I455" i="1"/>
  <c r="A456" i="1"/>
  <c r="B456" i="1" a="1"/>
  <c r="B456" i="1" s="1"/>
  <c r="C456" i="1" s="1" a="1"/>
  <c r="C456" i="1" s="1"/>
  <c r="D456" i="1" a="1"/>
  <c r="D456" i="1" s="1"/>
  <c r="E456" i="1"/>
  <c r="F456" i="1"/>
  <c r="G456" i="1"/>
  <c r="H456" i="1"/>
  <c r="I456" i="1"/>
  <c r="A457" i="1"/>
  <c r="B457" i="1" a="1"/>
  <c r="B457" i="1" s="1"/>
  <c r="C457" i="1" s="1" a="1"/>
  <c r="C457" i="1" s="1"/>
  <c r="D457" i="1" a="1"/>
  <c r="D457" i="1" s="1"/>
  <c r="E457" i="1"/>
  <c r="F457" i="1"/>
  <c r="G457" i="1"/>
  <c r="H457" i="1"/>
  <c r="I457" i="1"/>
  <c r="A458" i="1"/>
  <c r="B458" i="1" a="1"/>
  <c r="B458" i="1" s="1"/>
  <c r="C458" i="1" s="1" a="1"/>
  <c r="C458" i="1" s="1"/>
  <c r="D458" i="1" a="1"/>
  <c r="D458" i="1" s="1"/>
  <c r="E458" i="1"/>
  <c r="F458" i="1"/>
  <c r="G458" i="1"/>
  <c r="H458" i="1"/>
  <c r="M458" i="1" s="1"/>
  <c r="I458" i="1"/>
  <c r="A459" i="1"/>
  <c r="B459" i="1" a="1"/>
  <c r="B459" i="1" s="1"/>
  <c r="C459" i="1" s="1" a="1"/>
  <c r="C459" i="1" s="1"/>
  <c r="D459" i="1" a="1"/>
  <c r="D459" i="1" s="1"/>
  <c r="E459" i="1"/>
  <c r="F459" i="1"/>
  <c r="G459" i="1"/>
  <c r="H459" i="1"/>
  <c r="I459" i="1"/>
  <c r="A460" i="1"/>
  <c r="B460" i="1" a="1"/>
  <c r="B460" i="1" s="1"/>
  <c r="C460" i="1" s="1" a="1"/>
  <c r="C460" i="1" s="1"/>
  <c r="D460" i="1" a="1"/>
  <c r="D460" i="1" s="1"/>
  <c r="E460" i="1"/>
  <c r="F460" i="1"/>
  <c r="G460" i="1"/>
  <c r="H460" i="1"/>
  <c r="I460" i="1"/>
  <c r="A461" i="1"/>
  <c r="B461" i="1" a="1"/>
  <c r="B461" i="1" s="1"/>
  <c r="C461" i="1" s="1" a="1"/>
  <c r="C461" i="1" s="1"/>
  <c r="D461" i="1" a="1"/>
  <c r="D461" i="1" s="1"/>
  <c r="E461" i="1"/>
  <c r="F461" i="1"/>
  <c r="G461" i="1"/>
  <c r="H461" i="1"/>
  <c r="I461" i="1"/>
  <c r="A462" i="1"/>
  <c r="B462" i="1" a="1"/>
  <c r="B462" i="1" s="1"/>
  <c r="C462" i="1" s="1" a="1"/>
  <c r="C462" i="1" s="1"/>
  <c r="D462" i="1" a="1"/>
  <c r="D462" i="1" s="1"/>
  <c r="E462" i="1"/>
  <c r="F462" i="1"/>
  <c r="G462" i="1"/>
  <c r="H462" i="1"/>
  <c r="M462" i="1" s="1"/>
  <c r="I462" i="1"/>
  <c r="A463" i="1"/>
  <c r="B463" i="1" a="1"/>
  <c r="B463" i="1" s="1"/>
  <c r="C463" i="1" s="1" a="1"/>
  <c r="C463" i="1" s="1"/>
  <c r="D463" i="1" a="1"/>
  <c r="D463" i="1" s="1"/>
  <c r="E463" i="1"/>
  <c r="F463" i="1"/>
  <c r="G463" i="1"/>
  <c r="H463" i="1"/>
  <c r="I463" i="1"/>
  <c r="A464" i="1"/>
  <c r="B464" i="1" a="1"/>
  <c r="B464" i="1" s="1"/>
  <c r="C464" i="1" s="1" a="1"/>
  <c r="C464" i="1" s="1"/>
  <c r="D464" i="1" a="1"/>
  <c r="D464" i="1" s="1"/>
  <c r="E464" i="1"/>
  <c r="F464" i="1"/>
  <c r="G464" i="1"/>
  <c r="H464" i="1"/>
  <c r="L464" i="1" s="1"/>
  <c r="I464" i="1"/>
  <c r="A465" i="1"/>
  <c r="B465" i="1" a="1"/>
  <c r="B465" i="1" s="1"/>
  <c r="C465" i="1" s="1" a="1"/>
  <c r="C465" i="1" s="1"/>
  <c r="D465" i="1" a="1"/>
  <c r="D465" i="1" s="1"/>
  <c r="E465" i="1"/>
  <c r="F465" i="1"/>
  <c r="G465" i="1"/>
  <c r="H465" i="1"/>
  <c r="M465" i="1" s="1"/>
  <c r="I465" i="1"/>
  <c r="A466" i="1"/>
  <c r="B466" i="1" a="1"/>
  <c r="B466" i="1" s="1"/>
  <c r="C466" i="1" s="1" a="1"/>
  <c r="C466" i="1" s="1"/>
  <c r="D466" i="1" a="1"/>
  <c r="D466" i="1" s="1"/>
  <c r="E466" i="1"/>
  <c r="F466" i="1"/>
  <c r="G466" i="1"/>
  <c r="H466" i="1"/>
  <c r="I466" i="1"/>
  <c r="A467" i="1"/>
  <c r="B467" i="1" a="1"/>
  <c r="B467" i="1" s="1"/>
  <c r="C467" i="1" s="1" a="1"/>
  <c r="C467" i="1" s="1"/>
  <c r="D467" i="1" a="1"/>
  <c r="D467" i="1" s="1"/>
  <c r="E467" i="1"/>
  <c r="F467" i="1"/>
  <c r="G467" i="1"/>
  <c r="H467" i="1"/>
  <c r="I467" i="1"/>
  <c r="A468" i="1"/>
  <c r="B468" i="1" a="1"/>
  <c r="B468" i="1" s="1"/>
  <c r="C468" i="1" s="1" a="1"/>
  <c r="C468" i="1" s="1"/>
  <c r="D468" i="1" a="1"/>
  <c r="D468" i="1" s="1"/>
  <c r="E468" i="1"/>
  <c r="F468" i="1"/>
  <c r="G468" i="1"/>
  <c r="H468" i="1"/>
  <c r="I468" i="1"/>
  <c r="A469" i="1"/>
  <c r="B469" i="1" a="1"/>
  <c r="B469" i="1" s="1"/>
  <c r="C469" i="1" s="1" a="1"/>
  <c r="C469" i="1" s="1"/>
  <c r="D469" i="1" a="1"/>
  <c r="D469" i="1" s="1"/>
  <c r="E469" i="1"/>
  <c r="F469" i="1"/>
  <c r="G469" i="1"/>
  <c r="H469" i="1"/>
  <c r="I469" i="1"/>
  <c r="A470" i="1"/>
  <c r="B470" i="1" a="1"/>
  <c r="B470" i="1" s="1"/>
  <c r="C470" i="1" s="1" a="1"/>
  <c r="C470" i="1" s="1"/>
  <c r="D470" i="1" a="1"/>
  <c r="D470" i="1" s="1"/>
  <c r="E470" i="1"/>
  <c r="F470" i="1"/>
  <c r="G470" i="1"/>
  <c r="H470" i="1"/>
  <c r="M470" i="1" s="1"/>
  <c r="I470" i="1"/>
  <c r="A471" i="1"/>
  <c r="B471" i="1" a="1"/>
  <c r="B471" i="1" s="1"/>
  <c r="C471" i="1" s="1" a="1"/>
  <c r="C471" i="1" s="1"/>
  <c r="D471" i="1" a="1"/>
  <c r="D471" i="1" s="1"/>
  <c r="E471" i="1"/>
  <c r="F471" i="1"/>
  <c r="G471" i="1"/>
  <c r="H471" i="1"/>
  <c r="I471" i="1"/>
  <c r="A472" i="1"/>
  <c r="B472" i="1" a="1"/>
  <c r="B472" i="1" s="1"/>
  <c r="C472" i="1" s="1" a="1"/>
  <c r="C472" i="1" s="1"/>
  <c r="D472" i="1" a="1"/>
  <c r="D472" i="1" s="1"/>
  <c r="E472" i="1"/>
  <c r="F472" i="1"/>
  <c r="G472" i="1"/>
  <c r="H472" i="1"/>
  <c r="M472" i="1" s="1"/>
  <c r="I472" i="1"/>
  <c r="A473" i="1"/>
  <c r="B473" i="1" a="1"/>
  <c r="B473" i="1" s="1"/>
  <c r="C473" i="1" s="1" a="1"/>
  <c r="C473" i="1" s="1"/>
  <c r="D473" i="1" a="1"/>
  <c r="D473" i="1" s="1"/>
  <c r="E473" i="1"/>
  <c r="F473" i="1"/>
  <c r="G473" i="1"/>
  <c r="H473" i="1"/>
  <c r="M473" i="1" s="1"/>
  <c r="I473" i="1"/>
  <c r="A474" i="1"/>
  <c r="B474" i="1" a="1"/>
  <c r="B474" i="1" s="1"/>
  <c r="C474" i="1" s="1" a="1"/>
  <c r="C474" i="1" s="1"/>
  <c r="D474" i="1" a="1"/>
  <c r="D474" i="1" s="1"/>
  <c r="E474" i="1"/>
  <c r="F474" i="1"/>
  <c r="G474" i="1"/>
  <c r="H474" i="1"/>
  <c r="L474" i="1" s="1"/>
  <c r="I474" i="1"/>
  <c r="A475" i="1"/>
  <c r="B475" i="1" a="1"/>
  <c r="B475" i="1" s="1"/>
  <c r="C475" i="1" s="1" a="1"/>
  <c r="C475" i="1" s="1"/>
  <c r="D475" i="1" a="1"/>
  <c r="D475" i="1" s="1"/>
  <c r="E475" i="1"/>
  <c r="F475" i="1"/>
  <c r="G475" i="1"/>
  <c r="H475" i="1"/>
  <c r="I475" i="1"/>
  <c r="A476" i="1"/>
  <c r="B476" i="1" a="1"/>
  <c r="B476" i="1" s="1"/>
  <c r="C476" i="1" s="1" a="1"/>
  <c r="C476" i="1" s="1"/>
  <c r="D476" i="1" a="1"/>
  <c r="D476" i="1" s="1"/>
  <c r="E476" i="1"/>
  <c r="F476" i="1"/>
  <c r="G476" i="1"/>
  <c r="H476" i="1"/>
  <c r="I476" i="1"/>
  <c r="A477" i="1"/>
  <c r="B477" i="1" a="1"/>
  <c r="B477" i="1" s="1"/>
  <c r="C477" i="1" s="1" a="1"/>
  <c r="C477" i="1" s="1"/>
  <c r="D477" i="1" a="1"/>
  <c r="D477" i="1" s="1"/>
  <c r="E477" i="1"/>
  <c r="F477" i="1"/>
  <c r="G477" i="1"/>
  <c r="H477" i="1"/>
  <c r="L477" i="1" s="1"/>
  <c r="I477" i="1"/>
  <c r="A478" i="1"/>
  <c r="B478" i="1" a="1"/>
  <c r="B478" i="1" s="1"/>
  <c r="C478" i="1" s="1" a="1"/>
  <c r="C478" i="1" s="1"/>
  <c r="D478" i="1" a="1"/>
  <c r="D478" i="1" s="1"/>
  <c r="E478" i="1"/>
  <c r="F478" i="1"/>
  <c r="G478" i="1"/>
  <c r="H478" i="1"/>
  <c r="I478" i="1"/>
  <c r="A479" i="1"/>
  <c r="B479" i="1" a="1"/>
  <c r="B479" i="1" s="1"/>
  <c r="C479" i="1" s="1" a="1"/>
  <c r="C479" i="1" s="1"/>
  <c r="D479" i="1" a="1"/>
  <c r="D479" i="1" s="1"/>
  <c r="E479" i="1"/>
  <c r="F479" i="1"/>
  <c r="G479" i="1"/>
  <c r="H479" i="1"/>
  <c r="M479" i="1" s="1"/>
  <c r="I479" i="1"/>
  <c r="A480" i="1"/>
  <c r="B480" i="1" a="1"/>
  <c r="B480" i="1" s="1"/>
  <c r="C480" i="1" s="1" a="1"/>
  <c r="C480" i="1" s="1"/>
  <c r="D480" i="1" a="1"/>
  <c r="D480" i="1" s="1"/>
  <c r="E480" i="1"/>
  <c r="F480" i="1"/>
  <c r="G480" i="1"/>
  <c r="H480" i="1"/>
  <c r="I480" i="1"/>
  <c r="A481" i="1"/>
  <c r="B481" i="1" a="1"/>
  <c r="B481" i="1" s="1"/>
  <c r="C481" i="1" s="1" a="1"/>
  <c r="C481" i="1" s="1"/>
  <c r="D481" i="1" a="1"/>
  <c r="D481" i="1" s="1"/>
  <c r="E481" i="1"/>
  <c r="F481" i="1"/>
  <c r="G481" i="1"/>
  <c r="H481" i="1"/>
  <c r="M481" i="1" s="1"/>
  <c r="I481" i="1"/>
  <c r="A482" i="1"/>
  <c r="B482" i="1" a="1"/>
  <c r="B482" i="1" s="1"/>
  <c r="C482" i="1" s="1" a="1"/>
  <c r="C482" i="1" s="1"/>
  <c r="D482" i="1" a="1"/>
  <c r="D482" i="1" s="1"/>
  <c r="E482" i="1"/>
  <c r="F482" i="1"/>
  <c r="G482" i="1"/>
  <c r="H482" i="1"/>
  <c r="I482" i="1"/>
  <c r="A483" i="1"/>
  <c r="B483" i="1" a="1"/>
  <c r="B483" i="1" s="1"/>
  <c r="C483" i="1" s="1" a="1"/>
  <c r="C483" i="1" s="1"/>
  <c r="D483" i="1" a="1"/>
  <c r="D483" i="1" s="1"/>
  <c r="E483" i="1"/>
  <c r="F483" i="1"/>
  <c r="G483" i="1"/>
  <c r="H483" i="1"/>
  <c r="I483" i="1"/>
  <c r="A484" i="1"/>
  <c r="B484" i="1" a="1"/>
  <c r="B484" i="1" s="1"/>
  <c r="C484" i="1" s="1" a="1"/>
  <c r="C484" i="1" s="1"/>
  <c r="D484" i="1" a="1"/>
  <c r="D484" i="1" s="1"/>
  <c r="E484" i="1"/>
  <c r="F484" i="1"/>
  <c r="G484" i="1"/>
  <c r="H484" i="1"/>
  <c r="L484" i="1" s="1"/>
  <c r="I484" i="1"/>
  <c r="A485" i="1"/>
  <c r="B485" i="1" a="1"/>
  <c r="B485" i="1" s="1"/>
  <c r="C485" i="1" s="1" a="1"/>
  <c r="C485" i="1" s="1"/>
  <c r="D485" i="1" a="1"/>
  <c r="D485" i="1" s="1"/>
  <c r="E485" i="1"/>
  <c r="F485" i="1"/>
  <c r="G485" i="1"/>
  <c r="H485" i="1"/>
  <c r="M485" i="1" s="1"/>
  <c r="I485" i="1"/>
  <c r="A486" i="1"/>
  <c r="B486" i="1" a="1"/>
  <c r="B486" i="1" s="1"/>
  <c r="C486" i="1" s="1" a="1"/>
  <c r="C486" i="1" s="1"/>
  <c r="D486" i="1" a="1"/>
  <c r="D486" i="1" s="1"/>
  <c r="E486" i="1"/>
  <c r="F486" i="1"/>
  <c r="G486" i="1"/>
  <c r="H486" i="1"/>
  <c r="L486" i="1" s="1"/>
  <c r="I486" i="1"/>
  <c r="A487" i="1"/>
  <c r="B487" i="1" a="1"/>
  <c r="B487" i="1" s="1"/>
  <c r="C487" i="1" s="1" a="1"/>
  <c r="C487" i="1" s="1"/>
  <c r="D487" i="1" a="1"/>
  <c r="D487" i="1" s="1"/>
  <c r="E487" i="1"/>
  <c r="F487" i="1"/>
  <c r="G487" i="1"/>
  <c r="H487" i="1"/>
  <c r="L487" i="1" s="1"/>
  <c r="I487" i="1"/>
  <c r="A488" i="1"/>
  <c r="B488" i="1" a="1"/>
  <c r="B488" i="1" s="1"/>
  <c r="C488" i="1" s="1" a="1"/>
  <c r="C488" i="1" s="1"/>
  <c r="D488" i="1" a="1"/>
  <c r="D488" i="1" s="1"/>
  <c r="E488" i="1"/>
  <c r="F488" i="1"/>
  <c r="G488" i="1"/>
  <c r="H488" i="1"/>
  <c r="L488" i="1" s="1"/>
  <c r="I488" i="1"/>
  <c r="A489" i="1"/>
  <c r="B489" i="1" a="1"/>
  <c r="B489" i="1" s="1"/>
  <c r="C489" i="1" s="1" a="1"/>
  <c r="C489" i="1" s="1"/>
  <c r="D489" i="1" a="1"/>
  <c r="D489" i="1" s="1"/>
  <c r="E489" i="1"/>
  <c r="F489" i="1"/>
  <c r="G489" i="1"/>
  <c r="H489" i="1"/>
  <c r="I489" i="1"/>
  <c r="A490" i="1"/>
  <c r="B490" i="1" a="1"/>
  <c r="B490" i="1" s="1"/>
  <c r="C490" i="1" s="1" a="1"/>
  <c r="C490" i="1" s="1"/>
  <c r="D490" i="1" a="1"/>
  <c r="D490" i="1" s="1"/>
  <c r="E490" i="1"/>
  <c r="F490" i="1"/>
  <c r="G490" i="1"/>
  <c r="H490" i="1"/>
  <c r="L490" i="1" s="1"/>
  <c r="I490" i="1"/>
  <c r="A491" i="1"/>
  <c r="B491" i="1" a="1"/>
  <c r="B491" i="1" s="1"/>
  <c r="C491" i="1" s="1" a="1"/>
  <c r="C491" i="1" s="1"/>
  <c r="D491" i="1" a="1"/>
  <c r="D491" i="1" s="1"/>
  <c r="E491" i="1"/>
  <c r="F491" i="1"/>
  <c r="G491" i="1"/>
  <c r="H491" i="1"/>
  <c r="I491" i="1"/>
  <c r="A492" i="1"/>
  <c r="B492" i="1" a="1"/>
  <c r="B492" i="1" s="1"/>
  <c r="C492" i="1" s="1" a="1"/>
  <c r="C492" i="1" s="1"/>
  <c r="D492" i="1" a="1"/>
  <c r="D492" i="1" s="1"/>
  <c r="E492" i="1"/>
  <c r="F492" i="1"/>
  <c r="G492" i="1"/>
  <c r="H492" i="1"/>
  <c r="L492" i="1" s="1"/>
  <c r="I492" i="1"/>
  <c r="A493" i="1"/>
  <c r="B493" i="1" a="1"/>
  <c r="B493" i="1" s="1"/>
  <c r="C493" i="1" s="1" a="1"/>
  <c r="C493" i="1" s="1"/>
  <c r="D493" i="1" a="1"/>
  <c r="D493" i="1" s="1"/>
  <c r="E493" i="1"/>
  <c r="F493" i="1"/>
  <c r="G493" i="1"/>
  <c r="H493" i="1"/>
  <c r="L493" i="1" s="1"/>
  <c r="I493" i="1"/>
  <c r="A494" i="1"/>
  <c r="B494" i="1" a="1"/>
  <c r="B494" i="1" s="1"/>
  <c r="C494" i="1" s="1" a="1"/>
  <c r="C494" i="1" s="1"/>
  <c r="D494" i="1" a="1"/>
  <c r="D494" i="1" s="1"/>
  <c r="E494" i="1"/>
  <c r="F494" i="1"/>
  <c r="G494" i="1"/>
  <c r="H494" i="1"/>
  <c r="I494" i="1"/>
  <c r="A495" i="1"/>
  <c r="B495" i="1" a="1"/>
  <c r="B495" i="1" s="1"/>
  <c r="C495" i="1" s="1" a="1"/>
  <c r="C495" i="1" s="1"/>
  <c r="D495" i="1" a="1"/>
  <c r="D495" i="1" s="1"/>
  <c r="E495" i="1"/>
  <c r="F495" i="1"/>
  <c r="G495" i="1"/>
  <c r="H495" i="1"/>
  <c r="L495" i="1" s="1"/>
  <c r="I495" i="1"/>
  <c r="A496" i="1"/>
  <c r="B496" i="1" a="1"/>
  <c r="B496" i="1" s="1"/>
  <c r="C496" i="1" s="1" a="1"/>
  <c r="C496" i="1" s="1"/>
  <c r="D496" i="1" a="1"/>
  <c r="D496" i="1" s="1"/>
  <c r="E496" i="1"/>
  <c r="F496" i="1"/>
  <c r="G496" i="1"/>
  <c r="H496" i="1"/>
  <c r="L496" i="1" s="1"/>
  <c r="I496" i="1"/>
  <c r="A497" i="1"/>
  <c r="B497" i="1" a="1"/>
  <c r="B497" i="1" s="1"/>
  <c r="C497" i="1" s="1" a="1"/>
  <c r="C497" i="1" s="1"/>
  <c r="D497" i="1" a="1"/>
  <c r="D497" i="1" s="1"/>
  <c r="E497" i="1"/>
  <c r="F497" i="1"/>
  <c r="G497" i="1"/>
  <c r="H497" i="1"/>
  <c r="I497" i="1"/>
  <c r="A498" i="1"/>
  <c r="B498" i="1" a="1"/>
  <c r="B498" i="1" s="1"/>
  <c r="C498" i="1" s="1" a="1"/>
  <c r="C498" i="1" s="1"/>
  <c r="D498" i="1" a="1"/>
  <c r="D498" i="1" s="1"/>
  <c r="E498" i="1"/>
  <c r="F498" i="1"/>
  <c r="G498" i="1"/>
  <c r="H498" i="1"/>
  <c r="I498" i="1"/>
  <c r="A499" i="1"/>
  <c r="B499" i="1" a="1"/>
  <c r="B499" i="1" s="1"/>
  <c r="C499" i="1" s="1" a="1"/>
  <c r="C499" i="1" s="1"/>
  <c r="D499" i="1" a="1"/>
  <c r="D499" i="1" s="1"/>
  <c r="E499" i="1"/>
  <c r="F499" i="1"/>
  <c r="G499" i="1"/>
  <c r="H499" i="1"/>
  <c r="I499" i="1"/>
  <c r="A500" i="1"/>
  <c r="B500" i="1" a="1"/>
  <c r="B500" i="1" s="1"/>
  <c r="C500" i="1" s="1" a="1"/>
  <c r="C500" i="1" s="1"/>
  <c r="D500" i="1" a="1"/>
  <c r="D500" i="1" s="1"/>
  <c r="E500" i="1"/>
  <c r="F500" i="1"/>
  <c r="G500" i="1"/>
  <c r="H500" i="1"/>
  <c r="L500" i="1" s="1"/>
  <c r="I500" i="1"/>
  <c r="A501" i="1"/>
  <c r="B501" i="1" a="1"/>
  <c r="B501" i="1" s="1"/>
  <c r="C501" i="1" s="1" a="1"/>
  <c r="C501" i="1" s="1"/>
  <c r="D501" i="1" a="1"/>
  <c r="D501" i="1" s="1"/>
  <c r="E501" i="1"/>
  <c r="F501" i="1"/>
  <c r="G501" i="1"/>
  <c r="H501" i="1"/>
  <c r="M501" i="1" s="1"/>
  <c r="I501" i="1"/>
  <c r="A502" i="1"/>
  <c r="B502" i="1" a="1"/>
  <c r="B502" i="1" s="1"/>
  <c r="C502" i="1" s="1" a="1"/>
  <c r="C502" i="1" s="1"/>
  <c r="D502" i="1" a="1"/>
  <c r="D502" i="1" s="1"/>
  <c r="E502" i="1"/>
  <c r="F502" i="1"/>
  <c r="G502" i="1"/>
  <c r="H502" i="1"/>
  <c r="L502" i="1" s="1"/>
  <c r="I502" i="1"/>
  <c r="A503" i="1"/>
  <c r="B503" i="1" a="1"/>
  <c r="B503" i="1" s="1"/>
  <c r="C503" i="1" s="1" a="1"/>
  <c r="C503" i="1" s="1"/>
  <c r="D503" i="1" a="1"/>
  <c r="D503" i="1" s="1"/>
  <c r="E503" i="1"/>
  <c r="F503" i="1"/>
  <c r="G503" i="1"/>
  <c r="H503" i="1"/>
  <c r="L503" i="1" s="1"/>
  <c r="I503" i="1"/>
  <c r="A504" i="1"/>
  <c r="B504" i="1" a="1"/>
  <c r="B504" i="1" s="1"/>
  <c r="C504" i="1" s="1" a="1"/>
  <c r="C504" i="1" s="1"/>
  <c r="D504" i="1" a="1"/>
  <c r="D504" i="1" s="1"/>
  <c r="E504" i="1"/>
  <c r="F504" i="1"/>
  <c r="G504" i="1"/>
  <c r="H504" i="1"/>
  <c r="L504" i="1" s="1"/>
  <c r="I504" i="1"/>
  <c r="A505" i="1"/>
  <c r="B505" i="1" a="1"/>
  <c r="B505" i="1" s="1"/>
  <c r="C505" i="1" s="1" a="1"/>
  <c r="C505" i="1" s="1"/>
  <c r="D505" i="1" a="1"/>
  <c r="D505" i="1" s="1"/>
  <c r="E505" i="1"/>
  <c r="F505" i="1"/>
  <c r="G505" i="1"/>
  <c r="H505" i="1"/>
  <c r="I505" i="1"/>
  <c r="A506" i="1"/>
  <c r="B506" i="1" a="1"/>
  <c r="B506" i="1" s="1"/>
  <c r="C506" i="1" s="1" a="1"/>
  <c r="C506" i="1" s="1"/>
  <c r="D506" i="1" a="1"/>
  <c r="D506" i="1" s="1"/>
  <c r="E506" i="1"/>
  <c r="F506" i="1"/>
  <c r="G506" i="1"/>
  <c r="H506" i="1"/>
  <c r="L506" i="1" s="1"/>
  <c r="I506" i="1"/>
  <c r="A507" i="1"/>
  <c r="B507" i="1" a="1"/>
  <c r="B507" i="1" s="1"/>
  <c r="C507" i="1" s="1" a="1"/>
  <c r="C507" i="1" s="1"/>
  <c r="D507" i="1" a="1"/>
  <c r="D507" i="1" s="1"/>
  <c r="E507" i="1"/>
  <c r="F507" i="1"/>
  <c r="G507" i="1"/>
  <c r="H507" i="1"/>
  <c r="L507" i="1" s="1"/>
  <c r="I507" i="1"/>
  <c r="A508" i="1"/>
  <c r="B508" i="1" a="1"/>
  <c r="B508" i="1" s="1"/>
  <c r="C508" i="1" s="1" a="1"/>
  <c r="C508" i="1" s="1"/>
  <c r="D508" i="1" a="1"/>
  <c r="D508" i="1" s="1"/>
  <c r="E508" i="1"/>
  <c r="F508" i="1"/>
  <c r="G508" i="1"/>
  <c r="H508" i="1"/>
  <c r="M508" i="1" s="1"/>
  <c r="I508" i="1"/>
  <c r="A509" i="1"/>
  <c r="B509" i="1" a="1"/>
  <c r="B509" i="1" s="1"/>
  <c r="C509" i="1" s="1" a="1"/>
  <c r="C509" i="1" s="1"/>
  <c r="D509" i="1" a="1"/>
  <c r="D509" i="1" s="1"/>
  <c r="E509" i="1"/>
  <c r="F509" i="1"/>
  <c r="G509" i="1"/>
  <c r="H509" i="1"/>
  <c r="I509" i="1"/>
  <c r="A510" i="1"/>
  <c r="B510" i="1" a="1"/>
  <c r="B510" i="1" s="1"/>
  <c r="C510" i="1" s="1" a="1"/>
  <c r="C510" i="1" s="1"/>
  <c r="D510" i="1" a="1"/>
  <c r="D510" i="1" s="1"/>
  <c r="E510" i="1"/>
  <c r="F510" i="1"/>
  <c r="G510" i="1"/>
  <c r="H510" i="1"/>
  <c r="L510" i="1" s="1"/>
  <c r="I510" i="1"/>
  <c r="A511" i="1"/>
  <c r="B511" i="1" a="1"/>
  <c r="B511" i="1" s="1"/>
  <c r="C511" i="1" s="1" a="1"/>
  <c r="C511" i="1" s="1"/>
  <c r="D511" i="1" a="1"/>
  <c r="D511" i="1" s="1"/>
  <c r="E511" i="1"/>
  <c r="F511" i="1"/>
  <c r="G511" i="1"/>
  <c r="H511" i="1"/>
  <c r="L511" i="1" s="1"/>
  <c r="I511" i="1"/>
  <c r="A512" i="1"/>
  <c r="B512" i="1" a="1"/>
  <c r="B512" i="1" s="1"/>
  <c r="C512" i="1" s="1" a="1"/>
  <c r="C512" i="1" s="1"/>
  <c r="D512" i="1" a="1"/>
  <c r="D512" i="1" s="1"/>
  <c r="E512" i="1"/>
  <c r="F512" i="1"/>
  <c r="G512" i="1"/>
  <c r="H512" i="1"/>
  <c r="I512" i="1"/>
  <c r="A513" i="1"/>
  <c r="B513" i="1" a="1"/>
  <c r="B513" i="1" s="1"/>
  <c r="C513" i="1" s="1" a="1"/>
  <c r="C513" i="1" s="1"/>
  <c r="D513" i="1" a="1"/>
  <c r="D513" i="1" s="1"/>
  <c r="E513" i="1"/>
  <c r="F513" i="1"/>
  <c r="G513" i="1"/>
  <c r="H513" i="1"/>
  <c r="I513" i="1"/>
  <c r="A514" i="1"/>
  <c r="B514" i="1" a="1"/>
  <c r="B514" i="1" s="1"/>
  <c r="C514" i="1" s="1" a="1"/>
  <c r="C514" i="1" s="1"/>
  <c r="D514" i="1" a="1"/>
  <c r="D514" i="1" s="1"/>
  <c r="E514" i="1"/>
  <c r="F514" i="1"/>
  <c r="G514" i="1"/>
  <c r="H514" i="1"/>
  <c r="I514" i="1"/>
  <c r="A515" i="1"/>
  <c r="B515" i="1" a="1"/>
  <c r="B515" i="1" s="1"/>
  <c r="C515" i="1" s="1" a="1"/>
  <c r="C515" i="1" s="1"/>
  <c r="D515" i="1" a="1"/>
  <c r="D515" i="1" s="1"/>
  <c r="E515" i="1"/>
  <c r="F515" i="1"/>
  <c r="G515" i="1"/>
  <c r="H515" i="1"/>
  <c r="M515" i="1" s="1"/>
  <c r="I515" i="1"/>
  <c r="A516" i="1"/>
  <c r="B516" i="1" a="1"/>
  <c r="B516" i="1" s="1"/>
  <c r="C516" i="1" s="1" a="1"/>
  <c r="C516" i="1" s="1"/>
  <c r="D516" i="1" a="1"/>
  <c r="D516" i="1" s="1"/>
  <c r="E516" i="1"/>
  <c r="F516" i="1"/>
  <c r="G516" i="1"/>
  <c r="H516" i="1"/>
  <c r="I516" i="1"/>
  <c r="A517" i="1"/>
  <c r="B517" i="1" a="1"/>
  <c r="B517" i="1" s="1"/>
  <c r="C517" i="1" s="1" a="1"/>
  <c r="C517" i="1" s="1"/>
  <c r="D517" i="1" a="1"/>
  <c r="D517" i="1" s="1"/>
  <c r="E517" i="1"/>
  <c r="F517" i="1"/>
  <c r="G517" i="1"/>
  <c r="H517" i="1"/>
  <c r="I517" i="1"/>
  <c r="A518" i="1"/>
  <c r="B518" i="1" a="1"/>
  <c r="B518" i="1" s="1"/>
  <c r="C518" i="1" s="1" a="1"/>
  <c r="C518" i="1" s="1"/>
  <c r="D518" i="1" a="1"/>
  <c r="D518" i="1" s="1"/>
  <c r="E518" i="1"/>
  <c r="F518" i="1"/>
  <c r="G518" i="1"/>
  <c r="H518" i="1"/>
  <c r="L518" i="1" s="1"/>
  <c r="I518" i="1"/>
  <c r="A519" i="1"/>
  <c r="B519" i="1" a="1"/>
  <c r="B519" i="1" s="1"/>
  <c r="C519" i="1" s="1" a="1"/>
  <c r="C519" i="1" s="1"/>
  <c r="D519" i="1" a="1"/>
  <c r="D519" i="1" s="1"/>
  <c r="E519" i="1"/>
  <c r="F519" i="1"/>
  <c r="G519" i="1"/>
  <c r="H519" i="1"/>
  <c r="L519" i="1" s="1"/>
  <c r="I519" i="1"/>
  <c r="A520" i="1"/>
  <c r="B520" i="1" a="1"/>
  <c r="B520" i="1" s="1"/>
  <c r="C520" i="1" s="1" a="1"/>
  <c r="C520" i="1" s="1"/>
  <c r="D520" i="1" a="1"/>
  <c r="D520" i="1" s="1"/>
  <c r="E520" i="1"/>
  <c r="F520" i="1"/>
  <c r="G520" i="1"/>
  <c r="H520" i="1"/>
  <c r="I520" i="1"/>
  <c r="A521" i="1"/>
  <c r="B521" i="1" a="1"/>
  <c r="B521" i="1" s="1"/>
  <c r="C521" i="1" s="1" a="1"/>
  <c r="C521" i="1" s="1"/>
  <c r="D521" i="1" a="1"/>
  <c r="D521" i="1" s="1"/>
  <c r="E521" i="1"/>
  <c r="F521" i="1"/>
  <c r="G521" i="1"/>
  <c r="H521" i="1"/>
  <c r="L521" i="1" s="1"/>
  <c r="I521" i="1"/>
  <c r="A522" i="1"/>
  <c r="B522" i="1" a="1"/>
  <c r="B522" i="1" s="1"/>
  <c r="C522" i="1" s="1" a="1"/>
  <c r="C522" i="1" s="1"/>
  <c r="D522" i="1" a="1"/>
  <c r="D522" i="1" s="1"/>
  <c r="E522" i="1"/>
  <c r="F522" i="1"/>
  <c r="G522" i="1"/>
  <c r="H522" i="1"/>
  <c r="L522" i="1" s="1"/>
  <c r="I522" i="1"/>
  <c r="A523" i="1"/>
  <c r="B523" i="1" a="1"/>
  <c r="B523" i="1" s="1"/>
  <c r="C523" i="1" s="1" a="1"/>
  <c r="C523" i="1" s="1"/>
  <c r="D523" i="1" a="1"/>
  <c r="D523" i="1" s="1"/>
  <c r="E523" i="1"/>
  <c r="F523" i="1"/>
  <c r="G523" i="1"/>
  <c r="H523" i="1"/>
  <c r="I523" i="1"/>
  <c r="A524" i="1"/>
  <c r="B524" i="1" a="1"/>
  <c r="B524" i="1" s="1"/>
  <c r="C524" i="1" s="1" a="1"/>
  <c r="C524" i="1" s="1"/>
  <c r="D524" i="1" a="1"/>
  <c r="D524" i="1" s="1"/>
  <c r="E524" i="1"/>
  <c r="F524" i="1"/>
  <c r="G524" i="1"/>
  <c r="H524" i="1"/>
  <c r="M524" i="1" s="1"/>
  <c r="I524" i="1"/>
  <c r="A525" i="1"/>
  <c r="B525" i="1" a="1"/>
  <c r="B525" i="1" s="1"/>
  <c r="C525" i="1" s="1" a="1"/>
  <c r="C525" i="1" s="1"/>
  <c r="D525" i="1" a="1"/>
  <c r="D525" i="1" s="1"/>
  <c r="E525" i="1"/>
  <c r="F525" i="1"/>
  <c r="G525" i="1"/>
  <c r="H525" i="1"/>
  <c r="I525" i="1"/>
  <c r="A526" i="1"/>
  <c r="B526" i="1" a="1"/>
  <c r="B526" i="1" s="1"/>
  <c r="C526" i="1" s="1" a="1"/>
  <c r="C526" i="1" s="1"/>
  <c r="D526" i="1" a="1"/>
  <c r="D526" i="1" s="1"/>
  <c r="E526" i="1"/>
  <c r="F526" i="1"/>
  <c r="G526" i="1"/>
  <c r="H526" i="1"/>
  <c r="I526" i="1"/>
  <c r="A527" i="1"/>
  <c r="B527" i="1" a="1"/>
  <c r="B527" i="1" s="1"/>
  <c r="C527" i="1" s="1" a="1"/>
  <c r="C527" i="1" s="1"/>
  <c r="D527" i="1" a="1"/>
  <c r="D527" i="1" s="1"/>
  <c r="E527" i="1"/>
  <c r="F527" i="1"/>
  <c r="G527" i="1"/>
  <c r="H527" i="1"/>
  <c r="L527" i="1" s="1"/>
  <c r="I527" i="1"/>
  <c r="A528" i="1"/>
  <c r="B528" i="1" a="1"/>
  <c r="B528" i="1" s="1"/>
  <c r="C528" i="1" s="1" a="1"/>
  <c r="C528" i="1" s="1"/>
  <c r="D528" i="1" a="1"/>
  <c r="D528" i="1" s="1"/>
  <c r="E528" i="1"/>
  <c r="F528" i="1"/>
  <c r="G528" i="1"/>
  <c r="H528" i="1"/>
  <c r="M528" i="1" s="1"/>
  <c r="I528" i="1"/>
  <c r="A529" i="1"/>
  <c r="B529" i="1" a="1"/>
  <c r="B529" i="1" s="1"/>
  <c r="C529" i="1" s="1" a="1"/>
  <c r="C529" i="1" s="1"/>
  <c r="D529" i="1" a="1"/>
  <c r="D529" i="1" s="1"/>
  <c r="E529" i="1"/>
  <c r="F529" i="1"/>
  <c r="G529" i="1"/>
  <c r="H529" i="1"/>
  <c r="I529" i="1"/>
  <c r="A530" i="1"/>
  <c r="B530" i="1" a="1"/>
  <c r="B530" i="1" s="1"/>
  <c r="C530" i="1" s="1" a="1"/>
  <c r="C530" i="1" s="1"/>
  <c r="D530" i="1" a="1"/>
  <c r="D530" i="1" s="1"/>
  <c r="E530" i="1"/>
  <c r="F530" i="1"/>
  <c r="G530" i="1"/>
  <c r="H530" i="1"/>
  <c r="L530" i="1" s="1"/>
  <c r="I530" i="1"/>
  <c r="A531" i="1"/>
  <c r="B531" i="1" a="1"/>
  <c r="B531" i="1" s="1"/>
  <c r="C531" i="1" s="1" a="1"/>
  <c r="C531" i="1" s="1"/>
  <c r="D531" i="1" a="1"/>
  <c r="D531" i="1" s="1"/>
  <c r="E531" i="1"/>
  <c r="F531" i="1"/>
  <c r="G531" i="1"/>
  <c r="H531" i="1"/>
  <c r="I531" i="1"/>
  <c r="A532" i="1"/>
  <c r="B532" i="1" a="1"/>
  <c r="B532" i="1" s="1"/>
  <c r="C532" i="1" s="1" a="1"/>
  <c r="C532" i="1" s="1"/>
  <c r="D532" i="1" a="1"/>
  <c r="D532" i="1" s="1"/>
  <c r="E532" i="1"/>
  <c r="F532" i="1"/>
  <c r="G532" i="1"/>
  <c r="H532" i="1"/>
  <c r="I532" i="1"/>
  <c r="A533" i="1"/>
  <c r="B533" i="1" a="1"/>
  <c r="B533" i="1" s="1"/>
  <c r="C533" i="1" s="1" a="1"/>
  <c r="C533" i="1" s="1"/>
  <c r="D533" i="1" a="1"/>
  <c r="D533" i="1" s="1"/>
  <c r="E533" i="1"/>
  <c r="F533" i="1"/>
  <c r="G533" i="1"/>
  <c r="H533" i="1"/>
  <c r="L533" i="1" s="1"/>
  <c r="I533" i="1"/>
  <c r="A534" i="1"/>
  <c r="B534" i="1" a="1"/>
  <c r="B534" i="1" s="1"/>
  <c r="C534" i="1" s="1" a="1"/>
  <c r="C534" i="1" s="1"/>
  <c r="D534" i="1" a="1"/>
  <c r="D534" i="1" s="1"/>
  <c r="E534" i="1"/>
  <c r="F534" i="1"/>
  <c r="G534" i="1"/>
  <c r="H534" i="1"/>
  <c r="I534" i="1"/>
  <c r="A535" i="1"/>
  <c r="B535" i="1" a="1"/>
  <c r="B535" i="1" s="1"/>
  <c r="C535" i="1" s="1" a="1"/>
  <c r="C535" i="1" s="1"/>
  <c r="D535" i="1" a="1"/>
  <c r="D535" i="1" s="1"/>
  <c r="E535" i="1"/>
  <c r="F535" i="1"/>
  <c r="G535" i="1"/>
  <c r="H535" i="1"/>
  <c r="M535" i="1" s="1"/>
  <c r="I535" i="1"/>
  <c r="A536" i="1"/>
  <c r="B536" i="1" a="1"/>
  <c r="B536" i="1" s="1"/>
  <c r="C536" i="1" s="1" a="1"/>
  <c r="C536" i="1" s="1"/>
  <c r="D536" i="1" a="1"/>
  <c r="D536" i="1" s="1"/>
  <c r="E536" i="1"/>
  <c r="F536" i="1"/>
  <c r="G536" i="1"/>
  <c r="H536" i="1"/>
  <c r="I536" i="1"/>
  <c r="A537" i="1"/>
  <c r="B537" i="1" a="1"/>
  <c r="B537" i="1" s="1"/>
  <c r="C537" i="1" s="1" a="1"/>
  <c r="C537" i="1" s="1"/>
  <c r="D537" i="1" a="1"/>
  <c r="D537" i="1" s="1"/>
  <c r="E537" i="1"/>
  <c r="F537" i="1"/>
  <c r="G537" i="1"/>
  <c r="H537" i="1"/>
  <c r="L537" i="1" s="1"/>
  <c r="I537" i="1"/>
  <c r="A538" i="1"/>
  <c r="B538" i="1" a="1"/>
  <c r="B538" i="1" s="1"/>
  <c r="C538" i="1" s="1" a="1"/>
  <c r="C538" i="1" s="1"/>
  <c r="D538" i="1" a="1"/>
  <c r="D538" i="1" s="1"/>
  <c r="E538" i="1"/>
  <c r="F538" i="1"/>
  <c r="G538" i="1"/>
  <c r="H538" i="1"/>
  <c r="L538" i="1" s="1"/>
  <c r="I538" i="1"/>
  <c r="A539" i="1"/>
  <c r="B539" i="1" a="1"/>
  <c r="B539" i="1" s="1"/>
  <c r="C539" i="1" s="1" a="1"/>
  <c r="C539" i="1" s="1"/>
  <c r="D539" i="1" a="1"/>
  <c r="D539" i="1" s="1"/>
  <c r="E539" i="1"/>
  <c r="F539" i="1"/>
  <c r="G539" i="1"/>
  <c r="H539" i="1"/>
  <c r="L539" i="1" s="1"/>
  <c r="I539" i="1"/>
  <c r="A540" i="1"/>
  <c r="B540" i="1" a="1"/>
  <c r="B540" i="1" s="1"/>
  <c r="C540" i="1" s="1" a="1"/>
  <c r="C540" i="1" s="1"/>
  <c r="D540" i="1" a="1"/>
  <c r="D540" i="1" s="1"/>
  <c r="E540" i="1"/>
  <c r="F540" i="1"/>
  <c r="G540" i="1"/>
  <c r="H540" i="1"/>
  <c r="M540" i="1" s="1"/>
  <c r="I540" i="1"/>
  <c r="A541" i="1"/>
  <c r="B541" i="1" a="1"/>
  <c r="B541" i="1" s="1"/>
  <c r="C541" i="1" s="1" a="1"/>
  <c r="C541" i="1" s="1"/>
  <c r="D541" i="1" a="1"/>
  <c r="D541" i="1" s="1"/>
  <c r="E541" i="1"/>
  <c r="F541" i="1"/>
  <c r="G541" i="1"/>
  <c r="H541" i="1"/>
  <c r="L541" i="1" s="1"/>
  <c r="I541" i="1"/>
  <c r="A542" i="1"/>
  <c r="B542" i="1" a="1"/>
  <c r="B542" i="1" s="1"/>
  <c r="C542" i="1" s="1" a="1"/>
  <c r="C542" i="1" s="1"/>
  <c r="D542" i="1" a="1"/>
  <c r="D542" i="1" s="1"/>
  <c r="E542" i="1"/>
  <c r="F542" i="1"/>
  <c r="G542" i="1"/>
  <c r="H542" i="1"/>
  <c r="L542" i="1" s="1"/>
  <c r="I542" i="1"/>
  <c r="A543" i="1"/>
  <c r="B543" i="1" a="1"/>
  <c r="B543" i="1" s="1"/>
  <c r="C543" i="1" s="1" a="1"/>
  <c r="C543" i="1" s="1"/>
  <c r="D543" i="1" a="1"/>
  <c r="D543" i="1" s="1"/>
  <c r="E543" i="1"/>
  <c r="F543" i="1"/>
  <c r="G543" i="1"/>
  <c r="H543" i="1"/>
  <c r="L543" i="1" s="1"/>
  <c r="I543" i="1"/>
  <c r="A544" i="1"/>
  <c r="B544" i="1" a="1"/>
  <c r="B544" i="1" s="1"/>
  <c r="C544" i="1" s="1" a="1"/>
  <c r="C544" i="1" s="1"/>
  <c r="D544" i="1" a="1"/>
  <c r="D544" i="1" s="1"/>
  <c r="E544" i="1"/>
  <c r="F544" i="1"/>
  <c r="G544" i="1"/>
  <c r="H544" i="1"/>
  <c r="L544" i="1" s="1"/>
  <c r="I544" i="1"/>
  <c r="A545" i="1"/>
  <c r="B545" i="1" a="1"/>
  <c r="B545" i="1" s="1"/>
  <c r="C545" i="1" s="1" a="1"/>
  <c r="C545" i="1" s="1"/>
  <c r="D545" i="1" a="1"/>
  <c r="D545" i="1" s="1"/>
  <c r="E545" i="1"/>
  <c r="F545" i="1"/>
  <c r="G545" i="1"/>
  <c r="H545" i="1"/>
  <c r="L545" i="1" s="1"/>
  <c r="I545" i="1"/>
  <c r="A546" i="1"/>
  <c r="B546" i="1" a="1"/>
  <c r="B546" i="1" s="1"/>
  <c r="C546" i="1" s="1" a="1"/>
  <c r="C546" i="1" s="1"/>
  <c r="D546" i="1" a="1"/>
  <c r="D546" i="1" s="1"/>
  <c r="E546" i="1"/>
  <c r="F546" i="1"/>
  <c r="G546" i="1"/>
  <c r="H546" i="1"/>
  <c r="L546" i="1" s="1"/>
  <c r="I546" i="1"/>
  <c r="A547" i="1"/>
  <c r="B547" i="1" a="1"/>
  <c r="B547" i="1" s="1"/>
  <c r="C547" i="1" s="1" a="1"/>
  <c r="C547" i="1" s="1"/>
  <c r="D547" i="1" a="1"/>
  <c r="D547" i="1" s="1"/>
  <c r="E547" i="1"/>
  <c r="F547" i="1"/>
  <c r="G547" i="1"/>
  <c r="H547" i="1"/>
  <c r="L547" i="1" s="1"/>
  <c r="I547" i="1"/>
  <c r="A548" i="1"/>
  <c r="B548" i="1" a="1"/>
  <c r="B548" i="1" s="1"/>
  <c r="C548" i="1" s="1" a="1"/>
  <c r="C548" i="1" s="1"/>
  <c r="D548" i="1" a="1"/>
  <c r="D548" i="1" s="1"/>
  <c r="E548" i="1"/>
  <c r="F548" i="1"/>
  <c r="G548" i="1"/>
  <c r="H548" i="1"/>
  <c r="M548" i="1" s="1"/>
  <c r="I548" i="1"/>
  <c r="A549" i="1"/>
  <c r="B549" i="1" a="1"/>
  <c r="B549" i="1" s="1"/>
  <c r="C549" i="1" s="1" a="1"/>
  <c r="C549" i="1" s="1"/>
  <c r="D549" i="1" a="1"/>
  <c r="D549" i="1" s="1"/>
  <c r="E549" i="1"/>
  <c r="F549" i="1"/>
  <c r="G549" i="1"/>
  <c r="H549" i="1"/>
  <c r="L549" i="1" s="1"/>
  <c r="I549" i="1"/>
  <c r="A550" i="1"/>
  <c r="B550" i="1" a="1"/>
  <c r="B550" i="1" s="1"/>
  <c r="C550" i="1" s="1" a="1"/>
  <c r="C550" i="1" s="1"/>
  <c r="D550" i="1" a="1"/>
  <c r="D550" i="1" s="1"/>
  <c r="E550" i="1"/>
  <c r="F550" i="1"/>
  <c r="G550" i="1"/>
  <c r="H550" i="1"/>
  <c r="L550" i="1" s="1"/>
  <c r="I550" i="1"/>
  <c r="A551" i="1"/>
  <c r="B551" i="1" a="1"/>
  <c r="B551" i="1" s="1"/>
  <c r="C551" i="1" s="1" a="1"/>
  <c r="C551" i="1" s="1"/>
  <c r="D551" i="1" a="1"/>
  <c r="D551" i="1" s="1"/>
  <c r="E551" i="1"/>
  <c r="F551" i="1"/>
  <c r="G551" i="1"/>
  <c r="H551" i="1"/>
  <c r="I551" i="1"/>
  <c r="A552" i="1"/>
  <c r="B552" i="1" a="1"/>
  <c r="B552" i="1" s="1"/>
  <c r="C552" i="1" s="1" a="1"/>
  <c r="C552" i="1" s="1"/>
  <c r="D552" i="1" a="1"/>
  <c r="D552" i="1" s="1"/>
  <c r="E552" i="1"/>
  <c r="F552" i="1"/>
  <c r="G552" i="1"/>
  <c r="H552" i="1"/>
  <c r="L552" i="1" s="1"/>
  <c r="I552" i="1"/>
  <c r="A553" i="1"/>
  <c r="B553" i="1" a="1"/>
  <c r="B553" i="1" s="1"/>
  <c r="C553" i="1" s="1" a="1"/>
  <c r="C553" i="1" s="1"/>
  <c r="D553" i="1" a="1"/>
  <c r="D553" i="1" s="1"/>
  <c r="E553" i="1"/>
  <c r="F553" i="1"/>
  <c r="G553" i="1"/>
  <c r="H553" i="1"/>
  <c r="I553" i="1"/>
  <c r="A554" i="1"/>
  <c r="B554" i="1" a="1"/>
  <c r="B554" i="1" s="1"/>
  <c r="C554" i="1" s="1" a="1"/>
  <c r="C554" i="1" s="1"/>
  <c r="D554" i="1" a="1"/>
  <c r="D554" i="1" s="1"/>
  <c r="E554" i="1"/>
  <c r="F554" i="1"/>
  <c r="G554" i="1"/>
  <c r="H554" i="1"/>
  <c r="L554" i="1" s="1"/>
  <c r="I554" i="1"/>
  <c r="A555" i="1"/>
  <c r="B555" i="1" a="1"/>
  <c r="B555" i="1" s="1"/>
  <c r="C555" i="1" s="1" a="1"/>
  <c r="C555" i="1" s="1"/>
  <c r="D555" i="1" a="1"/>
  <c r="D555" i="1" s="1"/>
  <c r="E555" i="1"/>
  <c r="F555" i="1"/>
  <c r="G555" i="1"/>
  <c r="H555" i="1"/>
  <c r="M555" i="1" s="1"/>
  <c r="I555" i="1"/>
  <c r="A556" i="1"/>
  <c r="B556" i="1" a="1"/>
  <c r="B556" i="1" s="1"/>
  <c r="C556" i="1" s="1" a="1"/>
  <c r="C556" i="1" s="1"/>
  <c r="D556" i="1" a="1"/>
  <c r="D556" i="1" s="1"/>
  <c r="E556" i="1"/>
  <c r="F556" i="1"/>
  <c r="G556" i="1"/>
  <c r="H556" i="1"/>
  <c r="M556" i="1" s="1"/>
  <c r="I556" i="1"/>
  <c r="A557" i="1"/>
  <c r="B557" i="1" a="1"/>
  <c r="B557" i="1" s="1"/>
  <c r="C557" i="1" s="1" a="1"/>
  <c r="C557" i="1" s="1"/>
  <c r="D557" i="1" a="1"/>
  <c r="D557" i="1" s="1"/>
  <c r="E557" i="1"/>
  <c r="F557" i="1"/>
  <c r="G557" i="1"/>
  <c r="H557" i="1"/>
  <c r="L557" i="1" s="1"/>
  <c r="I557" i="1"/>
  <c r="A558" i="1"/>
  <c r="B558" i="1" a="1"/>
  <c r="B558" i="1" s="1"/>
  <c r="C558" i="1" s="1" a="1"/>
  <c r="C558" i="1" s="1"/>
  <c r="D558" i="1" a="1"/>
  <c r="D558" i="1" s="1"/>
  <c r="E558" i="1"/>
  <c r="F558" i="1"/>
  <c r="G558" i="1"/>
  <c r="H558" i="1"/>
  <c r="L558" i="1" s="1"/>
  <c r="I558" i="1"/>
  <c r="A559" i="1"/>
  <c r="B559" i="1" a="1"/>
  <c r="B559" i="1" s="1"/>
  <c r="C559" i="1" s="1" a="1"/>
  <c r="C559" i="1" s="1"/>
  <c r="D559" i="1" a="1"/>
  <c r="D559" i="1" s="1"/>
  <c r="E559" i="1"/>
  <c r="F559" i="1"/>
  <c r="G559" i="1"/>
  <c r="H559" i="1"/>
  <c r="L559" i="1" s="1"/>
  <c r="I559" i="1"/>
  <c r="A560" i="1"/>
  <c r="B560" i="1" a="1"/>
  <c r="B560" i="1" s="1"/>
  <c r="C560" i="1" s="1" a="1"/>
  <c r="C560" i="1" s="1"/>
  <c r="D560" i="1" a="1"/>
  <c r="D560" i="1" s="1"/>
  <c r="E560" i="1"/>
  <c r="F560" i="1"/>
  <c r="G560" i="1"/>
  <c r="H560" i="1"/>
  <c r="L560" i="1" s="1"/>
  <c r="I560" i="1"/>
  <c r="A561" i="1"/>
  <c r="B561" i="1" a="1"/>
  <c r="B561" i="1" s="1"/>
  <c r="C561" i="1" s="1" a="1"/>
  <c r="C561" i="1" s="1"/>
  <c r="D561" i="1" a="1"/>
  <c r="D561" i="1" s="1"/>
  <c r="E561" i="1"/>
  <c r="F561" i="1"/>
  <c r="G561" i="1"/>
  <c r="H561" i="1"/>
  <c r="L561" i="1" s="1"/>
  <c r="I561" i="1"/>
  <c r="A562" i="1"/>
  <c r="B562" i="1" a="1"/>
  <c r="B562" i="1" s="1"/>
  <c r="C562" i="1" s="1" a="1"/>
  <c r="C562" i="1" s="1"/>
  <c r="D562" i="1" a="1"/>
  <c r="D562" i="1" s="1"/>
  <c r="E562" i="1"/>
  <c r="F562" i="1"/>
  <c r="G562" i="1"/>
  <c r="H562" i="1"/>
  <c r="I562" i="1"/>
  <c r="A563" i="1"/>
  <c r="B563" i="1" a="1"/>
  <c r="B563" i="1" s="1"/>
  <c r="C563" i="1" s="1" a="1"/>
  <c r="C563" i="1" s="1"/>
  <c r="D563" i="1" a="1"/>
  <c r="D563" i="1" s="1"/>
  <c r="E563" i="1"/>
  <c r="F563" i="1"/>
  <c r="G563" i="1"/>
  <c r="H563" i="1"/>
  <c r="L563" i="1" s="1"/>
  <c r="I563" i="1"/>
  <c r="A564" i="1"/>
  <c r="B564" i="1" a="1"/>
  <c r="B564" i="1" s="1"/>
  <c r="C564" i="1" s="1" a="1"/>
  <c r="C564" i="1" s="1"/>
  <c r="D564" i="1" a="1"/>
  <c r="D564" i="1" s="1"/>
  <c r="E564" i="1"/>
  <c r="F564" i="1"/>
  <c r="G564" i="1"/>
  <c r="H564" i="1"/>
  <c r="L564" i="1" s="1"/>
  <c r="I564" i="1"/>
  <c r="A565" i="1"/>
  <c r="B565" i="1" a="1"/>
  <c r="B565" i="1" s="1"/>
  <c r="C565" i="1" s="1" a="1"/>
  <c r="C565" i="1" s="1"/>
  <c r="D565" i="1" a="1"/>
  <c r="D565" i="1" s="1"/>
  <c r="E565" i="1"/>
  <c r="F565" i="1"/>
  <c r="G565" i="1"/>
  <c r="H565" i="1"/>
  <c r="L565" i="1" s="1"/>
  <c r="I565" i="1"/>
  <c r="A566" i="1"/>
  <c r="B566" i="1" a="1"/>
  <c r="B566" i="1" s="1"/>
  <c r="C566" i="1" s="1" a="1"/>
  <c r="C566" i="1" s="1"/>
  <c r="D566" i="1" a="1"/>
  <c r="D566" i="1" s="1"/>
  <c r="E566" i="1"/>
  <c r="F566" i="1"/>
  <c r="G566" i="1"/>
  <c r="H566" i="1"/>
  <c r="M566" i="1" s="1"/>
  <c r="I566" i="1"/>
  <c r="A567" i="1"/>
  <c r="B567" i="1" a="1"/>
  <c r="B567" i="1" s="1"/>
  <c r="C567" i="1" s="1" a="1"/>
  <c r="C567" i="1" s="1"/>
  <c r="D567" i="1" a="1"/>
  <c r="D567" i="1" s="1"/>
  <c r="E567" i="1"/>
  <c r="F567" i="1"/>
  <c r="G567" i="1"/>
  <c r="H567" i="1"/>
  <c r="L567" i="1" s="1"/>
  <c r="I567" i="1"/>
  <c r="A568" i="1"/>
  <c r="B568" i="1" a="1"/>
  <c r="B568" i="1" s="1"/>
  <c r="C568" i="1" s="1" a="1"/>
  <c r="C568" i="1" s="1"/>
  <c r="D568" i="1" a="1"/>
  <c r="D568" i="1" s="1"/>
  <c r="E568" i="1"/>
  <c r="F568" i="1"/>
  <c r="G568" i="1"/>
  <c r="H568" i="1"/>
  <c r="L568" i="1" s="1"/>
  <c r="I568" i="1"/>
  <c r="A569" i="1"/>
  <c r="B569" i="1" a="1"/>
  <c r="B569" i="1" s="1"/>
  <c r="C569" i="1" s="1" a="1"/>
  <c r="C569" i="1" s="1"/>
  <c r="D569" i="1" a="1"/>
  <c r="D569" i="1" s="1"/>
  <c r="E569" i="1"/>
  <c r="F569" i="1"/>
  <c r="G569" i="1"/>
  <c r="H569" i="1"/>
  <c r="L569" i="1" s="1"/>
  <c r="I569" i="1"/>
  <c r="A570" i="1"/>
  <c r="B570" i="1" a="1"/>
  <c r="B570" i="1" s="1"/>
  <c r="C570" i="1" s="1" a="1"/>
  <c r="C570" i="1" s="1"/>
  <c r="D570" i="1" a="1"/>
  <c r="D570" i="1" s="1"/>
  <c r="E570" i="1"/>
  <c r="F570" i="1"/>
  <c r="G570" i="1"/>
  <c r="H570" i="1"/>
  <c r="I570" i="1"/>
  <c r="A571" i="1"/>
  <c r="B571" i="1" a="1"/>
  <c r="B571" i="1" s="1"/>
  <c r="C571" i="1" s="1" a="1"/>
  <c r="C571" i="1" s="1"/>
  <c r="D571" i="1" a="1"/>
  <c r="D571" i="1" s="1"/>
  <c r="E571" i="1"/>
  <c r="F571" i="1"/>
  <c r="G571" i="1"/>
  <c r="H571" i="1"/>
  <c r="L571" i="1" s="1"/>
  <c r="I571" i="1"/>
  <c r="A572" i="1"/>
  <c r="B572" i="1" a="1"/>
  <c r="B572" i="1" s="1"/>
  <c r="C572" i="1" s="1" a="1"/>
  <c r="C572" i="1" s="1"/>
  <c r="D572" i="1" a="1"/>
  <c r="D572" i="1" s="1"/>
  <c r="E572" i="1"/>
  <c r="F572" i="1"/>
  <c r="G572" i="1"/>
  <c r="H572" i="1"/>
  <c r="L572" i="1" s="1"/>
  <c r="I572" i="1"/>
  <c r="A573" i="1"/>
  <c r="B573" i="1" a="1"/>
  <c r="B573" i="1" s="1"/>
  <c r="C573" i="1" s="1" a="1"/>
  <c r="C573" i="1" s="1"/>
  <c r="D573" i="1" a="1"/>
  <c r="D573" i="1" s="1"/>
  <c r="E573" i="1"/>
  <c r="F573" i="1"/>
  <c r="G573" i="1"/>
  <c r="H573" i="1"/>
  <c r="L573" i="1" s="1"/>
  <c r="I573" i="1"/>
  <c r="A574" i="1"/>
  <c r="B574" i="1" a="1"/>
  <c r="B574" i="1" s="1"/>
  <c r="C574" i="1" s="1" a="1"/>
  <c r="C574" i="1" s="1"/>
  <c r="D574" i="1" a="1"/>
  <c r="D574" i="1" s="1"/>
  <c r="E574" i="1"/>
  <c r="F574" i="1"/>
  <c r="G574" i="1"/>
  <c r="H574" i="1"/>
  <c r="M574" i="1" s="1"/>
  <c r="I574" i="1"/>
  <c r="A575" i="1"/>
  <c r="B575" i="1" a="1"/>
  <c r="B575" i="1" s="1"/>
  <c r="C575" i="1" s="1" a="1"/>
  <c r="C575" i="1" s="1"/>
  <c r="D575" i="1" a="1"/>
  <c r="D575" i="1" s="1"/>
  <c r="E575" i="1"/>
  <c r="F575" i="1"/>
  <c r="G575" i="1"/>
  <c r="H575" i="1"/>
  <c r="L575" i="1" s="1"/>
  <c r="I575" i="1"/>
  <c r="A576" i="1"/>
  <c r="B576" i="1" a="1"/>
  <c r="B576" i="1" s="1"/>
  <c r="C576" i="1" s="1" a="1"/>
  <c r="C576" i="1" s="1"/>
  <c r="D576" i="1" a="1"/>
  <c r="D576" i="1" s="1"/>
  <c r="E576" i="1"/>
  <c r="F576" i="1"/>
  <c r="G576" i="1"/>
  <c r="H576" i="1"/>
  <c r="L576" i="1" s="1"/>
  <c r="I576" i="1"/>
  <c r="A577" i="1"/>
  <c r="B577" i="1" a="1"/>
  <c r="B577" i="1" s="1"/>
  <c r="C577" i="1" s="1" a="1"/>
  <c r="C577" i="1" s="1"/>
  <c r="D577" i="1" a="1"/>
  <c r="D577" i="1" s="1"/>
  <c r="E577" i="1"/>
  <c r="F577" i="1"/>
  <c r="G577" i="1"/>
  <c r="H577" i="1"/>
  <c r="L577" i="1" s="1"/>
  <c r="I577" i="1"/>
  <c r="A578" i="1"/>
  <c r="B578" i="1" a="1"/>
  <c r="B578" i="1" s="1"/>
  <c r="C578" i="1" s="1" a="1"/>
  <c r="C578" i="1" s="1"/>
  <c r="D578" i="1" a="1"/>
  <c r="D578" i="1" s="1"/>
  <c r="E578" i="1"/>
  <c r="F578" i="1"/>
  <c r="G578" i="1"/>
  <c r="H578" i="1"/>
  <c r="I578" i="1"/>
  <c r="A579" i="1"/>
  <c r="B579" i="1" a="1"/>
  <c r="B579" i="1" s="1"/>
  <c r="C579" i="1" s="1" a="1"/>
  <c r="C579" i="1" s="1"/>
  <c r="D579" i="1" a="1"/>
  <c r="D579" i="1" s="1"/>
  <c r="E579" i="1"/>
  <c r="F579" i="1"/>
  <c r="G579" i="1"/>
  <c r="H579" i="1"/>
  <c r="L579" i="1" s="1"/>
  <c r="I579" i="1"/>
  <c r="A580" i="1"/>
  <c r="B580" i="1" a="1"/>
  <c r="B580" i="1" s="1"/>
  <c r="C580" i="1" s="1" a="1"/>
  <c r="C580" i="1" s="1"/>
  <c r="D580" i="1" a="1"/>
  <c r="D580" i="1" s="1"/>
  <c r="E580" i="1"/>
  <c r="F580" i="1"/>
  <c r="G580" i="1"/>
  <c r="H580" i="1"/>
  <c r="L580" i="1" s="1"/>
  <c r="I580" i="1"/>
  <c r="A581" i="1"/>
  <c r="B581" i="1" a="1"/>
  <c r="B581" i="1" s="1"/>
  <c r="C581" i="1" s="1" a="1"/>
  <c r="C581" i="1" s="1"/>
  <c r="D581" i="1" a="1"/>
  <c r="D581" i="1" s="1"/>
  <c r="E581" i="1"/>
  <c r="F581" i="1"/>
  <c r="G581" i="1"/>
  <c r="H581" i="1"/>
  <c r="L581" i="1" s="1"/>
  <c r="I581" i="1"/>
  <c r="A582" i="1"/>
  <c r="B582" i="1" a="1"/>
  <c r="B582" i="1" s="1"/>
  <c r="C582" i="1" s="1" a="1"/>
  <c r="C582" i="1" s="1"/>
  <c r="D582" i="1" a="1"/>
  <c r="D582" i="1" s="1"/>
  <c r="E582" i="1"/>
  <c r="F582" i="1"/>
  <c r="G582" i="1"/>
  <c r="H582" i="1"/>
  <c r="M582" i="1" s="1"/>
  <c r="I582" i="1"/>
  <c r="A583" i="1"/>
  <c r="B583" i="1" a="1"/>
  <c r="B583" i="1" s="1"/>
  <c r="C583" i="1" s="1" a="1"/>
  <c r="C583" i="1" s="1"/>
  <c r="D583" i="1" a="1"/>
  <c r="D583" i="1" s="1"/>
  <c r="E583" i="1"/>
  <c r="F583" i="1"/>
  <c r="G583" i="1"/>
  <c r="H583" i="1"/>
  <c r="L583" i="1" s="1"/>
  <c r="I583" i="1"/>
  <c r="A584" i="1"/>
  <c r="B584" i="1" a="1"/>
  <c r="B584" i="1" s="1"/>
  <c r="C584" i="1" s="1" a="1"/>
  <c r="C584" i="1" s="1"/>
  <c r="D584" i="1" a="1"/>
  <c r="D584" i="1" s="1"/>
  <c r="E584" i="1"/>
  <c r="F584" i="1"/>
  <c r="G584" i="1"/>
  <c r="H584" i="1"/>
  <c r="L584" i="1" s="1"/>
  <c r="I584" i="1"/>
  <c r="A585" i="1"/>
  <c r="B585" i="1" a="1"/>
  <c r="B585" i="1" s="1"/>
  <c r="C585" i="1" s="1" a="1"/>
  <c r="C585" i="1" s="1"/>
  <c r="D585" i="1" a="1"/>
  <c r="D585" i="1" s="1"/>
  <c r="E585" i="1"/>
  <c r="F585" i="1"/>
  <c r="G585" i="1"/>
  <c r="H585" i="1"/>
  <c r="L585" i="1" s="1"/>
  <c r="I585" i="1"/>
  <c r="A586" i="1"/>
  <c r="B586" i="1" a="1"/>
  <c r="B586" i="1" s="1"/>
  <c r="C586" i="1" s="1" a="1"/>
  <c r="C586" i="1" s="1"/>
  <c r="D586" i="1" a="1"/>
  <c r="D586" i="1" s="1"/>
  <c r="E586" i="1"/>
  <c r="F586" i="1"/>
  <c r="G586" i="1"/>
  <c r="H586" i="1"/>
  <c r="I586" i="1"/>
  <c r="A587" i="1"/>
  <c r="B587" i="1" a="1"/>
  <c r="B587" i="1" s="1"/>
  <c r="C587" i="1" s="1" a="1"/>
  <c r="C587" i="1" s="1"/>
  <c r="D587" i="1" a="1"/>
  <c r="D587" i="1" s="1"/>
  <c r="E587" i="1"/>
  <c r="F587" i="1"/>
  <c r="G587" i="1"/>
  <c r="H587" i="1"/>
  <c r="L587" i="1" s="1"/>
  <c r="I587" i="1"/>
  <c r="A588" i="1"/>
  <c r="B588" i="1" a="1"/>
  <c r="B588" i="1" s="1"/>
  <c r="C588" i="1" s="1" a="1"/>
  <c r="C588" i="1" s="1"/>
  <c r="D588" i="1" a="1"/>
  <c r="D588" i="1" s="1"/>
  <c r="E588" i="1"/>
  <c r="F588" i="1"/>
  <c r="G588" i="1"/>
  <c r="H588" i="1"/>
  <c r="L588" i="1" s="1"/>
  <c r="I588" i="1"/>
  <c r="A589" i="1"/>
  <c r="B589" i="1" a="1"/>
  <c r="B589" i="1" s="1"/>
  <c r="C589" i="1" s="1" a="1"/>
  <c r="C589" i="1" s="1"/>
  <c r="D589" i="1" a="1"/>
  <c r="D589" i="1" s="1"/>
  <c r="E589" i="1"/>
  <c r="F589" i="1"/>
  <c r="G589" i="1"/>
  <c r="H589" i="1"/>
  <c r="L589" i="1" s="1"/>
  <c r="I589" i="1"/>
  <c r="A590" i="1"/>
  <c r="B590" i="1" a="1"/>
  <c r="B590" i="1" s="1"/>
  <c r="C590" i="1" s="1" a="1"/>
  <c r="C590" i="1" s="1"/>
  <c r="D590" i="1" a="1"/>
  <c r="D590" i="1" s="1"/>
  <c r="E590" i="1"/>
  <c r="F590" i="1"/>
  <c r="G590" i="1"/>
  <c r="H590" i="1"/>
  <c r="M590" i="1" s="1"/>
  <c r="I590" i="1"/>
  <c r="A591" i="1"/>
  <c r="B591" i="1" a="1"/>
  <c r="B591" i="1" s="1"/>
  <c r="C591" i="1" s="1" a="1"/>
  <c r="C591" i="1" s="1"/>
  <c r="D591" i="1" a="1"/>
  <c r="D591" i="1" s="1"/>
  <c r="E591" i="1"/>
  <c r="F591" i="1"/>
  <c r="G591" i="1"/>
  <c r="H591" i="1"/>
  <c r="L591" i="1" s="1"/>
  <c r="I591" i="1"/>
  <c r="A592" i="1"/>
  <c r="B592" i="1" a="1"/>
  <c r="B592" i="1" s="1"/>
  <c r="C592" i="1" s="1" a="1"/>
  <c r="C592" i="1" s="1"/>
  <c r="D592" i="1" a="1"/>
  <c r="D592" i="1" s="1"/>
  <c r="E592" i="1"/>
  <c r="F592" i="1"/>
  <c r="G592" i="1"/>
  <c r="H592" i="1"/>
  <c r="L592" i="1" s="1"/>
  <c r="I592" i="1"/>
  <c r="A593" i="1"/>
  <c r="B593" i="1" a="1"/>
  <c r="B593" i="1" s="1"/>
  <c r="C593" i="1" s="1" a="1"/>
  <c r="C593" i="1" s="1"/>
  <c r="D593" i="1" a="1"/>
  <c r="D593" i="1" s="1"/>
  <c r="E593" i="1"/>
  <c r="F593" i="1"/>
  <c r="G593" i="1"/>
  <c r="H593" i="1"/>
  <c r="L593" i="1" s="1"/>
  <c r="I593" i="1"/>
  <c r="A594" i="1"/>
  <c r="B594" i="1" a="1"/>
  <c r="B594" i="1" s="1"/>
  <c r="C594" i="1" s="1" a="1"/>
  <c r="C594" i="1" s="1"/>
  <c r="D594" i="1" a="1"/>
  <c r="D594" i="1" s="1"/>
  <c r="E594" i="1"/>
  <c r="F594" i="1"/>
  <c r="G594" i="1"/>
  <c r="H594" i="1"/>
  <c r="I594" i="1"/>
  <c r="A595" i="1"/>
  <c r="B595" i="1" a="1"/>
  <c r="B595" i="1" s="1"/>
  <c r="C595" i="1" s="1" a="1"/>
  <c r="C595" i="1" s="1"/>
  <c r="D595" i="1" a="1"/>
  <c r="D595" i="1" s="1"/>
  <c r="E595" i="1"/>
  <c r="F595" i="1"/>
  <c r="G595" i="1"/>
  <c r="H595" i="1"/>
  <c r="L595" i="1" s="1"/>
  <c r="I595" i="1"/>
  <c r="A596" i="1"/>
  <c r="B596" i="1" a="1"/>
  <c r="B596" i="1" s="1"/>
  <c r="C596" i="1" s="1" a="1"/>
  <c r="C596" i="1" s="1"/>
  <c r="D596" i="1" a="1"/>
  <c r="D596" i="1" s="1"/>
  <c r="E596" i="1"/>
  <c r="F596" i="1"/>
  <c r="G596" i="1"/>
  <c r="H596" i="1"/>
  <c r="L596" i="1" s="1"/>
  <c r="I596" i="1"/>
  <c r="A597" i="1"/>
  <c r="B597" i="1" a="1"/>
  <c r="B597" i="1" s="1"/>
  <c r="C597" i="1" s="1" a="1"/>
  <c r="C597" i="1" s="1"/>
  <c r="D597" i="1" a="1"/>
  <c r="D597" i="1" s="1"/>
  <c r="E597" i="1"/>
  <c r="F597" i="1"/>
  <c r="G597" i="1"/>
  <c r="H597" i="1"/>
  <c r="L597" i="1" s="1"/>
  <c r="I597" i="1"/>
  <c r="A598" i="1"/>
  <c r="B598" i="1" a="1"/>
  <c r="B598" i="1" s="1"/>
  <c r="C598" i="1" s="1" a="1"/>
  <c r="C598" i="1" s="1"/>
  <c r="D598" i="1" a="1"/>
  <c r="D598" i="1" s="1"/>
  <c r="E598" i="1"/>
  <c r="F598" i="1"/>
  <c r="G598" i="1"/>
  <c r="H598" i="1"/>
  <c r="M598" i="1" s="1"/>
  <c r="I598" i="1"/>
  <c r="A599" i="1"/>
  <c r="B599" i="1" a="1"/>
  <c r="B599" i="1" s="1"/>
  <c r="C599" i="1" s="1" a="1"/>
  <c r="C599" i="1" s="1"/>
  <c r="D599" i="1" a="1"/>
  <c r="D599" i="1" s="1"/>
  <c r="E599" i="1"/>
  <c r="F599" i="1"/>
  <c r="G599" i="1"/>
  <c r="H599" i="1"/>
  <c r="I599" i="1"/>
  <c r="A600" i="1"/>
  <c r="B600" i="1" a="1"/>
  <c r="B600" i="1" s="1"/>
  <c r="C600" i="1" s="1" a="1"/>
  <c r="C600" i="1" s="1"/>
  <c r="D600" i="1" a="1"/>
  <c r="D600" i="1" s="1"/>
  <c r="E600" i="1"/>
  <c r="F600" i="1"/>
  <c r="G600" i="1"/>
  <c r="H600" i="1"/>
  <c r="L600" i="1" s="1"/>
  <c r="I600" i="1"/>
  <c r="A601" i="1"/>
  <c r="B601" i="1" a="1"/>
  <c r="B601" i="1" s="1"/>
  <c r="C601" i="1" s="1" a="1"/>
  <c r="C601" i="1" s="1"/>
  <c r="D601" i="1" a="1"/>
  <c r="D601" i="1" s="1"/>
  <c r="E601" i="1"/>
  <c r="F601" i="1"/>
  <c r="G601" i="1"/>
  <c r="H601" i="1"/>
  <c r="L601" i="1" s="1"/>
  <c r="I601" i="1"/>
  <c r="A602" i="1"/>
  <c r="B602" i="1" a="1"/>
  <c r="B602" i="1" s="1"/>
  <c r="C602" i="1" s="1" a="1"/>
  <c r="C602" i="1" s="1"/>
  <c r="D602" i="1" a="1"/>
  <c r="D602" i="1" s="1"/>
  <c r="E602" i="1"/>
  <c r="F602" i="1"/>
  <c r="G602" i="1"/>
  <c r="H602" i="1"/>
  <c r="L602" i="1" s="1"/>
  <c r="I602" i="1"/>
  <c r="A603" i="1"/>
  <c r="B603" i="1" a="1"/>
  <c r="B603" i="1" s="1"/>
  <c r="C603" i="1" s="1" a="1"/>
  <c r="C603" i="1" s="1"/>
  <c r="D603" i="1" a="1"/>
  <c r="D603" i="1" s="1"/>
  <c r="E603" i="1"/>
  <c r="F603" i="1"/>
  <c r="G603" i="1"/>
  <c r="H603" i="1"/>
  <c r="L603" i="1" s="1"/>
  <c r="I603" i="1"/>
  <c r="A604" i="1"/>
  <c r="B604" i="1" a="1"/>
  <c r="B604" i="1" s="1"/>
  <c r="C604" i="1" s="1" a="1"/>
  <c r="C604" i="1" s="1"/>
  <c r="D604" i="1" a="1"/>
  <c r="D604" i="1" s="1"/>
  <c r="E604" i="1"/>
  <c r="F604" i="1"/>
  <c r="G604" i="1"/>
  <c r="H604" i="1"/>
  <c r="L604" i="1" s="1"/>
  <c r="I604" i="1"/>
  <c r="A605" i="1"/>
  <c r="B605" i="1" a="1"/>
  <c r="B605" i="1" s="1"/>
  <c r="C605" i="1" s="1" a="1"/>
  <c r="C605" i="1" s="1"/>
  <c r="D605" i="1" a="1"/>
  <c r="D605" i="1" s="1"/>
  <c r="E605" i="1"/>
  <c r="F605" i="1"/>
  <c r="G605" i="1"/>
  <c r="H605" i="1"/>
  <c r="L605" i="1" s="1"/>
  <c r="I605" i="1"/>
  <c r="A606" i="1"/>
  <c r="B606" i="1" a="1"/>
  <c r="B606" i="1" s="1"/>
  <c r="C606" i="1" s="1" a="1"/>
  <c r="C606" i="1" s="1"/>
  <c r="D606" i="1" a="1"/>
  <c r="D606" i="1" s="1"/>
  <c r="E606" i="1"/>
  <c r="F606" i="1"/>
  <c r="G606" i="1"/>
  <c r="H606" i="1"/>
  <c r="L606" i="1" s="1"/>
  <c r="I606" i="1"/>
  <c r="A607" i="1"/>
  <c r="B607" i="1" a="1"/>
  <c r="B607" i="1" s="1"/>
  <c r="C607" i="1" s="1" a="1"/>
  <c r="C607" i="1" s="1"/>
  <c r="D607" i="1" a="1"/>
  <c r="D607" i="1" s="1"/>
  <c r="E607" i="1"/>
  <c r="F607" i="1"/>
  <c r="G607" i="1"/>
  <c r="H607" i="1"/>
  <c r="L607" i="1" s="1"/>
  <c r="I607" i="1"/>
  <c r="A608" i="1"/>
  <c r="B608" i="1" a="1"/>
  <c r="B608" i="1" s="1"/>
  <c r="C608" i="1" s="1" a="1"/>
  <c r="C608" i="1" s="1"/>
  <c r="D608" i="1" a="1"/>
  <c r="D608" i="1" s="1"/>
  <c r="E608" i="1"/>
  <c r="F608" i="1"/>
  <c r="G608" i="1"/>
  <c r="H608" i="1"/>
  <c r="L608" i="1" s="1"/>
  <c r="I608" i="1"/>
  <c r="A609" i="1"/>
  <c r="B609" i="1" a="1"/>
  <c r="B609" i="1" s="1"/>
  <c r="C609" i="1" s="1" a="1"/>
  <c r="C609" i="1" s="1"/>
  <c r="D609" i="1" a="1"/>
  <c r="D609" i="1" s="1"/>
  <c r="E609" i="1"/>
  <c r="F609" i="1"/>
  <c r="G609" i="1"/>
  <c r="H609" i="1"/>
  <c r="L609" i="1" s="1"/>
  <c r="I609" i="1"/>
  <c r="A610" i="1"/>
  <c r="B610" i="1" a="1"/>
  <c r="B610" i="1" s="1"/>
  <c r="C610" i="1" s="1" a="1"/>
  <c r="C610" i="1" s="1"/>
  <c r="D610" i="1" a="1"/>
  <c r="D610" i="1" s="1"/>
  <c r="E610" i="1"/>
  <c r="F610" i="1"/>
  <c r="G610" i="1"/>
  <c r="H610" i="1"/>
  <c r="L610" i="1" s="1"/>
  <c r="I610" i="1"/>
  <c r="A611" i="1"/>
  <c r="B611" i="1" a="1"/>
  <c r="B611" i="1" s="1"/>
  <c r="C611" i="1" s="1" a="1"/>
  <c r="C611" i="1" s="1"/>
  <c r="D611" i="1" a="1"/>
  <c r="D611" i="1" s="1"/>
  <c r="E611" i="1"/>
  <c r="F611" i="1"/>
  <c r="G611" i="1"/>
  <c r="H611" i="1"/>
  <c r="L611" i="1" s="1"/>
  <c r="I611" i="1"/>
  <c r="A612" i="1"/>
  <c r="B612" i="1" a="1"/>
  <c r="B612" i="1" s="1"/>
  <c r="C612" i="1" s="1" a="1"/>
  <c r="C612" i="1" s="1"/>
  <c r="D612" i="1" a="1"/>
  <c r="D612" i="1" s="1"/>
  <c r="E612" i="1"/>
  <c r="F612" i="1"/>
  <c r="G612" i="1"/>
  <c r="H612" i="1"/>
  <c r="L612" i="1" s="1"/>
  <c r="I612" i="1"/>
  <c r="A613" i="1"/>
  <c r="B613" i="1" a="1"/>
  <c r="B613" i="1" s="1"/>
  <c r="C613" i="1" s="1" a="1"/>
  <c r="C613" i="1" s="1"/>
  <c r="D613" i="1" a="1"/>
  <c r="D613" i="1" s="1"/>
  <c r="E613" i="1"/>
  <c r="F613" i="1"/>
  <c r="G613" i="1"/>
  <c r="H613" i="1"/>
  <c r="I613" i="1"/>
  <c r="A614" i="1"/>
  <c r="B614" i="1" a="1"/>
  <c r="B614" i="1" s="1"/>
  <c r="C614" i="1" s="1" a="1"/>
  <c r="C614" i="1" s="1"/>
  <c r="D614" i="1" a="1"/>
  <c r="D614" i="1" s="1"/>
  <c r="E614" i="1"/>
  <c r="F614" i="1"/>
  <c r="G614" i="1"/>
  <c r="H614" i="1"/>
  <c r="L614" i="1" s="1"/>
  <c r="I614" i="1"/>
  <c r="A615" i="1"/>
  <c r="B615" i="1" a="1"/>
  <c r="B615" i="1" s="1"/>
  <c r="C615" i="1" s="1" a="1"/>
  <c r="C615" i="1" s="1"/>
  <c r="D615" i="1" a="1"/>
  <c r="D615" i="1" s="1"/>
  <c r="E615" i="1"/>
  <c r="F615" i="1"/>
  <c r="G615" i="1"/>
  <c r="H615" i="1"/>
  <c r="L615" i="1" s="1"/>
  <c r="I615" i="1"/>
  <c r="A616" i="1"/>
  <c r="B616" i="1" a="1"/>
  <c r="B616" i="1" s="1"/>
  <c r="C616" i="1" s="1" a="1"/>
  <c r="C616" i="1" s="1"/>
  <c r="D616" i="1" a="1"/>
  <c r="D616" i="1" s="1"/>
  <c r="E616" i="1"/>
  <c r="F616" i="1"/>
  <c r="G616" i="1"/>
  <c r="H616" i="1"/>
  <c r="I616" i="1"/>
  <c r="A617" i="1"/>
  <c r="B617" i="1" a="1"/>
  <c r="B617" i="1" s="1"/>
  <c r="C617" i="1" s="1" a="1"/>
  <c r="C617" i="1" s="1"/>
  <c r="D617" i="1" a="1"/>
  <c r="D617" i="1" s="1"/>
  <c r="E617" i="1"/>
  <c r="F617" i="1"/>
  <c r="G617" i="1"/>
  <c r="H617" i="1"/>
  <c r="L617" i="1" s="1"/>
  <c r="I617" i="1"/>
  <c r="A618" i="1"/>
  <c r="B618" i="1" a="1"/>
  <c r="B618" i="1" s="1"/>
  <c r="C618" i="1" s="1" a="1"/>
  <c r="C618" i="1" s="1"/>
  <c r="D618" i="1" a="1"/>
  <c r="D618" i="1" s="1"/>
  <c r="E618" i="1"/>
  <c r="F618" i="1"/>
  <c r="G618" i="1"/>
  <c r="H618" i="1"/>
  <c r="L618" i="1" s="1"/>
  <c r="I618" i="1"/>
  <c r="A619" i="1"/>
  <c r="B619" i="1" a="1"/>
  <c r="B619" i="1" s="1"/>
  <c r="C619" i="1" s="1" a="1"/>
  <c r="C619" i="1" s="1"/>
  <c r="D619" i="1" a="1"/>
  <c r="D619" i="1" s="1"/>
  <c r="E619" i="1"/>
  <c r="F619" i="1"/>
  <c r="G619" i="1"/>
  <c r="H619" i="1"/>
  <c r="L619" i="1" s="1"/>
  <c r="I619" i="1"/>
  <c r="A620" i="1"/>
  <c r="B620" i="1" a="1"/>
  <c r="B620" i="1" s="1"/>
  <c r="C620" i="1" s="1" a="1"/>
  <c r="C620" i="1" s="1"/>
  <c r="D620" i="1" a="1"/>
  <c r="D620" i="1" s="1"/>
  <c r="E620" i="1"/>
  <c r="F620" i="1"/>
  <c r="G620" i="1"/>
  <c r="H620" i="1"/>
  <c r="L620" i="1" s="1"/>
  <c r="I620" i="1"/>
  <c r="A621" i="1"/>
  <c r="B621" i="1" a="1"/>
  <c r="B621" i="1" s="1"/>
  <c r="C621" i="1" s="1" a="1"/>
  <c r="C621" i="1" s="1"/>
  <c r="D621" i="1" a="1"/>
  <c r="D621" i="1" s="1"/>
  <c r="E621" i="1"/>
  <c r="F621" i="1"/>
  <c r="G621" i="1"/>
  <c r="H621" i="1"/>
  <c r="L621" i="1" s="1"/>
  <c r="I621" i="1"/>
  <c r="A622" i="1"/>
  <c r="B622" i="1" a="1"/>
  <c r="B622" i="1" s="1"/>
  <c r="C622" i="1" s="1" a="1"/>
  <c r="C622" i="1" s="1"/>
  <c r="D622" i="1" a="1"/>
  <c r="D622" i="1" s="1"/>
  <c r="E622" i="1"/>
  <c r="F622" i="1"/>
  <c r="G622" i="1"/>
  <c r="H622" i="1"/>
  <c r="L622" i="1" s="1"/>
  <c r="I622" i="1"/>
  <c r="A623" i="1"/>
  <c r="B623" i="1" a="1"/>
  <c r="B623" i="1" s="1"/>
  <c r="C623" i="1" s="1" a="1"/>
  <c r="C623" i="1" s="1"/>
  <c r="D623" i="1" a="1"/>
  <c r="D623" i="1" s="1"/>
  <c r="E623" i="1"/>
  <c r="F623" i="1"/>
  <c r="G623" i="1"/>
  <c r="H623" i="1"/>
  <c r="L623" i="1" s="1"/>
  <c r="I623" i="1"/>
  <c r="A624" i="1"/>
  <c r="B624" i="1" a="1"/>
  <c r="B624" i="1" s="1"/>
  <c r="C624" i="1" s="1" a="1"/>
  <c r="C624" i="1" s="1"/>
  <c r="D624" i="1" a="1"/>
  <c r="D624" i="1" s="1"/>
  <c r="E624" i="1"/>
  <c r="F624" i="1"/>
  <c r="G624" i="1"/>
  <c r="H624" i="1"/>
  <c r="L624" i="1" s="1"/>
  <c r="I624" i="1"/>
  <c r="A625" i="1"/>
  <c r="B625" i="1" a="1"/>
  <c r="B625" i="1" s="1"/>
  <c r="C625" i="1" s="1" a="1"/>
  <c r="C625" i="1" s="1"/>
  <c r="D625" i="1" a="1"/>
  <c r="D625" i="1" s="1"/>
  <c r="E625" i="1"/>
  <c r="F625" i="1"/>
  <c r="G625" i="1"/>
  <c r="H625" i="1"/>
  <c r="I625" i="1"/>
  <c r="A626" i="1"/>
  <c r="B626" i="1" a="1"/>
  <c r="B626" i="1" s="1"/>
  <c r="C626" i="1" s="1" a="1"/>
  <c r="C626" i="1" s="1"/>
  <c r="D626" i="1" a="1"/>
  <c r="D626" i="1" s="1"/>
  <c r="E626" i="1"/>
  <c r="F626" i="1"/>
  <c r="G626" i="1"/>
  <c r="H626" i="1"/>
  <c r="L626" i="1" s="1"/>
  <c r="I626" i="1"/>
  <c r="A627" i="1"/>
  <c r="B627" i="1" a="1"/>
  <c r="B627" i="1" s="1"/>
  <c r="C627" i="1" s="1" a="1"/>
  <c r="C627" i="1" s="1"/>
  <c r="D627" i="1" a="1"/>
  <c r="D627" i="1" s="1"/>
  <c r="E627" i="1"/>
  <c r="F627" i="1"/>
  <c r="G627" i="1"/>
  <c r="H627" i="1"/>
  <c r="L627" i="1" s="1"/>
  <c r="I627" i="1"/>
  <c r="A628" i="1"/>
  <c r="B628" i="1" a="1"/>
  <c r="B628" i="1" s="1"/>
  <c r="C628" i="1" s="1" a="1"/>
  <c r="C628" i="1" s="1"/>
  <c r="D628" i="1" a="1"/>
  <c r="D628" i="1" s="1"/>
  <c r="E628" i="1"/>
  <c r="F628" i="1"/>
  <c r="G628" i="1"/>
  <c r="H628" i="1"/>
  <c r="L628" i="1" s="1"/>
  <c r="I628" i="1"/>
  <c r="A629" i="1"/>
  <c r="B629" i="1" a="1"/>
  <c r="B629" i="1" s="1"/>
  <c r="C629" i="1" s="1" a="1"/>
  <c r="C629" i="1" s="1"/>
  <c r="D629" i="1" a="1"/>
  <c r="D629" i="1" s="1"/>
  <c r="E629" i="1"/>
  <c r="F629" i="1"/>
  <c r="G629" i="1"/>
  <c r="H629" i="1"/>
  <c r="L629" i="1" s="1"/>
  <c r="I629" i="1"/>
  <c r="A630" i="1"/>
  <c r="B630" i="1" a="1"/>
  <c r="B630" i="1" s="1"/>
  <c r="C630" i="1" s="1" a="1"/>
  <c r="C630" i="1" s="1"/>
  <c r="D630" i="1" a="1"/>
  <c r="D630" i="1" s="1"/>
  <c r="E630" i="1"/>
  <c r="F630" i="1"/>
  <c r="G630" i="1"/>
  <c r="H630" i="1"/>
  <c r="L630" i="1" s="1"/>
  <c r="I630" i="1"/>
  <c r="A631" i="1"/>
  <c r="B631" i="1" a="1"/>
  <c r="B631" i="1" s="1"/>
  <c r="C631" i="1" s="1" a="1"/>
  <c r="C631" i="1" s="1"/>
  <c r="D631" i="1" a="1"/>
  <c r="D631" i="1" s="1"/>
  <c r="E631" i="1"/>
  <c r="F631" i="1"/>
  <c r="G631" i="1"/>
  <c r="H631" i="1"/>
  <c r="L631" i="1" s="1"/>
  <c r="I631" i="1"/>
  <c r="A632" i="1"/>
  <c r="B632" i="1" a="1"/>
  <c r="B632" i="1" s="1"/>
  <c r="C632" i="1" s="1" a="1"/>
  <c r="C632" i="1" s="1"/>
  <c r="D632" i="1" a="1"/>
  <c r="D632" i="1" s="1"/>
  <c r="E632" i="1"/>
  <c r="F632" i="1"/>
  <c r="G632" i="1"/>
  <c r="H632" i="1"/>
  <c r="I632" i="1"/>
  <c r="A633" i="1"/>
  <c r="B633" i="1" a="1"/>
  <c r="B633" i="1" s="1"/>
  <c r="C633" i="1" s="1" a="1"/>
  <c r="C633" i="1" s="1"/>
  <c r="D633" i="1" a="1"/>
  <c r="D633" i="1" s="1"/>
  <c r="E633" i="1"/>
  <c r="F633" i="1"/>
  <c r="G633" i="1"/>
  <c r="H633" i="1"/>
  <c r="L633" i="1" s="1"/>
  <c r="I633" i="1"/>
  <c r="A634" i="1"/>
  <c r="B634" i="1" a="1"/>
  <c r="B634" i="1" s="1"/>
  <c r="C634" i="1" s="1" a="1"/>
  <c r="C634" i="1" s="1"/>
  <c r="D634" i="1" a="1"/>
  <c r="D634" i="1" s="1"/>
  <c r="E634" i="1"/>
  <c r="F634" i="1"/>
  <c r="G634" i="1"/>
  <c r="H634" i="1"/>
  <c r="L634" i="1" s="1"/>
  <c r="I634" i="1"/>
  <c r="A635" i="1"/>
  <c r="B635" i="1" a="1"/>
  <c r="B635" i="1" s="1"/>
  <c r="C635" i="1" s="1" a="1"/>
  <c r="C635" i="1" s="1"/>
  <c r="D635" i="1" a="1"/>
  <c r="D635" i="1" s="1"/>
  <c r="E635" i="1"/>
  <c r="F635" i="1"/>
  <c r="G635" i="1"/>
  <c r="H635" i="1"/>
  <c r="L635" i="1" s="1"/>
  <c r="I635" i="1"/>
  <c r="A636" i="1"/>
  <c r="B636" i="1" a="1"/>
  <c r="B636" i="1" s="1"/>
  <c r="C636" i="1" s="1" a="1"/>
  <c r="C636" i="1" s="1"/>
  <c r="D636" i="1" a="1"/>
  <c r="D636" i="1" s="1"/>
  <c r="E636" i="1"/>
  <c r="F636" i="1"/>
  <c r="G636" i="1"/>
  <c r="H636" i="1"/>
  <c r="L636" i="1" s="1"/>
  <c r="I636" i="1"/>
  <c r="A637" i="1"/>
  <c r="B637" i="1" a="1"/>
  <c r="B637" i="1" s="1"/>
  <c r="C637" i="1" s="1" a="1"/>
  <c r="C637" i="1" s="1"/>
  <c r="D637" i="1" a="1"/>
  <c r="D637" i="1" s="1"/>
  <c r="E637" i="1"/>
  <c r="F637" i="1"/>
  <c r="G637" i="1"/>
  <c r="H637" i="1"/>
  <c r="L637" i="1" s="1"/>
  <c r="I637" i="1"/>
  <c r="A638" i="1"/>
  <c r="B638" i="1" a="1"/>
  <c r="B638" i="1" s="1"/>
  <c r="C638" i="1" s="1" a="1"/>
  <c r="C638" i="1" s="1"/>
  <c r="D638" i="1" a="1"/>
  <c r="D638" i="1" s="1"/>
  <c r="E638" i="1"/>
  <c r="F638" i="1"/>
  <c r="G638" i="1"/>
  <c r="H638" i="1"/>
  <c r="L638" i="1" s="1"/>
  <c r="I638" i="1"/>
  <c r="A639" i="1"/>
  <c r="B639" i="1" a="1"/>
  <c r="B639" i="1" s="1"/>
  <c r="C639" i="1" s="1" a="1"/>
  <c r="C639" i="1" s="1"/>
  <c r="D639" i="1" a="1"/>
  <c r="D639" i="1" s="1"/>
  <c r="E639" i="1"/>
  <c r="F639" i="1"/>
  <c r="G639" i="1"/>
  <c r="H639" i="1"/>
  <c r="L639" i="1" s="1"/>
  <c r="I639" i="1"/>
  <c r="A640" i="1"/>
  <c r="B640" i="1" a="1"/>
  <c r="B640" i="1" s="1"/>
  <c r="C640" i="1" s="1" a="1"/>
  <c r="C640" i="1" s="1"/>
  <c r="D640" i="1" a="1"/>
  <c r="D640" i="1" s="1"/>
  <c r="E640" i="1"/>
  <c r="F640" i="1"/>
  <c r="G640" i="1"/>
  <c r="H640" i="1"/>
  <c r="L640" i="1" s="1"/>
  <c r="I640" i="1"/>
  <c r="A641" i="1"/>
  <c r="B641" i="1" a="1"/>
  <c r="B641" i="1" s="1"/>
  <c r="C641" i="1" s="1" a="1"/>
  <c r="C641" i="1" s="1"/>
  <c r="D641" i="1" a="1"/>
  <c r="D641" i="1" s="1"/>
  <c r="E641" i="1"/>
  <c r="F641" i="1"/>
  <c r="G641" i="1"/>
  <c r="H641" i="1"/>
  <c r="L641" i="1" s="1"/>
  <c r="I641" i="1"/>
  <c r="A642" i="1"/>
  <c r="B642" i="1" a="1"/>
  <c r="B642" i="1" s="1"/>
  <c r="C642" i="1" s="1" a="1"/>
  <c r="C642" i="1" s="1"/>
  <c r="D642" i="1" a="1"/>
  <c r="D642" i="1" s="1"/>
  <c r="E642" i="1"/>
  <c r="F642" i="1"/>
  <c r="G642" i="1"/>
  <c r="H642" i="1"/>
  <c r="L642" i="1" s="1"/>
  <c r="I642" i="1"/>
  <c r="A643" i="1"/>
  <c r="B643" i="1" a="1"/>
  <c r="B643" i="1" s="1"/>
  <c r="C643" i="1" s="1" a="1"/>
  <c r="C643" i="1" s="1"/>
  <c r="D643" i="1" a="1"/>
  <c r="D643" i="1" s="1"/>
  <c r="E643" i="1"/>
  <c r="F643" i="1"/>
  <c r="G643" i="1"/>
  <c r="H643" i="1"/>
  <c r="L643" i="1" s="1"/>
  <c r="I643" i="1"/>
  <c r="A644" i="1"/>
  <c r="B644" i="1" a="1"/>
  <c r="B644" i="1" s="1"/>
  <c r="C644" i="1" s="1" a="1"/>
  <c r="C644" i="1" s="1"/>
  <c r="D644" i="1" a="1"/>
  <c r="D644" i="1" s="1"/>
  <c r="E644" i="1"/>
  <c r="F644" i="1"/>
  <c r="G644" i="1"/>
  <c r="H644" i="1"/>
  <c r="L644" i="1" s="1"/>
  <c r="I644" i="1"/>
  <c r="A645" i="1"/>
  <c r="B645" i="1" a="1"/>
  <c r="B645" i="1" s="1"/>
  <c r="C645" i="1" s="1" a="1"/>
  <c r="C645" i="1" s="1"/>
  <c r="D645" i="1" a="1"/>
  <c r="D645" i="1" s="1"/>
  <c r="E645" i="1"/>
  <c r="F645" i="1"/>
  <c r="G645" i="1"/>
  <c r="H645" i="1"/>
  <c r="L645" i="1" s="1"/>
  <c r="I645" i="1"/>
  <c r="A646" i="1"/>
  <c r="B646" i="1" a="1"/>
  <c r="B646" i="1" s="1"/>
  <c r="C646" i="1" s="1" a="1"/>
  <c r="C646" i="1" s="1"/>
  <c r="D646" i="1" a="1"/>
  <c r="D646" i="1" s="1"/>
  <c r="E646" i="1"/>
  <c r="F646" i="1"/>
  <c r="G646" i="1"/>
  <c r="H646" i="1"/>
  <c r="L646" i="1" s="1"/>
  <c r="I646" i="1"/>
  <c r="A647" i="1"/>
  <c r="B647" i="1" a="1"/>
  <c r="B647" i="1" s="1"/>
  <c r="C647" i="1" s="1" a="1"/>
  <c r="C647" i="1" s="1"/>
  <c r="D647" i="1" a="1"/>
  <c r="D647" i="1" s="1"/>
  <c r="E647" i="1"/>
  <c r="F647" i="1"/>
  <c r="G647" i="1"/>
  <c r="H647" i="1"/>
  <c r="L647" i="1" s="1"/>
  <c r="I647" i="1"/>
  <c r="A648" i="1"/>
  <c r="B648" i="1" a="1"/>
  <c r="B648" i="1" s="1"/>
  <c r="C648" i="1" s="1" a="1"/>
  <c r="C648" i="1" s="1"/>
  <c r="D648" i="1" a="1"/>
  <c r="D648" i="1" s="1"/>
  <c r="E648" i="1"/>
  <c r="F648" i="1"/>
  <c r="G648" i="1"/>
  <c r="H648" i="1"/>
  <c r="I648" i="1"/>
  <c r="A649" i="1"/>
  <c r="B649" i="1" a="1"/>
  <c r="B649" i="1" s="1"/>
  <c r="C649" i="1" s="1" a="1"/>
  <c r="C649" i="1" s="1"/>
  <c r="D649" i="1" a="1"/>
  <c r="D649" i="1" s="1"/>
  <c r="E649" i="1"/>
  <c r="F649" i="1"/>
  <c r="G649" i="1"/>
  <c r="H649" i="1"/>
  <c r="L649" i="1" s="1"/>
  <c r="I649" i="1"/>
  <c r="A650" i="1"/>
  <c r="B650" i="1" a="1"/>
  <c r="B650" i="1" s="1"/>
  <c r="C650" i="1" s="1" a="1"/>
  <c r="C650" i="1" s="1"/>
  <c r="D650" i="1" a="1"/>
  <c r="D650" i="1" s="1"/>
  <c r="E650" i="1"/>
  <c r="F650" i="1"/>
  <c r="G650" i="1"/>
  <c r="H650" i="1"/>
  <c r="L650" i="1" s="1"/>
  <c r="I650" i="1"/>
  <c r="A651" i="1"/>
  <c r="B651" i="1" a="1"/>
  <c r="B651" i="1" s="1"/>
  <c r="C651" i="1" s="1" a="1"/>
  <c r="C651" i="1" s="1"/>
  <c r="D651" i="1" a="1"/>
  <c r="D651" i="1" s="1"/>
  <c r="E651" i="1"/>
  <c r="F651" i="1"/>
  <c r="G651" i="1"/>
  <c r="H651" i="1"/>
  <c r="L651" i="1" s="1"/>
  <c r="I651" i="1"/>
  <c r="A652" i="1"/>
  <c r="B652" i="1" a="1"/>
  <c r="B652" i="1" s="1"/>
  <c r="C652" i="1" s="1" a="1"/>
  <c r="C652" i="1" s="1"/>
  <c r="D652" i="1" a="1"/>
  <c r="D652" i="1" s="1"/>
  <c r="E652" i="1"/>
  <c r="F652" i="1"/>
  <c r="G652" i="1"/>
  <c r="H652" i="1"/>
  <c r="L652" i="1" s="1"/>
  <c r="I652" i="1"/>
  <c r="A653" i="1"/>
  <c r="B653" i="1" a="1"/>
  <c r="B653" i="1" s="1"/>
  <c r="C653" i="1" s="1" a="1"/>
  <c r="C653" i="1" s="1"/>
  <c r="D653" i="1" a="1"/>
  <c r="D653" i="1" s="1"/>
  <c r="E653" i="1"/>
  <c r="F653" i="1"/>
  <c r="G653" i="1"/>
  <c r="H653" i="1"/>
  <c r="L653" i="1" s="1"/>
  <c r="I653" i="1"/>
  <c r="A654" i="1"/>
  <c r="B654" i="1" a="1"/>
  <c r="B654" i="1" s="1"/>
  <c r="C654" i="1" s="1" a="1"/>
  <c r="C654" i="1" s="1"/>
  <c r="D654" i="1" a="1"/>
  <c r="D654" i="1" s="1"/>
  <c r="E654" i="1"/>
  <c r="F654" i="1"/>
  <c r="G654" i="1"/>
  <c r="H654" i="1"/>
  <c r="L654" i="1" s="1"/>
  <c r="I654" i="1"/>
  <c r="A655" i="1"/>
  <c r="B655" i="1" a="1"/>
  <c r="B655" i="1" s="1"/>
  <c r="C655" i="1" s="1" a="1"/>
  <c r="C655" i="1" s="1"/>
  <c r="D655" i="1" a="1"/>
  <c r="D655" i="1" s="1"/>
  <c r="E655" i="1"/>
  <c r="F655" i="1"/>
  <c r="G655" i="1"/>
  <c r="H655" i="1"/>
  <c r="L655" i="1" s="1"/>
  <c r="I655" i="1"/>
  <c r="A656" i="1"/>
  <c r="B656" i="1" a="1"/>
  <c r="B656" i="1" s="1"/>
  <c r="C656" i="1" s="1" a="1"/>
  <c r="C656" i="1" s="1"/>
  <c r="D656" i="1" a="1"/>
  <c r="D656" i="1" s="1"/>
  <c r="E656" i="1"/>
  <c r="F656" i="1"/>
  <c r="G656" i="1"/>
  <c r="H656" i="1"/>
  <c r="L656" i="1" s="1"/>
  <c r="I656" i="1"/>
  <c r="A657" i="1"/>
  <c r="B657" i="1" a="1"/>
  <c r="B657" i="1" s="1"/>
  <c r="C657" i="1" s="1" a="1"/>
  <c r="C657" i="1" s="1"/>
  <c r="D657" i="1" a="1"/>
  <c r="D657" i="1" s="1"/>
  <c r="E657" i="1"/>
  <c r="F657" i="1"/>
  <c r="G657" i="1"/>
  <c r="H657" i="1"/>
  <c r="L657" i="1" s="1"/>
  <c r="I657" i="1"/>
  <c r="A658" i="1"/>
  <c r="B658" i="1" a="1"/>
  <c r="B658" i="1" s="1"/>
  <c r="C658" i="1" s="1" a="1"/>
  <c r="C658" i="1" s="1"/>
  <c r="D658" i="1" a="1"/>
  <c r="D658" i="1" s="1"/>
  <c r="E658" i="1"/>
  <c r="F658" i="1"/>
  <c r="G658" i="1"/>
  <c r="H658" i="1"/>
  <c r="L658" i="1" s="1"/>
  <c r="I658" i="1"/>
  <c r="A659" i="1"/>
  <c r="B659" i="1" a="1"/>
  <c r="B659" i="1" s="1"/>
  <c r="C659" i="1" s="1" a="1"/>
  <c r="C659" i="1" s="1"/>
  <c r="D659" i="1" a="1"/>
  <c r="D659" i="1" s="1"/>
  <c r="E659" i="1"/>
  <c r="F659" i="1"/>
  <c r="G659" i="1"/>
  <c r="H659" i="1"/>
  <c r="L659" i="1" s="1"/>
  <c r="I659" i="1"/>
  <c r="A660" i="1"/>
  <c r="B660" i="1" a="1"/>
  <c r="B660" i="1" s="1"/>
  <c r="C660" i="1" s="1" a="1"/>
  <c r="C660" i="1" s="1"/>
  <c r="D660" i="1" a="1"/>
  <c r="D660" i="1" s="1"/>
  <c r="E660" i="1"/>
  <c r="F660" i="1"/>
  <c r="G660" i="1"/>
  <c r="H660" i="1"/>
  <c r="L660" i="1" s="1"/>
  <c r="I660" i="1"/>
  <c r="A661" i="1"/>
  <c r="B661" i="1" a="1"/>
  <c r="B661" i="1" s="1"/>
  <c r="C661" i="1" s="1" a="1"/>
  <c r="C661" i="1" s="1"/>
  <c r="D661" i="1" a="1"/>
  <c r="D661" i="1" s="1"/>
  <c r="E661" i="1"/>
  <c r="F661" i="1"/>
  <c r="G661" i="1"/>
  <c r="H661" i="1"/>
  <c r="L661" i="1" s="1"/>
  <c r="I661" i="1"/>
  <c r="A662" i="1"/>
  <c r="B662" i="1" a="1"/>
  <c r="B662" i="1" s="1"/>
  <c r="C662" i="1" s="1" a="1"/>
  <c r="C662" i="1" s="1"/>
  <c r="D662" i="1" a="1"/>
  <c r="D662" i="1" s="1"/>
  <c r="E662" i="1"/>
  <c r="F662" i="1"/>
  <c r="G662" i="1"/>
  <c r="H662" i="1"/>
  <c r="L662" i="1" s="1"/>
  <c r="I662" i="1"/>
  <c r="A663" i="1"/>
  <c r="B663" i="1" a="1"/>
  <c r="B663" i="1" s="1"/>
  <c r="C663" i="1" s="1" a="1"/>
  <c r="C663" i="1" s="1"/>
  <c r="D663" i="1" a="1"/>
  <c r="D663" i="1" s="1"/>
  <c r="E663" i="1"/>
  <c r="F663" i="1"/>
  <c r="G663" i="1"/>
  <c r="H663" i="1"/>
  <c r="L663" i="1" s="1"/>
  <c r="I663" i="1"/>
  <c r="A664" i="1"/>
  <c r="B664" i="1" a="1"/>
  <c r="B664" i="1" s="1"/>
  <c r="C664" i="1" s="1" a="1"/>
  <c r="C664" i="1" s="1"/>
  <c r="D664" i="1" a="1"/>
  <c r="D664" i="1" s="1"/>
  <c r="E664" i="1"/>
  <c r="F664" i="1"/>
  <c r="G664" i="1"/>
  <c r="H664" i="1"/>
  <c r="I664" i="1"/>
  <c r="A665" i="1"/>
  <c r="B665" i="1" a="1"/>
  <c r="B665" i="1" s="1"/>
  <c r="C665" i="1" s="1" a="1"/>
  <c r="C665" i="1" s="1"/>
  <c r="D665" i="1" a="1"/>
  <c r="D665" i="1" s="1"/>
  <c r="E665" i="1"/>
  <c r="F665" i="1"/>
  <c r="G665" i="1"/>
  <c r="H665" i="1"/>
  <c r="L665" i="1" s="1"/>
  <c r="I665" i="1"/>
  <c r="A666" i="1"/>
  <c r="B666" i="1" a="1"/>
  <c r="B666" i="1" s="1"/>
  <c r="C666" i="1" s="1" a="1"/>
  <c r="C666" i="1" s="1"/>
  <c r="D666" i="1" a="1"/>
  <c r="D666" i="1" s="1"/>
  <c r="E666" i="1"/>
  <c r="F666" i="1"/>
  <c r="G666" i="1"/>
  <c r="H666" i="1"/>
  <c r="L666" i="1" s="1"/>
  <c r="I666" i="1"/>
  <c r="A667" i="1"/>
  <c r="B667" i="1" a="1"/>
  <c r="B667" i="1" s="1"/>
  <c r="C667" i="1" s="1" a="1"/>
  <c r="C667" i="1" s="1"/>
  <c r="D667" i="1" a="1"/>
  <c r="D667" i="1" s="1"/>
  <c r="E667" i="1"/>
  <c r="F667" i="1"/>
  <c r="G667" i="1"/>
  <c r="H667" i="1"/>
  <c r="L667" i="1" s="1"/>
  <c r="I667" i="1"/>
  <c r="A668" i="1"/>
  <c r="B668" i="1" a="1"/>
  <c r="B668" i="1" s="1"/>
  <c r="C668" i="1" s="1" a="1"/>
  <c r="C668" i="1" s="1"/>
  <c r="D668" i="1" a="1"/>
  <c r="D668" i="1" s="1"/>
  <c r="E668" i="1"/>
  <c r="F668" i="1"/>
  <c r="G668" i="1"/>
  <c r="H668" i="1"/>
  <c r="I668" i="1"/>
  <c r="A669" i="1"/>
  <c r="B669" i="1" a="1"/>
  <c r="B669" i="1" s="1"/>
  <c r="C669" i="1" s="1" a="1"/>
  <c r="C669" i="1" s="1"/>
  <c r="D669" i="1" a="1"/>
  <c r="D669" i="1" s="1"/>
  <c r="E669" i="1"/>
  <c r="F669" i="1"/>
  <c r="G669" i="1"/>
  <c r="H669" i="1"/>
  <c r="L669" i="1" s="1"/>
  <c r="I669" i="1"/>
  <c r="A670" i="1"/>
  <c r="B670" i="1" a="1"/>
  <c r="B670" i="1" s="1"/>
  <c r="C670" i="1" s="1" a="1"/>
  <c r="C670" i="1" s="1"/>
  <c r="D670" i="1" a="1"/>
  <c r="D670" i="1" s="1"/>
  <c r="E670" i="1"/>
  <c r="F670" i="1"/>
  <c r="G670" i="1"/>
  <c r="H670" i="1"/>
  <c r="L670" i="1" s="1"/>
  <c r="I670" i="1"/>
  <c r="A671" i="1"/>
  <c r="B671" i="1" a="1"/>
  <c r="B671" i="1" s="1"/>
  <c r="C671" i="1" s="1" a="1"/>
  <c r="C671" i="1" s="1"/>
  <c r="D671" i="1" a="1"/>
  <c r="D671" i="1" s="1"/>
  <c r="E671" i="1"/>
  <c r="F671" i="1"/>
  <c r="G671" i="1"/>
  <c r="H671" i="1"/>
  <c r="L671" i="1" s="1"/>
  <c r="I671" i="1"/>
  <c r="A672" i="1"/>
  <c r="B672" i="1" a="1"/>
  <c r="B672" i="1" s="1"/>
  <c r="C672" i="1" s="1" a="1"/>
  <c r="C672" i="1" s="1"/>
  <c r="D672" i="1" a="1"/>
  <c r="D672" i="1" s="1"/>
  <c r="E672" i="1"/>
  <c r="F672" i="1"/>
  <c r="G672" i="1"/>
  <c r="H672" i="1"/>
  <c r="M672" i="1" s="1"/>
  <c r="I672" i="1"/>
  <c r="A673" i="1"/>
  <c r="B673" i="1" a="1"/>
  <c r="B673" i="1" s="1"/>
  <c r="C673" i="1" s="1" a="1"/>
  <c r="C673" i="1" s="1"/>
  <c r="D673" i="1" a="1"/>
  <c r="D673" i="1" s="1"/>
  <c r="E673" i="1"/>
  <c r="F673" i="1"/>
  <c r="G673" i="1"/>
  <c r="H673" i="1"/>
  <c r="L673" i="1" s="1"/>
  <c r="I673" i="1"/>
  <c r="A674" i="1"/>
  <c r="B674" i="1" a="1"/>
  <c r="B674" i="1" s="1"/>
  <c r="C674" i="1" s="1" a="1"/>
  <c r="C674" i="1" s="1"/>
  <c r="D674" i="1" a="1"/>
  <c r="D674" i="1" s="1"/>
  <c r="E674" i="1"/>
  <c r="F674" i="1"/>
  <c r="G674" i="1"/>
  <c r="H674" i="1"/>
  <c r="L674" i="1" s="1"/>
  <c r="I674" i="1"/>
  <c r="A675" i="1"/>
  <c r="B675" i="1" a="1"/>
  <c r="B675" i="1" s="1"/>
  <c r="C675" i="1" s="1" a="1"/>
  <c r="C675" i="1" s="1"/>
  <c r="D675" i="1" a="1"/>
  <c r="D675" i="1" s="1"/>
  <c r="E675" i="1"/>
  <c r="F675" i="1"/>
  <c r="G675" i="1"/>
  <c r="H675" i="1"/>
  <c r="L675" i="1" s="1"/>
  <c r="I675" i="1"/>
  <c r="A676" i="1"/>
  <c r="B676" i="1" a="1"/>
  <c r="B676" i="1" s="1"/>
  <c r="C676" i="1" s="1" a="1"/>
  <c r="C676" i="1" s="1"/>
  <c r="D676" i="1" a="1"/>
  <c r="D676" i="1" s="1"/>
  <c r="E676" i="1"/>
  <c r="F676" i="1"/>
  <c r="G676" i="1"/>
  <c r="H676" i="1"/>
  <c r="I676" i="1"/>
  <c r="A677" i="1"/>
  <c r="B677" i="1" a="1"/>
  <c r="B677" i="1" s="1"/>
  <c r="C677" i="1" s="1" a="1"/>
  <c r="C677" i="1" s="1"/>
  <c r="D677" i="1" a="1"/>
  <c r="D677" i="1" s="1"/>
  <c r="E677" i="1"/>
  <c r="F677" i="1"/>
  <c r="G677" i="1"/>
  <c r="H677" i="1"/>
  <c r="L677" i="1" s="1"/>
  <c r="I677" i="1"/>
  <c r="A678" i="1"/>
  <c r="B678" i="1" a="1"/>
  <c r="B678" i="1" s="1"/>
  <c r="C678" i="1" s="1" a="1"/>
  <c r="C678" i="1" s="1"/>
  <c r="D678" i="1" a="1"/>
  <c r="D678" i="1" s="1"/>
  <c r="E678" i="1"/>
  <c r="F678" i="1"/>
  <c r="G678" i="1"/>
  <c r="H678" i="1"/>
  <c r="L678" i="1" s="1"/>
  <c r="I678" i="1"/>
  <c r="A679" i="1"/>
  <c r="B679" i="1" a="1"/>
  <c r="B679" i="1" s="1"/>
  <c r="C679" i="1" s="1" a="1"/>
  <c r="C679" i="1" s="1"/>
  <c r="D679" i="1" a="1"/>
  <c r="D679" i="1" s="1"/>
  <c r="E679" i="1"/>
  <c r="F679" i="1"/>
  <c r="G679" i="1"/>
  <c r="H679" i="1"/>
  <c r="L679" i="1" s="1"/>
  <c r="I679" i="1"/>
  <c r="A680" i="1"/>
  <c r="B680" i="1" a="1"/>
  <c r="B680" i="1" s="1"/>
  <c r="C680" i="1" s="1" a="1"/>
  <c r="C680" i="1" s="1"/>
  <c r="D680" i="1" a="1"/>
  <c r="D680" i="1" s="1"/>
  <c r="E680" i="1"/>
  <c r="F680" i="1"/>
  <c r="G680" i="1"/>
  <c r="H680" i="1"/>
  <c r="L680" i="1" s="1"/>
  <c r="I680" i="1"/>
  <c r="A681" i="1"/>
  <c r="B681" i="1" a="1"/>
  <c r="B681" i="1" s="1"/>
  <c r="C681" i="1" s="1" a="1"/>
  <c r="C681" i="1" s="1"/>
  <c r="D681" i="1" a="1"/>
  <c r="D681" i="1" s="1"/>
  <c r="E681" i="1"/>
  <c r="F681" i="1"/>
  <c r="G681" i="1"/>
  <c r="H681" i="1"/>
  <c r="L681" i="1" s="1"/>
  <c r="I681" i="1"/>
  <c r="A682" i="1"/>
  <c r="B682" i="1" a="1"/>
  <c r="B682" i="1" s="1"/>
  <c r="C682" i="1" s="1" a="1"/>
  <c r="C682" i="1" s="1"/>
  <c r="D682" i="1" a="1"/>
  <c r="D682" i="1" s="1"/>
  <c r="E682" i="1"/>
  <c r="F682" i="1"/>
  <c r="G682" i="1"/>
  <c r="H682" i="1"/>
  <c r="L682" i="1" s="1"/>
  <c r="I682" i="1"/>
  <c r="A683" i="1"/>
  <c r="B683" i="1" a="1"/>
  <c r="B683" i="1" s="1"/>
  <c r="C683" i="1" s="1" a="1"/>
  <c r="C683" i="1" s="1"/>
  <c r="D683" i="1" a="1"/>
  <c r="D683" i="1" s="1"/>
  <c r="E683" i="1"/>
  <c r="F683" i="1"/>
  <c r="G683" i="1"/>
  <c r="H683" i="1"/>
  <c r="L683" i="1" s="1"/>
  <c r="I683" i="1"/>
  <c r="A684" i="1"/>
  <c r="B684" i="1" a="1"/>
  <c r="B684" i="1" s="1"/>
  <c r="C684" i="1" s="1" a="1"/>
  <c r="C684" i="1" s="1"/>
  <c r="D684" i="1" a="1"/>
  <c r="D684" i="1" s="1"/>
  <c r="E684" i="1"/>
  <c r="F684" i="1"/>
  <c r="G684" i="1"/>
  <c r="H684" i="1"/>
  <c r="L684" i="1" s="1"/>
  <c r="I684" i="1"/>
  <c r="A685" i="1"/>
  <c r="B685" i="1" a="1"/>
  <c r="B685" i="1" s="1"/>
  <c r="C685" i="1" s="1" a="1"/>
  <c r="C685" i="1" s="1"/>
  <c r="D685" i="1" a="1"/>
  <c r="D685" i="1" s="1"/>
  <c r="E685" i="1"/>
  <c r="F685" i="1"/>
  <c r="G685" i="1"/>
  <c r="H685" i="1"/>
  <c r="L685" i="1" s="1"/>
  <c r="I685" i="1"/>
  <c r="A686" i="1"/>
  <c r="B686" i="1" a="1"/>
  <c r="B686" i="1" s="1"/>
  <c r="C686" i="1" s="1" a="1"/>
  <c r="C686" i="1" s="1"/>
  <c r="D686" i="1" a="1"/>
  <c r="D686" i="1" s="1"/>
  <c r="E686" i="1"/>
  <c r="F686" i="1"/>
  <c r="G686" i="1"/>
  <c r="H686" i="1"/>
  <c r="L686" i="1" s="1"/>
  <c r="I686" i="1"/>
  <c r="A687" i="1"/>
  <c r="B687" i="1" a="1"/>
  <c r="B687" i="1" s="1"/>
  <c r="C687" i="1" s="1" a="1"/>
  <c r="C687" i="1" s="1"/>
  <c r="D687" i="1" a="1"/>
  <c r="D687" i="1" s="1"/>
  <c r="E687" i="1"/>
  <c r="F687" i="1"/>
  <c r="G687" i="1"/>
  <c r="H687" i="1"/>
  <c r="L687" i="1" s="1"/>
  <c r="I687" i="1"/>
  <c r="A688" i="1"/>
  <c r="B688" i="1" a="1"/>
  <c r="B688" i="1" s="1"/>
  <c r="C688" i="1" s="1" a="1"/>
  <c r="C688" i="1" s="1"/>
  <c r="D688" i="1" a="1"/>
  <c r="D688" i="1" s="1"/>
  <c r="E688" i="1"/>
  <c r="F688" i="1"/>
  <c r="G688" i="1"/>
  <c r="H688" i="1"/>
  <c r="L688" i="1" s="1"/>
  <c r="I688" i="1"/>
  <c r="A689" i="1"/>
  <c r="B689" i="1" a="1"/>
  <c r="B689" i="1" s="1"/>
  <c r="C689" i="1" s="1" a="1"/>
  <c r="C689" i="1" s="1"/>
  <c r="D689" i="1" a="1"/>
  <c r="D689" i="1" s="1"/>
  <c r="E689" i="1"/>
  <c r="F689" i="1"/>
  <c r="G689" i="1"/>
  <c r="H689" i="1"/>
  <c r="L689" i="1" s="1"/>
  <c r="I689" i="1"/>
  <c r="A690" i="1"/>
  <c r="B690" i="1" a="1"/>
  <c r="B690" i="1" s="1"/>
  <c r="C690" i="1" s="1" a="1"/>
  <c r="C690" i="1" s="1"/>
  <c r="D690" i="1" a="1"/>
  <c r="D690" i="1" s="1"/>
  <c r="E690" i="1"/>
  <c r="F690" i="1"/>
  <c r="G690" i="1"/>
  <c r="H690" i="1"/>
  <c r="L690" i="1" s="1"/>
  <c r="I690" i="1"/>
  <c r="A691" i="1"/>
  <c r="B691" i="1" a="1"/>
  <c r="B691" i="1" s="1"/>
  <c r="C691" i="1" s="1" a="1"/>
  <c r="C691" i="1" s="1"/>
  <c r="D691" i="1" a="1"/>
  <c r="D691" i="1" s="1"/>
  <c r="E691" i="1"/>
  <c r="F691" i="1"/>
  <c r="G691" i="1"/>
  <c r="H691" i="1"/>
  <c r="L691" i="1" s="1"/>
  <c r="I691" i="1"/>
  <c r="A692" i="1"/>
  <c r="B692" i="1" a="1"/>
  <c r="B692" i="1" s="1"/>
  <c r="C692" i="1" s="1" a="1"/>
  <c r="C692" i="1" s="1"/>
  <c r="D692" i="1" a="1"/>
  <c r="D692" i="1" s="1"/>
  <c r="E692" i="1"/>
  <c r="F692" i="1"/>
  <c r="G692" i="1"/>
  <c r="H692" i="1"/>
  <c r="L692" i="1" s="1"/>
  <c r="I692" i="1"/>
  <c r="A693" i="1"/>
  <c r="B693" i="1" a="1"/>
  <c r="B693" i="1" s="1"/>
  <c r="C693" i="1" s="1" a="1"/>
  <c r="C693" i="1" s="1"/>
  <c r="D693" i="1" a="1"/>
  <c r="D693" i="1" s="1"/>
  <c r="E693" i="1"/>
  <c r="F693" i="1"/>
  <c r="G693" i="1"/>
  <c r="H693" i="1"/>
  <c r="L693" i="1" s="1"/>
  <c r="I693" i="1"/>
  <c r="A694" i="1"/>
  <c r="B694" i="1" a="1"/>
  <c r="B694" i="1" s="1"/>
  <c r="C694" i="1" s="1" a="1"/>
  <c r="C694" i="1" s="1"/>
  <c r="D694" i="1" a="1"/>
  <c r="D694" i="1" s="1"/>
  <c r="E694" i="1"/>
  <c r="F694" i="1"/>
  <c r="G694" i="1"/>
  <c r="H694" i="1"/>
  <c r="L694" i="1" s="1"/>
  <c r="I694" i="1"/>
  <c r="A695" i="1"/>
  <c r="B695" i="1" a="1"/>
  <c r="B695" i="1" s="1"/>
  <c r="C695" i="1" s="1" a="1"/>
  <c r="C695" i="1" s="1"/>
  <c r="D695" i="1" a="1"/>
  <c r="D695" i="1" s="1"/>
  <c r="E695" i="1"/>
  <c r="F695" i="1"/>
  <c r="G695" i="1"/>
  <c r="H695" i="1"/>
  <c r="L695" i="1" s="1"/>
  <c r="I695" i="1"/>
  <c r="A696" i="1"/>
  <c r="B696" i="1" a="1"/>
  <c r="B696" i="1" s="1"/>
  <c r="C696" i="1" s="1" a="1"/>
  <c r="C696" i="1" s="1"/>
  <c r="D696" i="1" a="1"/>
  <c r="D696" i="1" s="1"/>
  <c r="E696" i="1"/>
  <c r="F696" i="1"/>
  <c r="G696" i="1"/>
  <c r="H696" i="1"/>
  <c r="L696" i="1" s="1"/>
  <c r="I696" i="1"/>
  <c r="A697" i="1"/>
  <c r="B697" i="1" a="1"/>
  <c r="B697" i="1" s="1"/>
  <c r="C697" i="1" s="1" a="1"/>
  <c r="C697" i="1" s="1"/>
  <c r="D697" i="1" a="1"/>
  <c r="D697" i="1" s="1"/>
  <c r="E697" i="1"/>
  <c r="F697" i="1"/>
  <c r="G697" i="1"/>
  <c r="H697" i="1"/>
  <c r="L697" i="1" s="1"/>
  <c r="I697" i="1"/>
  <c r="A698" i="1"/>
  <c r="B698" i="1" a="1"/>
  <c r="B698" i="1" s="1"/>
  <c r="C698" i="1" s="1" a="1"/>
  <c r="C698" i="1" s="1"/>
  <c r="D698" i="1" a="1"/>
  <c r="D698" i="1" s="1"/>
  <c r="E698" i="1"/>
  <c r="F698" i="1"/>
  <c r="G698" i="1"/>
  <c r="H698" i="1"/>
  <c r="L698" i="1" s="1"/>
  <c r="I698" i="1"/>
  <c r="A699" i="1"/>
  <c r="B699" i="1" a="1"/>
  <c r="B699" i="1" s="1"/>
  <c r="C699" i="1" s="1" a="1"/>
  <c r="C699" i="1" s="1"/>
  <c r="D699" i="1" a="1"/>
  <c r="D699" i="1" s="1"/>
  <c r="E699" i="1"/>
  <c r="F699" i="1"/>
  <c r="G699" i="1"/>
  <c r="H699" i="1"/>
  <c r="L699" i="1" s="1"/>
  <c r="I699" i="1"/>
  <c r="A700" i="1"/>
  <c r="B700" i="1" a="1"/>
  <c r="B700" i="1" s="1"/>
  <c r="C700" i="1" s="1" a="1"/>
  <c r="C700" i="1" s="1"/>
  <c r="D700" i="1" a="1"/>
  <c r="D700" i="1" s="1"/>
  <c r="E700" i="1"/>
  <c r="F700" i="1"/>
  <c r="G700" i="1"/>
  <c r="H700" i="1"/>
  <c r="L700" i="1" s="1"/>
  <c r="I700" i="1"/>
  <c r="A701" i="1"/>
  <c r="B701" i="1" a="1"/>
  <c r="B701" i="1" s="1"/>
  <c r="C701" i="1" s="1" a="1"/>
  <c r="C701" i="1" s="1"/>
  <c r="D701" i="1" a="1"/>
  <c r="D701" i="1" s="1"/>
  <c r="E701" i="1"/>
  <c r="F701" i="1"/>
  <c r="G701" i="1"/>
  <c r="H701" i="1"/>
  <c r="L701" i="1" s="1"/>
  <c r="I701" i="1"/>
  <c r="A702" i="1"/>
  <c r="B702" i="1" a="1"/>
  <c r="B702" i="1" s="1"/>
  <c r="C702" i="1" s="1" a="1"/>
  <c r="C702" i="1" s="1"/>
  <c r="D702" i="1" a="1"/>
  <c r="D702" i="1" s="1"/>
  <c r="E702" i="1"/>
  <c r="F702" i="1"/>
  <c r="G702" i="1"/>
  <c r="H702" i="1"/>
  <c r="L702" i="1" s="1"/>
  <c r="I702" i="1"/>
  <c r="A703" i="1"/>
  <c r="B703" i="1" a="1"/>
  <c r="B703" i="1" s="1"/>
  <c r="C703" i="1" s="1" a="1"/>
  <c r="C703" i="1" s="1"/>
  <c r="D703" i="1" a="1"/>
  <c r="D703" i="1" s="1"/>
  <c r="E703" i="1"/>
  <c r="F703" i="1"/>
  <c r="G703" i="1"/>
  <c r="H703" i="1"/>
  <c r="L703" i="1" s="1"/>
  <c r="I703" i="1"/>
  <c r="A704" i="1"/>
  <c r="B704" i="1" a="1"/>
  <c r="B704" i="1" s="1"/>
  <c r="C704" i="1" s="1" a="1"/>
  <c r="C704" i="1" s="1"/>
  <c r="D704" i="1" a="1"/>
  <c r="D704" i="1" s="1"/>
  <c r="E704" i="1"/>
  <c r="F704" i="1"/>
  <c r="G704" i="1"/>
  <c r="H704" i="1"/>
  <c r="L704" i="1" s="1"/>
  <c r="I704" i="1"/>
  <c r="A705" i="1"/>
  <c r="B705" i="1" a="1"/>
  <c r="B705" i="1" s="1"/>
  <c r="C705" i="1" s="1" a="1"/>
  <c r="C705" i="1" s="1"/>
  <c r="D705" i="1" a="1"/>
  <c r="D705" i="1" s="1"/>
  <c r="E705" i="1"/>
  <c r="F705" i="1"/>
  <c r="G705" i="1"/>
  <c r="H705" i="1"/>
  <c r="L705" i="1" s="1"/>
  <c r="I705" i="1"/>
  <c r="A706" i="1"/>
  <c r="B706" i="1" a="1"/>
  <c r="B706" i="1" s="1"/>
  <c r="C706" i="1" s="1" a="1"/>
  <c r="C706" i="1" s="1"/>
  <c r="D706" i="1" a="1"/>
  <c r="D706" i="1" s="1"/>
  <c r="E706" i="1"/>
  <c r="F706" i="1"/>
  <c r="G706" i="1"/>
  <c r="H706" i="1"/>
  <c r="L706" i="1" s="1"/>
  <c r="I706" i="1"/>
  <c r="A707" i="1"/>
  <c r="B707" i="1" a="1"/>
  <c r="B707" i="1" s="1"/>
  <c r="C707" i="1" s="1" a="1"/>
  <c r="C707" i="1" s="1"/>
  <c r="D707" i="1" a="1"/>
  <c r="D707" i="1" s="1"/>
  <c r="E707" i="1"/>
  <c r="F707" i="1"/>
  <c r="G707" i="1"/>
  <c r="H707" i="1"/>
  <c r="L707" i="1" s="1"/>
  <c r="I707" i="1"/>
  <c r="A708" i="1"/>
  <c r="B708" i="1" a="1"/>
  <c r="B708" i="1" s="1"/>
  <c r="C708" i="1" s="1" a="1"/>
  <c r="C708" i="1" s="1"/>
  <c r="D708" i="1" a="1"/>
  <c r="D708" i="1" s="1"/>
  <c r="E708" i="1"/>
  <c r="F708" i="1"/>
  <c r="G708" i="1"/>
  <c r="H708" i="1"/>
  <c r="L708" i="1" s="1"/>
  <c r="I708" i="1"/>
  <c r="A709" i="1"/>
  <c r="B709" i="1" a="1"/>
  <c r="B709" i="1" s="1"/>
  <c r="C709" i="1" s="1" a="1"/>
  <c r="C709" i="1" s="1"/>
  <c r="D709" i="1" a="1"/>
  <c r="D709" i="1" s="1"/>
  <c r="E709" i="1"/>
  <c r="F709" i="1"/>
  <c r="G709" i="1"/>
  <c r="H709" i="1"/>
  <c r="L709" i="1" s="1"/>
  <c r="I709" i="1"/>
  <c r="A710" i="1"/>
  <c r="B710" i="1" a="1"/>
  <c r="B710" i="1" s="1"/>
  <c r="C710" i="1" s="1" a="1"/>
  <c r="C710" i="1" s="1"/>
  <c r="D710" i="1" a="1"/>
  <c r="D710" i="1" s="1"/>
  <c r="E710" i="1"/>
  <c r="F710" i="1"/>
  <c r="G710" i="1"/>
  <c r="H710" i="1"/>
  <c r="L710" i="1" s="1"/>
  <c r="I710" i="1"/>
  <c r="A711" i="1"/>
  <c r="B711" i="1" a="1"/>
  <c r="B711" i="1" s="1"/>
  <c r="C711" i="1" s="1" a="1"/>
  <c r="C711" i="1" s="1"/>
  <c r="D711" i="1" a="1"/>
  <c r="D711" i="1" s="1"/>
  <c r="E711" i="1"/>
  <c r="F711" i="1"/>
  <c r="G711" i="1"/>
  <c r="H711" i="1"/>
  <c r="L711" i="1" s="1"/>
  <c r="I711" i="1"/>
  <c r="A712" i="1"/>
  <c r="B712" i="1" a="1"/>
  <c r="B712" i="1" s="1"/>
  <c r="C712" i="1" s="1" a="1"/>
  <c r="C712" i="1" s="1"/>
  <c r="D712" i="1" a="1"/>
  <c r="D712" i="1" s="1"/>
  <c r="E712" i="1"/>
  <c r="F712" i="1"/>
  <c r="G712" i="1"/>
  <c r="H712" i="1"/>
  <c r="L712" i="1" s="1"/>
  <c r="I712" i="1"/>
  <c r="A713" i="1"/>
  <c r="B713" i="1" a="1"/>
  <c r="B713" i="1" s="1"/>
  <c r="C713" i="1" s="1" a="1"/>
  <c r="C713" i="1" s="1"/>
  <c r="D713" i="1" a="1"/>
  <c r="D713" i="1" s="1"/>
  <c r="E713" i="1"/>
  <c r="F713" i="1"/>
  <c r="G713" i="1"/>
  <c r="H713" i="1"/>
  <c r="M713" i="1" s="1"/>
  <c r="I713" i="1"/>
  <c r="A714" i="1"/>
  <c r="B714" i="1" a="1"/>
  <c r="B714" i="1" s="1"/>
  <c r="C714" i="1" s="1" a="1"/>
  <c r="C714" i="1" s="1"/>
  <c r="D714" i="1" a="1"/>
  <c r="D714" i="1" s="1"/>
  <c r="E714" i="1"/>
  <c r="F714" i="1"/>
  <c r="G714" i="1"/>
  <c r="H714" i="1"/>
  <c r="L714" i="1" s="1"/>
  <c r="I714" i="1"/>
  <c r="A715" i="1"/>
  <c r="B715" i="1" a="1"/>
  <c r="B715" i="1" s="1"/>
  <c r="C715" i="1" s="1" a="1"/>
  <c r="C715" i="1" s="1"/>
  <c r="D715" i="1" a="1"/>
  <c r="D715" i="1" s="1"/>
  <c r="E715" i="1"/>
  <c r="F715" i="1"/>
  <c r="G715" i="1"/>
  <c r="H715" i="1"/>
  <c r="I715" i="1"/>
  <c r="A716" i="1"/>
  <c r="B716" i="1" a="1"/>
  <c r="B716" i="1" s="1"/>
  <c r="C716" i="1" s="1" a="1"/>
  <c r="C716" i="1" s="1"/>
  <c r="D716" i="1" a="1"/>
  <c r="D716" i="1" s="1"/>
  <c r="E716" i="1"/>
  <c r="F716" i="1"/>
  <c r="G716" i="1"/>
  <c r="H716" i="1"/>
  <c r="L716" i="1" s="1"/>
  <c r="I716" i="1"/>
  <c r="A717" i="1"/>
  <c r="B717" i="1" a="1"/>
  <c r="B717" i="1" s="1"/>
  <c r="C717" i="1" s="1" a="1"/>
  <c r="C717" i="1" s="1"/>
  <c r="D717" i="1" a="1"/>
  <c r="D717" i="1" s="1"/>
  <c r="E717" i="1"/>
  <c r="F717" i="1"/>
  <c r="G717" i="1"/>
  <c r="H717" i="1"/>
  <c r="L717" i="1" s="1"/>
  <c r="I717" i="1"/>
  <c r="A718" i="1"/>
  <c r="B718" i="1" a="1"/>
  <c r="B718" i="1" s="1"/>
  <c r="C718" i="1" s="1" a="1"/>
  <c r="C718" i="1" s="1"/>
  <c r="D718" i="1" a="1"/>
  <c r="D718" i="1" s="1"/>
  <c r="E718" i="1"/>
  <c r="F718" i="1"/>
  <c r="G718" i="1"/>
  <c r="H718" i="1"/>
  <c r="L718" i="1" s="1"/>
  <c r="I718" i="1"/>
  <c r="A719" i="1"/>
  <c r="B719" i="1" a="1"/>
  <c r="B719" i="1" s="1"/>
  <c r="C719" i="1" s="1" a="1"/>
  <c r="C719" i="1" s="1"/>
  <c r="D719" i="1" a="1"/>
  <c r="D719" i="1" s="1"/>
  <c r="E719" i="1"/>
  <c r="F719" i="1"/>
  <c r="G719" i="1"/>
  <c r="H719" i="1"/>
  <c r="L719" i="1" s="1"/>
  <c r="I719" i="1"/>
  <c r="A720" i="1"/>
  <c r="B720" i="1" a="1"/>
  <c r="B720" i="1" s="1"/>
  <c r="C720" i="1" s="1" a="1"/>
  <c r="C720" i="1" s="1"/>
  <c r="D720" i="1" a="1"/>
  <c r="D720" i="1" s="1"/>
  <c r="E720" i="1"/>
  <c r="F720" i="1"/>
  <c r="G720" i="1"/>
  <c r="H720" i="1"/>
  <c r="L720" i="1" s="1"/>
  <c r="I720" i="1"/>
  <c r="A721" i="1"/>
  <c r="B721" i="1" a="1"/>
  <c r="B721" i="1" s="1"/>
  <c r="C721" i="1" s="1" a="1"/>
  <c r="C721" i="1" s="1"/>
  <c r="D721" i="1" a="1"/>
  <c r="D721" i="1" s="1"/>
  <c r="E721" i="1"/>
  <c r="F721" i="1"/>
  <c r="G721" i="1"/>
  <c r="H721" i="1"/>
  <c r="L721" i="1" s="1"/>
  <c r="I721" i="1"/>
  <c r="A722" i="1"/>
  <c r="B722" i="1" a="1"/>
  <c r="B722" i="1" s="1"/>
  <c r="C722" i="1" s="1" a="1"/>
  <c r="C722" i="1" s="1"/>
  <c r="D722" i="1" a="1"/>
  <c r="D722" i="1" s="1"/>
  <c r="E722" i="1"/>
  <c r="F722" i="1"/>
  <c r="G722" i="1"/>
  <c r="H722" i="1"/>
  <c r="L722" i="1" s="1"/>
  <c r="I722" i="1"/>
  <c r="A723" i="1"/>
  <c r="B723" i="1" a="1"/>
  <c r="B723" i="1" s="1"/>
  <c r="C723" i="1" s="1" a="1"/>
  <c r="C723" i="1" s="1"/>
  <c r="D723" i="1" a="1"/>
  <c r="D723" i="1" s="1"/>
  <c r="E723" i="1"/>
  <c r="F723" i="1"/>
  <c r="G723" i="1"/>
  <c r="H723" i="1"/>
  <c r="L723" i="1" s="1"/>
  <c r="I723" i="1"/>
  <c r="A724" i="1"/>
  <c r="B724" i="1" a="1"/>
  <c r="B724" i="1" s="1"/>
  <c r="C724" i="1" s="1" a="1"/>
  <c r="C724" i="1" s="1"/>
  <c r="D724" i="1" a="1"/>
  <c r="D724" i="1" s="1"/>
  <c r="E724" i="1"/>
  <c r="F724" i="1"/>
  <c r="G724" i="1"/>
  <c r="H724" i="1"/>
  <c r="L724" i="1" s="1"/>
  <c r="I724" i="1"/>
  <c r="A725" i="1"/>
  <c r="B725" i="1" a="1"/>
  <c r="B725" i="1" s="1"/>
  <c r="C725" i="1" s="1" a="1"/>
  <c r="C725" i="1" s="1"/>
  <c r="D725" i="1" a="1"/>
  <c r="D725" i="1" s="1"/>
  <c r="E725" i="1"/>
  <c r="F725" i="1"/>
  <c r="G725" i="1"/>
  <c r="H725" i="1"/>
  <c r="L725" i="1" s="1"/>
  <c r="I725" i="1"/>
  <c r="A726" i="1"/>
  <c r="B726" i="1" a="1"/>
  <c r="B726" i="1" s="1"/>
  <c r="C726" i="1" s="1" a="1"/>
  <c r="C726" i="1" s="1"/>
  <c r="D726" i="1" a="1"/>
  <c r="D726" i="1" s="1"/>
  <c r="E726" i="1"/>
  <c r="F726" i="1"/>
  <c r="G726" i="1"/>
  <c r="H726" i="1"/>
  <c r="L726" i="1" s="1"/>
  <c r="I726" i="1"/>
  <c r="A727" i="1"/>
  <c r="B727" i="1" a="1"/>
  <c r="B727" i="1" s="1"/>
  <c r="C727" i="1" s="1" a="1"/>
  <c r="C727" i="1" s="1"/>
  <c r="D727" i="1" a="1"/>
  <c r="D727" i="1" s="1"/>
  <c r="E727" i="1"/>
  <c r="F727" i="1"/>
  <c r="G727" i="1"/>
  <c r="H727" i="1"/>
  <c r="I727" i="1"/>
  <c r="A728" i="1"/>
  <c r="B728" i="1" a="1"/>
  <c r="B728" i="1" s="1"/>
  <c r="C728" i="1" s="1" a="1"/>
  <c r="C728" i="1" s="1"/>
  <c r="D728" i="1" a="1"/>
  <c r="D728" i="1" s="1"/>
  <c r="E728" i="1"/>
  <c r="F728" i="1"/>
  <c r="G728" i="1"/>
  <c r="H728" i="1"/>
  <c r="L728" i="1" s="1"/>
  <c r="I728" i="1"/>
  <c r="A729" i="1"/>
  <c r="B729" i="1" a="1"/>
  <c r="B729" i="1" s="1"/>
  <c r="C729" i="1" s="1" a="1"/>
  <c r="C729" i="1" s="1"/>
  <c r="D729" i="1" a="1"/>
  <c r="D729" i="1" s="1"/>
  <c r="E729" i="1"/>
  <c r="F729" i="1"/>
  <c r="G729" i="1"/>
  <c r="H729" i="1"/>
  <c r="L729" i="1" s="1"/>
  <c r="I729" i="1"/>
  <c r="A730" i="1"/>
  <c r="B730" i="1" a="1"/>
  <c r="B730" i="1" s="1"/>
  <c r="C730" i="1" s="1" a="1"/>
  <c r="C730" i="1" s="1"/>
  <c r="D730" i="1" a="1"/>
  <c r="D730" i="1" s="1"/>
  <c r="E730" i="1"/>
  <c r="F730" i="1"/>
  <c r="G730" i="1"/>
  <c r="H730" i="1"/>
  <c r="L730" i="1" s="1"/>
  <c r="I730" i="1"/>
  <c r="A731" i="1"/>
  <c r="B731" i="1" a="1"/>
  <c r="B731" i="1" s="1"/>
  <c r="C731" i="1" s="1" a="1"/>
  <c r="C731" i="1" s="1"/>
  <c r="D731" i="1" a="1"/>
  <c r="D731" i="1" s="1"/>
  <c r="E731" i="1"/>
  <c r="F731" i="1"/>
  <c r="G731" i="1"/>
  <c r="H731" i="1"/>
  <c r="I731" i="1"/>
  <c r="A732" i="1"/>
  <c r="B732" i="1" a="1"/>
  <c r="B732" i="1" s="1"/>
  <c r="C732" i="1" s="1" a="1"/>
  <c r="C732" i="1" s="1"/>
  <c r="D732" i="1" a="1"/>
  <c r="D732" i="1" s="1"/>
  <c r="E732" i="1"/>
  <c r="F732" i="1"/>
  <c r="G732" i="1"/>
  <c r="H732" i="1"/>
  <c r="L732" i="1" s="1"/>
  <c r="I732" i="1"/>
  <c r="A733" i="1"/>
  <c r="B733" i="1" a="1"/>
  <c r="B733" i="1" s="1"/>
  <c r="C733" i="1" s="1" a="1"/>
  <c r="C733" i="1" s="1"/>
  <c r="D733" i="1" a="1"/>
  <c r="D733" i="1" s="1"/>
  <c r="E733" i="1"/>
  <c r="F733" i="1"/>
  <c r="G733" i="1"/>
  <c r="H733" i="1"/>
  <c r="L733" i="1" s="1"/>
  <c r="I733" i="1"/>
  <c r="A734" i="1"/>
  <c r="B734" i="1" a="1"/>
  <c r="B734" i="1" s="1"/>
  <c r="C734" i="1" s="1" a="1"/>
  <c r="C734" i="1" s="1"/>
  <c r="D734" i="1" a="1"/>
  <c r="D734" i="1" s="1"/>
  <c r="E734" i="1"/>
  <c r="F734" i="1"/>
  <c r="G734" i="1"/>
  <c r="H734" i="1"/>
  <c r="L734" i="1" s="1"/>
  <c r="I734" i="1"/>
  <c r="A735" i="1"/>
  <c r="B735" i="1" a="1"/>
  <c r="B735" i="1" s="1"/>
  <c r="C735" i="1" s="1" a="1"/>
  <c r="C735" i="1" s="1"/>
  <c r="D735" i="1" a="1"/>
  <c r="D735" i="1" s="1"/>
  <c r="E735" i="1"/>
  <c r="F735" i="1"/>
  <c r="G735" i="1"/>
  <c r="H735" i="1"/>
  <c r="L735" i="1" s="1"/>
  <c r="I735" i="1"/>
  <c r="A736" i="1"/>
  <c r="B736" i="1" a="1"/>
  <c r="B736" i="1" s="1"/>
  <c r="C736" i="1" s="1" a="1"/>
  <c r="C736" i="1" s="1"/>
  <c r="D736" i="1" a="1"/>
  <c r="D736" i="1" s="1"/>
  <c r="E736" i="1"/>
  <c r="F736" i="1"/>
  <c r="G736" i="1"/>
  <c r="H736" i="1"/>
  <c r="L736" i="1" s="1"/>
  <c r="I736" i="1"/>
  <c r="A737" i="1"/>
  <c r="B737" i="1" a="1"/>
  <c r="B737" i="1" s="1"/>
  <c r="C737" i="1" s="1" a="1"/>
  <c r="C737" i="1" s="1"/>
  <c r="D737" i="1" a="1"/>
  <c r="D737" i="1" s="1"/>
  <c r="E737" i="1"/>
  <c r="F737" i="1"/>
  <c r="G737" i="1"/>
  <c r="H737" i="1"/>
  <c r="L737" i="1" s="1"/>
  <c r="I737" i="1"/>
  <c r="A738" i="1"/>
  <c r="B738" i="1" a="1"/>
  <c r="B738" i="1" s="1"/>
  <c r="C738" i="1" s="1" a="1"/>
  <c r="C738" i="1" s="1"/>
  <c r="D738" i="1" a="1"/>
  <c r="D738" i="1" s="1"/>
  <c r="E738" i="1"/>
  <c r="F738" i="1"/>
  <c r="G738" i="1"/>
  <c r="H738" i="1"/>
  <c r="L738" i="1" s="1"/>
  <c r="I738" i="1"/>
  <c r="A739" i="1"/>
  <c r="B739" i="1" a="1"/>
  <c r="B739" i="1" s="1"/>
  <c r="C739" i="1" s="1" a="1"/>
  <c r="C739" i="1" s="1"/>
  <c r="D739" i="1" a="1"/>
  <c r="D739" i="1" s="1"/>
  <c r="E739" i="1"/>
  <c r="F739" i="1"/>
  <c r="G739" i="1"/>
  <c r="H739" i="1"/>
  <c r="L739" i="1" s="1"/>
  <c r="I739" i="1"/>
  <c r="A740" i="1"/>
  <c r="B740" i="1" a="1"/>
  <c r="B740" i="1" s="1"/>
  <c r="C740" i="1" s="1" a="1"/>
  <c r="C740" i="1" s="1"/>
  <c r="D740" i="1" a="1"/>
  <c r="D740" i="1" s="1"/>
  <c r="E740" i="1"/>
  <c r="F740" i="1"/>
  <c r="G740" i="1"/>
  <c r="H740" i="1"/>
  <c r="L740" i="1" s="1"/>
  <c r="I740" i="1"/>
  <c r="A741" i="1"/>
  <c r="B741" i="1" a="1"/>
  <c r="B741" i="1" s="1"/>
  <c r="C741" i="1" s="1" a="1"/>
  <c r="C741" i="1" s="1"/>
  <c r="D741" i="1" a="1"/>
  <c r="D741" i="1" s="1"/>
  <c r="E741" i="1"/>
  <c r="F741" i="1"/>
  <c r="G741" i="1"/>
  <c r="H741" i="1"/>
  <c r="L741" i="1" s="1"/>
  <c r="I741" i="1"/>
  <c r="A742" i="1"/>
  <c r="B742" i="1" a="1"/>
  <c r="B742" i="1" s="1"/>
  <c r="C742" i="1" s="1" a="1"/>
  <c r="C742" i="1" s="1"/>
  <c r="D742" i="1" a="1"/>
  <c r="D742" i="1" s="1"/>
  <c r="E742" i="1"/>
  <c r="F742" i="1"/>
  <c r="G742" i="1"/>
  <c r="H742" i="1"/>
  <c r="L742" i="1" s="1"/>
  <c r="I742" i="1"/>
  <c r="A743" i="1"/>
  <c r="B743" i="1" a="1"/>
  <c r="B743" i="1" s="1"/>
  <c r="C743" i="1" s="1" a="1"/>
  <c r="C743" i="1" s="1"/>
  <c r="D743" i="1" a="1"/>
  <c r="D743" i="1" s="1"/>
  <c r="E743" i="1"/>
  <c r="F743" i="1"/>
  <c r="G743" i="1"/>
  <c r="H743" i="1"/>
  <c r="L743" i="1" s="1"/>
  <c r="I743" i="1"/>
  <c r="A744" i="1"/>
  <c r="B744" i="1" a="1"/>
  <c r="B744" i="1" s="1"/>
  <c r="C744" i="1" s="1" a="1"/>
  <c r="C744" i="1" s="1"/>
  <c r="D744" i="1" a="1"/>
  <c r="D744" i="1" s="1"/>
  <c r="E744" i="1"/>
  <c r="F744" i="1"/>
  <c r="G744" i="1"/>
  <c r="H744" i="1"/>
  <c r="L744" i="1" s="1"/>
  <c r="I744" i="1"/>
  <c r="A745" i="1"/>
  <c r="B745" i="1" a="1"/>
  <c r="B745" i="1" s="1"/>
  <c r="C745" i="1" s="1" a="1"/>
  <c r="C745" i="1" s="1"/>
  <c r="D745" i="1" a="1"/>
  <c r="D745" i="1" s="1"/>
  <c r="E745" i="1"/>
  <c r="F745" i="1"/>
  <c r="G745" i="1"/>
  <c r="H745" i="1"/>
  <c r="L745" i="1" s="1"/>
  <c r="I745" i="1"/>
  <c r="A746" i="1"/>
  <c r="B746" i="1" a="1"/>
  <c r="B746" i="1" s="1"/>
  <c r="C746" i="1" s="1" a="1"/>
  <c r="C746" i="1" s="1"/>
  <c r="D746" i="1" a="1"/>
  <c r="D746" i="1" s="1"/>
  <c r="E746" i="1"/>
  <c r="F746" i="1"/>
  <c r="G746" i="1"/>
  <c r="H746" i="1"/>
  <c r="I746" i="1"/>
  <c r="A747" i="1"/>
  <c r="B747" i="1" a="1"/>
  <c r="B747" i="1" s="1"/>
  <c r="C747" i="1" s="1" a="1"/>
  <c r="C747" i="1" s="1"/>
  <c r="D747" i="1" a="1"/>
  <c r="D747" i="1" s="1"/>
  <c r="E747" i="1"/>
  <c r="F747" i="1"/>
  <c r="G747" i="1"/>
  <c r="H747" i="1"/>
  <c r="I747" i="1"/>
  <c r="A748" i="1"/>
  <c r="B748" i="1" a="1"/>
  <c r="B748" i="1" s="1"/>
  <c r="C748" i="1" s="1" a="1"/>
  <c r="C748" i="1" s="1"/>
  <c r="D748" i="1" a="1"/>
  <c r="D748" i="1" s="1"/>
  <c r="E748" i="1"/>
  <c r="F748" i="1"/>
  <c r="G748" i="1"/>
  <c r="H748" i="1"/>
  <c r="L748" i="1" s="1"/>
  <c r="I748" i="1"/>
  <c r="A749" i="1"/>
  <c r="B749" i="1" a="1"/>
  <c r="B749" i="1" s="1"/>
  <c r="C749" i="1" s="1" a="1"/>
  <c r="C749" i="1" s="1"/>
  <c r="D749" i="1" a="1"/>
  <c r="D749" i="1" s="1"/>
  <c r="E749" i="1"/>
  <c r="F749" i="1"/>
  <c r="G749" i="1"/>
  <c r="H749" i="1"/>
  <c r="L749" i="1" s="1"/>
  <c r="I749" i="1"/>
  <c r="A750" i="1"/>
  <c r="B750" i="1" a="1"/>
  <c r="B750" i="1" s="1"/>
  <c r="C750" i="1" s="1" a="1"/>
  <c r="C750" i="1" s="1"/>
  <c r="D750" i="1" a="1"/>
  <c r="D750" i="1" s="1"/>
  <c r="E750" i="1"/>
  <c r="F750" i="1"/>
  <c r="G750" i="1"/>
  <c r="H750" i="1"/>
  <c r="I750" i="1"/>
  <c r="A751" i="1"/>
  <c r="B751" i="1" a="1"/>
  <c r="B751" i="1" s="1"/>
  <c r="C751" i="1" s="1" a="1"/>
  <c r="C751" i="1" s="1"/>
  <c r="D751" i="1" a="1"/>
  <c r="D751" i="1" s="1"/>
  <c r="E751" i="1"/>
  <c r="F751" i="1"/>
  <c r="G751" i="1"/>
  <c r="H751" i="1"/>
  <c r="M751" i="1" s="1"/>
  <c r="I751" i="1"/>
  <c r="A752" i="1"/>
  <c r="B752" i="1" a="1"/>
  <c r="B752" i="1" s="1"/>
  <c r="C752" i="1" s="1" a="1"/>
  <c r="C752" i="1" s="1"/>
  <c r="D752" i="1" a="1"/>
  <c r="D752" i="1" s="1"/>
  <c r="E752" i="1"/>
  <c r="F752" i="1"/>
  <c r="G752" i="1"/>
  <c r="H752" i="1"/>
  <c r="I752" i="1"/>
  <c r="A753" i="1"/>
  <c r="B753" i="1" a="1"/>
  <c r="B753" i="1" s="1"/>
  <c r="C753" i="1" s="1" a="1"/>
  <c r="C753" i="1" s="1"/>
  <c r="D753" i="1" a="1"/>
  <c r="D753" i="1" s="1"/>
  <c r="E753" i="1"/>
  <c r="F753" i="1"/>
  <c r="G753" i="1"/>
  <c r="H753" i="1"/>
  <c r="M753" i="1" s="1"/>
  <c r="I753" i="1"/>
  <c r="A754" i="1"/>
  <c r="B754" i="1" a="1"/>
  <c r="B754" i="1" s="1"/>
  <c r="C754" i="1" s="1" a="1"/>
  <c r="C754" i="1" s="1"/>
  <c r="D754" i="1" a="1"/>
  <c r="D754" i="1" s="1"/>
  <c r="E754" i="1"/>
  <c r="F754" i="1"/>
  <c r="G754" i="1"/>
  <c r="H754" i="1"/>
  <c r="L754" i="1" s="1"/>
  <c r="I754" i="1"/>
  <c r="A755" i="1"/>
  <c r="B755" i="1" a="1"/>
  <c r="B755" i="1" s="1"/>
  <c r="C755" i="1" s="1" a="1"/>
  <c r="C755" i="1" s="1"/>
  <c r="D755" i="1" a="1"/>
  <c r="D755" i="1" s="1"/>
  <c r="E755" i="1"/>
  <c r="F755" i="1"/>
  <c r="G755" i="1"/>
  <c r="H755" i="1"/>
  <c r="I755" i="1"/>
  <c r="A756" i="1"/>
  <c r="B756" i="1" a="1"/>
  <c r="B756" i="1" s="1"/>
  <c r="C756" i="1" s="1" a="1"/>
  <c r="C756" i="1" s="1"/>
  <c r="D756" i="1" a="1"/>
  <c r="D756" i="1" s="1"/>
  <c r="E756" i="1"/>
  <c r="F756" i="1"/>
  <c r="G756" i="1"/>
  <c r="H756" i="1"/>
  <c r="I756" i="1"/>
  <c r="A757" i="1"/>
  <c r="B757" i="1" a="1"/>
  <c r="B757" i="1" s="1"/>
  <c r="C757" i="1" s="1" a="1"/>
  <c r="C757" i="1" s="1"/>
  <c r="D757" i="1" a="1"/>
  <c r="D757" i="1" s="1"/>
  <c r="E757" i="1"/>
  <c r="F757" i="1"/>
  <c r="G757" i="1"/>
  <c r="H757" i="1"/>
  <c r="I757" i="1"/>
  <c r="A758" i="1"/>
  <c r="B758" i="1" a="1"/>
  <c r="B758" i="1" s="1"/>
  <c r="C758" i="1" s="1" a="1"/>
  <c r="C758" i="1" s="1"/>
  <c r="D758" i="1" a="1"/>
  <c r="D758" i="1" s="1"/>
  <c r="E758" i="1"/>
  <c r="F758" i="1"/>
  <c r="G758" i="1"/>
  <c r="H758" i="1"/>
  <c r="L758" i="1" s="1"/>
  <c r="I758" i="1"/>
  <c r="A759" i="1"/>
  <c r="B759" i="1" a="1"/>
  <c r="B759" i="1" s="1"/>
  <c r="C759" i="1" s="1" a="1"/>
  <c r="C759" i="1" s="1"/>
  <c r="D759" i="1" a="1"/>
  <c r="D759" i="1" s="1"/>
  <c r="E759" i="1"/>
  <c r="F759" i="1"/>
  <c r="G759" i="1"/>
  <c r="H759" i="1"/>
  <c r="L759" i="1" s="1"/>
  <c r="I759" i="1"/>
  <c r="A760" i="1"/>
  <c r="B760" i="1" a="1"/>
  <c r="B760" i="1" s="1"/>
  <c r="C760" i="1" s="1" a="1"/>
  <c r="C760" i="1" s="1"/>
  <c r="D760" i="1" a="1"/>
  <c r="D760" i="1" s="1"/>
  <c r="E760" i="1"/>
  <c r="F760" i="1"/>
  <c r="G760" i="1"/>
  <c r="H760" i="1"/>
  <c r="L760" i="1" s="1"/>
  <c r="I760" i="1"/>
  <c r="A761" i="1"/>
  <c r="B761" i="1" a="1"/>
  <c r="B761" i="1" s="1"/>
  <c r="C761" i="1" s="1" a="1"/>
  <c r="C761" i="1" s="1"/>
  <c r="D761" i="1" a="1"/>
  <c r="D761" i="1" s="1"/>
  <c r="E761" i="1"/>
  <c r="F761" i="1"/>
  <c r="G761" i="1"/>
  <c r="H761" i="1"/>
  <c r="M761" i="1" s="1"/>
  <c r="I761" i="1"/>
  <c r="A762" i="1"/>
  <c r="B762" i="1" a="1"/>
  <c r="B762" i="1" s="1"/>
  <c r="C762" i="1" s="1" a="1"/>
  <c r="C762" i="1" s="1"/>
  <c r="D762" i="1" a="1"/>
  <c r="D762" i="1" s="1"/>
  <c r="E762" i="1"/>
  <c r="F762" i="1"/>
  <c r="G762" i="1"/>
  <c r="H762" i="1"/>
  <c r="L762" i="1" s="1"/>
  <c r="I762" i="1"/>
  <c r="A763" i="1"/>
  <c r="B763" i="1" a="1"/>
  <c r="B763" i="1" s="1"/>
  <c r="C763" i="1" s="1" a="1"/>
  <c r="C763" i="1" s="1"/>
  <c r="D763" i="1" a="1"/>
  <c r="D763" i="1" s="1"/>
  <c r="E763" i="1"/>
  <c r="F763" i="1"/>
  <c r="G763" i="1"/>
  <c r="H763" i="1"/>
  <c r="L763" i="1" s="1"/>
  <c r="I763" i="1"/>
  <c r="A764" i="1"/>
  <c r="B764" i="1" a="1"/>
  <c r="B764" i="1" s="1"/>
  <c r="C764" i="1" s="1" a="1"/>
  <c r="C764" i="1" s="1"/>
  <c r="D764" i="1" a="1"/>
  <c r="D764" i="1" s="1"/>
  <c r="E764" i="1"/>
  <c r="F764" i="1"/>
  <c r="G764" i="1"/>
  <c r="H764" i="1"/>
  <c r="L764" i="1" s="1"/>
  <c r="I764" i="1"/>
  <c r="A765" i="1"/>
  <c r="B765" i="1" a="1"/>
  <c r="B765" i="1" s="1"/>
  <c r="C765" i="1" s="1" a="1"/>
  <c r="C765" i="1" s="1"/>
  <c r="D765" i="1" a="1"/>
  <c r="D765" i="1" s="1"/>
  <c r="E765" i="1"/>
  <c r="F765" i="1"/>
  <c r="G765" i="1"/>
  <c r="H765" i="1"/>
  <c r="I765" i="1"/>
  <c r="A766" i="1"/>
  <c r="B766" i="1" a="1"/>
  <c r="B766" i="1" s="1"/>
  <c r="C766" i="1" s="1" a="1"/>
  <c r="C766" i="1" s="1"/>
  <c r="D766" i="1" a="1"/>
  <c r="D766" i="1" s="1"/>
  <c r="E766" i="1"/>
  <c r="F766" i="1"/>
  <c r="G766" i="1"/>
  <c r="H766" i="1"/>
  <c r="L766" i="1" s="1"/>
  <c r="I766" i="1"/>
  <c r="A767" i="1"/>
  <c r="B767" i="1" a="1"/>
  <c r="B767" i="1" s="1"/>
  <c r="C767" i="1" s="1" a="1"/>
  <c r="C767" i="1" s="1"/>
  <c r="D767" i="1" a="1"/>
  <c r="D767" i="1" s="1"/>
  <c r="E767" i="1"/>
  <c r="F767" i="1"/>
  <c r="G767" i="1"/>
  <c r="H767" i="1"/>
  <c r="I767" i="1"/>
  <c r="A768" i="1"/>
  <c r="B768" i="1" a="1"/>
  <c r="B768" i="1" s="1"/>
  <c r="C768" i="1" s="1" a="1"/>
  <c r="C768" i="1" s="1"/>
  <c r="D768" i="1" a="1"/>
  <c r="D768" i="1" s="1"/>
  <c r="E768" i="1"/>
  <c r="F768" i="1"/>
  <c r="G768" i="1"/>
  <c r="H768" i="1"/>
  <c r="L768" i="1" s="1"/>
  <c r="I768" i="1"/>
  <c r="A769" i="1"/>
  <c r="B769" i="1" a="1"/>
  <c r="B769" i="1" s="1"/>
  <c r="C769" i="1" s="1" a="1"/>
  <c r="C769" i="1" s="1"/>
  <c r="D769" i="1" a="1"/>
  <c r="D769" i="1" s="1"/>
  <c r="E769" i="1"/>
  <c r="F769" i="1"/>
  <c r="G769" i="1"/>
  <c r="H769" i="1"/>
  <c r="M769" i="1" s="1"/>
  <c r="I769" i="1"/>
  <c r="A770" i="1"/>
  <c r="B770" i="1" a="1"/>
  <c r="B770" i="1" s="1"/>
  <c r="C770" i="1" s="1" a="1"/>
  <c r="C770" i="1" s="1"/>
  <c r="D770" i="1" a="1"/>
  <c r="D770" i="1" s="1"/>
  <c r="E770" i="1"/>
  <c r="F770" i="1"/>
  <c r="G770" i="1"/>
  <c r="H770" i="1"/>
  <c r="I770" i="1"/>
  <c r="A771" i="1"/>
  <c r="B771" i="1" a="1"/>
  <c r="B771" i="1" s="1"/>
  <c r="C771" i="1" s="1" a="1"/>
  <c r="C771" i="1" s="1"/>
  <c r="D771" i="1" a="1"/>
  <c r="D771" i="1" s="1"/>
  <c r="E771" i="1"/>
  <c r="F771" i="1"/>
  <c r="G771" i="1"/>
  <c r="H771" i="1"/>
  <c r="I771" i="1"/>
  <c r="A772" i="1"/>
  <c r="B772" i="1" a="1"/>
  <c r="B772" i="1" s="1"/>
  <c r="C772" i="1" s="1" a="1"/>
  <c r="C772" i="1" s="1"/>
  <c r="D772" i="1" a="1"/>
  <c r="D772" i="1" s="1"/>
  <c r="E772" i="1"/>
  <c r="F772" i="1"/>
  <c r="G772" i="1"/>
  <c r="H772" i="1"/>
  <c r="L772" i="1" s="1"/>
  <c r="I772" i="1"/>
  <c r="A773" i="1"/>
  <c r="B773" i="1" a="1"/>
  <c r="B773" i="1" s="1"/>
  <c r="C773" i="1" s="1" a="1"/>
  <c r="C773" i="1" s="1"/>
  <c r="D773" i="1" a="1"/>
  <c r="D773" i="1" s="1"/>
  <c r="E773" i="1"/>
  <c r="F773" i="1"/>
  <c r="G773" i="1"/>
  <c r="H773" i="1"/>
  <c r="M773" i="1" s="1"/>
  <c r="I773" i="1"/>
  <c r="A774" i="1"/>
  <c r="B774" i="1" a="1"/>
  <c r="B774" i="1" s="1"/>
  <c r="C774" i="1" s="1" a="1"/>
  <c r="C774" i="1" s="1"/>
  <c r="D774" i="1" a="1"/>
  <c r="D774" i="1" s="1"/>
  <c r="E774" i="1"/>
  <c r="F774" i="1"/>
  <c r="G774" i="1"/>
  <c r="H774" i="1"/>
  <c r="L774" i="1" s="1"/>
  <c r="I774" i="1"/>
  <c r="A775" i="1"/>
  <c r="B775" i="1" a="1"/>
  <c r="B775" i="1" s="1"/>
  <c r="C775" i="1" s="1" a="1"/>
  <c r="C775" i="1" s="1"/>
  <c r="D775" i="1" a="1"/>
  <c r="D775" i="1" s="1"/>
  <c r="E775" i="1"/>
  <c r="F775" i="1"/>
  <c r="G775" i="1"/>
  <c r="H775" i="1"/>
  <c r="I775" i="1"/>
  <c r="A776" i="1"/>
  <c r="B776" i="1" a="1"/>
  <c r="B776" i="1" s="1"/>
  <c r="C776" i="1" s="1" a="1"/>
  <c r="C776" i="1" s="1"/>
  <c r="D776" i="1" a="1"/>
  <c r="D776" i="1" s="1"/>
  <c r="E776" i="1"/>
  <c r="F776" i="1"/>
  <c r="G776" i="1"/>
  <c r="H776" i="1"/>
  <c r="L776" i="1" s="1"/>
  <c r="I776" i="1"/>
  <c r="A777" i="1"/>
  <c r="B777" i="1" a="1"/>
  <c r="B777" i="1" s="1"/>
  <c r="C777" i="1" s="1" a="1"/>
  <c r="C777" i="1" s="1"/>
  <c r="D777" i="1" a="1"/>
  <c r="D777" i="1" s="1"/>
  <c r="E777" i="1"/>
  <c r="F777" i="1"/>
  <c r="G777" i="1"/>
  <c r="H777" i="1"/>
  <c r="M777" i="1" s="1"/>
  <c r="I777" i="1"/>
  <c r="A778" i="1"/>
  <c r="B778" i="1" a="1"/>
  <c r="B778" i="1" s="1"/>
  <c r="C778" i="1" s="1" a="1"/>
  <c r="C778" i="1" s="1"/>
  <c r="D778" i="1" a="1"/>
  <c r="D778" i="1" s="1"/>
  <c r="E778" i="1"/>
  <c r="F778" i="1"/>
  <c r="G778" i="1"/>
  <c r="H778" i="1"/>
  <c r="L778" i="1" s="1"/>
  <c r="I778" i="1"/>
  <c r="A779" i="1"/>
  <c r="B779" i="1" a="1"/>
  <c r="B779" i="1" s="1"/>
  <c r="C779" i="1" s="1" a="1"/>
  <c r="C779" i="1" s="1"/>
  <c r="D779" i="1" a="1"/>
  <c r="D779" i="1" s="1"/>
  <c r="E779" i="1"/>
  <c r="F779" i="1"/>
  <c r="G779" i="1"/>
  <c r="H779" i="1"/>
  <c r="M779" i="1" s="1"/>
  <c r="I779" i="1"/>
  <c r="A780" i="1"/>
  <c r="B780" i="1" a="1"/>
  <c r="B780" i="1" s="1"/>
  <c r="C780" i="1" s="1" a="1"/>
  <c r="C780" i="1" s="1"/>
  <c r="D780" i="1" a="1"/>
  <c r="D780" i="1" s="1"/>
  <c r="E780" i="1"/>
  <c r="F780" i="1"/>
  <c r="G780" i="1"/>
  <c r="H780" i="1"/>
  <c r="L780" i="1" s="1"/>
  <c r="I780" i="1"/>
  <c r="A781" i="1"/>
  <c r="B781" i="1" a="1"/>
  <c r="B781" i="1" s="1"/>
  <c r="C781" i="1" s="1" a="1"/>
  <c r="C781" i="1" s="1"/>
  <c r="D781" i="1" a="1"/>
  <c r="D781" i="1" s="1"/>
  <c r="E781" i="1"/>
  <c r="F781" i="1"/>
  <c r="G781" i="1"/>
  <c r="H781" i="1"/>
  <c r="M781" i="1" s="1"/>
  <c r="I781" i="1"/>
  <c r="A782" i="1"/>
  <c r="B782" i="1" a="1"/>
  <c r="B782" i="1" s="1"/>
  <c r="C782" i="1" s="1" a="1"/>
  <c r="C782" i="1" s="1"/>
  <c r="D782" i="1" a="1"/>
  <c r="D782" i="1" s="1"/>
  <c r="E782" i="1"/>
  <c r="F782" i="1"/>
  <c r="G782" i="1"/>
  <c r="H782" i="1"/>
  <c r="L782" i="1" s="1"/>
  <c r="I782" i="1"/>
  <c r="A783" i="1"/>
  <c r="B783" i="1" a="1"/>
  <c r="B783" i="1" s="1"/>
  <c r="C783" i="1" s="1" a="1"/>
  <c r="C783" i="1" s="1"/>
  <c r="D783" i="1" a="1"/>
  <c r="D783" i="1" s="1"/>
  <c r="E783" i="1"/>
  <c r="F783" i="1"/>
  <c r="G783" i="1"/>
  <c r="H783" i="1"/>
  <c r="I783" i="1"/>
  <c r="A784" i="1"/>
  <c r="B784" i="1" a="1"/>
  <c r="B784" i="1" s="1"/>
  <c r="C784" i="1" s="1" a="1"/>
  <c r="C784" i="1" s="1"/>
  <c r="D784" i="1" a="1"/>
  <c r="D784" i="1" s="1"/>
  <c r="E784" i="1"/>
  <c r="F784" i="1"/>
  <c r="G784" i="1"/>
  <c r="H784" i="1"/>
  <c r="L784" i="1" s="1"/>
  <c r="I784" i="1"/>
  <c r="A785" i="1"/>
  <c r="B785" i="1" a="1"/>
  <c r="B785" i="1" s="1"/>
  <c r="C785" i="1" s="1" a="1"/>
  <c r="C785" i="1" s="1"/>
  <c r="D785" i="1" a="1"/>
  <c r="D785" i="1" s="1"/>
  <c r="E785" i="1"/>
  <c r="F785" i="1"/>
  <c r="G785" i="1"/>
  <c r="H785" i="1"/>
  <c r="I785" i="1"/>
  <c r="A786" i="1"/>
  <c r="B786" i="1" a="1"/>
  <c r="B786" i="1" s="1"/>
  <c r="C786" i="1" s="1" a="1"/>
  <c r="C786" i="1" s="1"/>
  <c r="D786" i="1" a="1"/>
  <c r="D786" i="1" s="1"/>
  <c r="E786" i="1"/>
  <c r="F786" i="1"/>
  <c r="G786" i="1"/>
  <c r="H786" i="1"/>
  <c r="L786" i="1" s="1"/>
  <c r="I786" i="1"/>
  <c r="A787" i="1"/>
  <c r="B787" i="1" a="1"/>
  <c r="B787" i="1" s="1"/>
  <c r="C787" i="1" s="1" a="1"/>
  <c r="C787" i="1" s="1"/>
  <c r="D787" i="1" a="1"/>
  <c r="D787" i="1" s="1"/>
  <c r="E787" i="1"/>
  <c r="F787" i="1"/>
  <c r="G787" i="1"/>
  <c r="H787" i="1"/>
  <c r="I787" i="1"/>
  <c r="A788" i="1"/>
  <c r="B788" i="1" a="1"/>
  <c r="B788" i="1" s="1"/>
  <c r="C788" i="1" s="1" a="1"/>
  <c r="C788" i="1" s="1"/>
  <c r="D788" i="1" a="1"/>
  <c r="D788" i="1" s="1"/>
  <c r="E788" i="1"/>
  <c r="F788" i="1"/>
  <c r="G788" i="1"/>
  <c r="H788" i="1"/>
  <c r="L788" i="1" s="1"/>
  <c r="I788" i="1"/>
  <c r="A789" i="1"/>
  <c r="B789" i="1" a="1"/>
  <c r="B789" i="1" s="1"/>
  <c r="C789" i="1" s="1" a="1"/>
  <c r="C789" i="1" s="1"/>
  <c r="D789" i="1" a="1"/>
  <c r="D789" i="1" s="1"/>
  <c r="E789" i="1"/>
  <c r="F789" i="1"/>
  <c r="G789" i="1"/>
  <c r="H789" i="1"/>
  <c r="M789" i="1" s="1"/>
  <c r="I789" i="1"/>
  <c r="A790" i="1"/>
  <c r="B790" i="1" a="1"/>
  <c r="B790" i="1" s="1"/>
  <c r="C790" i="1" s="1" a="1"/>
  <c r="C790" i="1" s="1"/>
  <c r="D790" i="1" a="1"/>
  <c r="D790" i="1" s="1"/>
  <c r="E790" i="1"/>
  <c r="F790" i="1"/>
  <c r="G790" i="1"/>
  <c r="H790" i="1"/>
  <c r="L790" i="1" s="1"/>
  <c r="I790" i="1"/>
  <c r="A791" i="1"/>
  <c r="B791" i="1" a="1"/>
  <c r="B791" i="1" s="1"/>
  <c r="C791" i="1" s="1" a="1"/>
  <c r="C791" i="1" s="1"/>
  <c r="D791" i="1" a="1"/>
  <c r="D791" i="1" s="1"/>
  <c r="E791" i="1"/>
  <c r="F791" i="1"/>
  <c r="G791" i="1"/>
  <c r="H791" i="1"/>
  <c r="I791" i="1"/>
  <c r="A792" i="1"/>
  <c r="B792" i="1" a="1"/>
  <c r="B792" i="1" s="1"/>
  <c r="C792" i="1" s="1" a="1"/>
  <c r="C792" i="1" s="1"/>
  <c r="D792" i="1" a="1"/>
  <c r="D792" i="1" s="1"/>
  <c r="E792" i="1"/>
  <c r="F792" i="1"/>
  <c r="G792" i="1"/>
  <c r="H792" i="1"/>
  <c r="L792" i="1" s="1"/>
  <c r="I792" i="1"/>
  <c r="A793" i="1"/>
  <c r="B793" i="1" a="1"/>
  <c r="B793" i="1" s="1"/>
  <c r="C793" i="1" s="1" a="1"/>
  <c r="C793" i="1" s="1"/>
  <c r="D793" i="1" a="1"/>
  <c r="D793" i="1" s="1"/>
  <c r="E793" i="1"/>
  <c r="F793" i="1"/>
  <c r="G793" i="1"/>
  <c r="H793" i="1"/>
  <c r="M793" i="1" s="1"/>
  <c r="I793" i="1"/>
  <c r="A794" i="1"/>
  <c r="B794" i="1" a="1"/>
  <c r="B794" i="1" s="1"/>
  <c r="C794" i="1" s="1" a="1"/>
  <c r="C794" i="1" s="1"/>
  <c r="D794" i="1" a="1"/>
  <c r="D794" i="1" s="1"/>
  <c r="E794" i="1"/>
  <c r="F794" i="1"/>
  <c r="G794" i="1"/>
  <c r="H794" i="1"/>
  <c r="L794" i="1" s="1"/>
  <c r="I794" i="1"/>
  <c r="A795" i="1"/>
  <c r="B795" i="1" a="1"/>
  <c r="B795" i="1" s="1"/>
  <c r="C795" i="1" s="1" a="1"/>
  <c r="C795" i="1" s="1"/>
  <c r="D795" i="1" a="1"/>
  <c r="D795" i="1" s="1"/>
  <c r="E795" i="1"/>
  <c r="F795" i="1"/>
  <c r="G795" i="1"/>
  <c r="H795" i="1"/>
  <c r="M795" i="1" s="1"/>
  <c r="I795" i="1"/>
  <c r="A796" i="1"/>
  <c r="B796" i="1" a="1"/>
  <c r="B796" i="1" s="1"/>
  <c r="C796" i="1" s="1" a="1"/>
  <c r="C796" i="1" s="1"/>
  <c r="D796" i="1" a="1"/>
  <c r="D796" i="1" s="1"/>
  <c r="E796" i="1"/>
  <c r="F796" i="1"/>
  <c r="G796" i="1"/>
  <c r="H796" i="1"/>
  <c r="L796" i="1" s="1"/>
  <c r="I796" i="1"/>
  <c r="A797" i="1"/>
  <c r="B797" i="1" a="1"/>
  <c r="B797" i="1" s="1"/>
  <c r="C797" i="1" s="1" a="1"/>
  <c r="C797" i="1" s="1"/>
  <c r="D797" i="1" a="1"/>
  <c r="D797" i="1" s="1"/>
  <c r="E797" i="1"/>
  <c r="F797" i="1"/>
  <c r="G797" i="1"/>
  <c r="H797" i="1"/>
  <c r="M797" i="1" s="1"/>
  <c r="I797" i="1"/>
  <c r="A798" i="1"/>
  <c r="B798" i="1" a="1"/>
  <c r="B798" i="1" s="1"/>
  <c r="C798" i="1" s="1" a="1"/>
  <c r="C798" i="1" s="1"/>
  <c r="D798" i="1" a="1"/>
  <c r="D798" i="1" s="1"/>
  <c r="E798" i="1"/>
  <c r="F798" i="1"/>
  <c r="G798" i="1"/>
  <c r="H798" i="1"/>
  <c r="L798" i="1" s="1"/>
  <c r="I798" i="1"/>
  <c r="A799" i="1"/>
  <c r="B799" i="1" a="1"/>
  <c r="B799" i="1" s="1"/>
  <c r="C799" i="1" s="1" a="1"/>
  <c r="C799" i="1" s="1"/>
  <c r="D799" i="1" a="1"/>
  <c r="D799" i="1" s="1"/>
  <c r="E799" i="1"/>
  <c r="F799" i="1"/>
  <c r="G799" i="1"/>
  <c r="H799" i="1"/>
  <c r="I799" i="1"/>
  <c r="A800" i="1"/>
  <c r="B800" i="1" a="1"/>
  <c r="B800" i="1" s="1"/>
  <c r="C800" i="1" s="1" a="1"/>
  <c r="C800" i="1" s="1"/>
  <c r="D800" i="1" a="1"/>
  <c r="D800" i="1" s="1"/>
  <c r="E800" i="1"/>
  <c r="F800" i="1"/>
  <c r="G800" i="1"/>
  <c r="H800" i="1"/>
  <c r="L800" i="1" s="1"/>
  <c r="I800" i="1"/>
  <c r="A801" i="1"/>
  <c r="B801" i="1" a="1"/>
  <c r="B801" i="1" s="1"/>
  <c r="C801" i="1" s="1" a="1"/>
  <c r="C801" i="1" s="1"/>
  <c r="D801" i="1" a="1"/>
  <c r="D801" i="1" s="1"/>
  <c r="E801" i="1"/>
  <c r="F801" i="1"/>
  <c r="G801" i="1"/>
  <c r="H801" i="1"/>
  <c r="M801" i="1" s="1"/>
  <c r="I801" i="1"/>
  <c r="A802" i="1"/>
  <c r="B802" i="1" a="1"/>
  <c r="B802" i="1" s="1"/>
  <c r="C802" i="1" s="1" a="1"/>
  <c r="C802" i="1" s="1"/>
  <c r="D802" i="1" a="1"/>
  <c r="D802" i="1" s="1"/>
  <c r="E802" i="1"/>
  <c r="F802" i="1"/>
  <c r="G802" i="1"/>
  <c r="H802" i="1"/>
  <c r="L802" i="1" s="1"/>
  <c r="I802" i="1"/>
  <c r="A803" i="1"/>
  <c r="B803" i="1" a="1"/>
  <c r="B803" i="1" s="1"/>
  <c r="C803" i="1" s="1" a="1"/>
  <c r="C803" i="1" s="1"/>
  <c r="D803" i="1" a="1"/>
  <c r="D803" i="1" s="1"/>
  <c r="E803" i="1"/>
  <c r="F803" i="1"/>
  <c r="G803" i="1"/>
  <c r="H803" i="1"/>
  <c r="M803" i="1" s="1"/>
  <c r="I803" i="1"/>
  <c r="A804" i="1"/>
  <c r="B804" i="1" a="1"/>
  <c r="B804" i="1" s="1"/>
  <c r="C804" i="1" s="1" a="1"/>
  <c r="C804" i="1" s="1"/>
  <c r="D804" i="1" a="1"/>
  <c r="D804" i="1" s="1"/>
  <c r="E804" i="1"/>
  <c r="F804" i="1"/>
  <c r="G804" i="1"/>
  <c r="H804" i="1"/>
  <c r="L804" i="1" s="1"/>
  <c r="I804" i="1"/>
  <c r="A805" i="1"/>
  <c r="B805" i="1" a="1"/>
  <c r="B805" i="1" s="1"/>
  <c r="C805" i="1" s="1" a="1"/>
  <c r="C805" i="1" s="1"/>
  <c r="D805" i="1" a="1"/>
  <c r="D805" i="1" s="1"/>
  <c r="E805" i="1"/>
  <c r="F805" i="1"/>
  <c r="G805" i="1"/>
  <c r="H805" i="1"/>
  <c r="M805" i="1" s="1"/>
  <c r="I805" i="1"/>
  <c r="A806" i="1"/>
  <c r="B806" i="1" a="1"/>
  <c r="B806" i="1" s="1"/>
  <c r="C806" i="1" s="1" a="1"/>
  <c r="C806" i="1" s="1"/>
  <c r="D806" i="1" a="1"/>
  <c r="D806" i="1" s="1"/>
  <c r="E806" i="1"/>
  <c r="F806" i="1"/>
  <c r="G806" i="1"/>
  <c r="H806" i="1"/>
  <c r="L806" i="1" s="1"/>
  <c r="I806" i="1"/>
  <c r="A807" i="1"/>
  <c r="B807" i="1" a="1"/>
  <c r="B807" i="1" s="1"/>
  <c r="C807" i="1" s="1" a="1"/>
  <c r="C807" i="1" s="1"/>
  <c r="D807" i="1" a="1"/>
  <c r="D807" i="1" s="1"/>
  <c r="E807" i="1"/>
  <c r="F807" i="1"/>
  <c r="G807" i="1"/>
  <c r="H807" i="1"/>
  <c r="I807" i="1"/>
  <c r="A808" i="1"/>
  <c r="B808" i="1" a="1"/>
  <c r="B808" i="1" s="1"/>
  <c r="C808" i="1" s="1" a="1"/>
  <c r="C808" i="1" s="1"/>
  <c r="D808" i="1" a="1"/>
  <c r="D808" i="1" s="1"/>
  <c r="E808" i="1"/>
  <c r="F808" i="1"/>
  <c r="G808" i="1"/>
  <c r="H808" i="1"/>
  <c r="L808" i="1" s="1"/>
  <c r="I808" i="1"/>
  <c r="A809" i="1"/>
  <c r="B809" i="1" a="1"/>
  <c r="B809" i="1" s="1"/>
  <c r="C809" i="1" s="1" a="1"/>
  <c r="C809" i="1" s="1"/>
  <c r="D809" i="1" a="1"/>
  <c r="D809" i="1" s="1"/>
  <c r="E809" i="1"/>
  <c r="F809" i="1"/>
  <c r="G809" i="1"/>
  <c r="H809" i="1"/>
  <c r="M809" i="1" s="1"/>
  <c r="I809" i="1"/>
  <c r="A810" i="1"/>
  <c r="B810" i="1" a="1"/>
  <c r="B810" i="1" s="1"/>
  <c r="C810" i="1" s="1" a="1"/>
  <c r="C810" i="1" s="1"/>
  <c r="D810" i="1" a="1"/>
  <c r="D810" i="1" s="1"/>
  <c r="E810" i="1"/>
  <c r="F810" i="1"/>
  <c r="G810" i="1"/>
  <c r="H810" i="1"/>
  <c r="L810" i="1" s="1"/>
  <c r="I810" i="1"/>
  <c r="A811" i="1"/>
  <c r="B811" i="1" a="1"/>
  <c r="B811" i="1" s="1"/>
  <c r="C811" i="1" s="1" a="1"/>
  <c r="C811" i="1" s="1"/>
  <c r="D811" i="1" a="1"/>
  <c r="D811" i="1" s="1"/>
  <c r="E811" i="1"/>
  <c r="F811" i="1"/>
  <c r="G811" i="1"/>
  <c r="H811" i="1"/>
  <c r="M811" i="1" s="1"/>
  <c r="I811" i="1"/>
  <c r="A812" i="1"/>
  <c r="B812" i="1" a="1"/>
  <c r="B812" i="1" s="1"/>
  <c r="C812" i="1" s="1" a="1"/>
  <c r="C812" i="1" s="1"/>
  <c r="D812" i="1" a="1"/>
  <c r="D812" i="1" s="1"/>
  <c r="E812" i="1"/>
  <c r="F812" i="1"/>
  <c r="G812" i="1"/>
  <c r="H812" i="1"/>
  <c r="L812" i="1" s="1"/>
  <c r="I812" i="1"/>
  <c r="A813" i="1"/>
  <c r="B813" i="1" a="1"/>
  <c r="B813" i="1" s="1"/>
  <c r="C813" i="1" s="1" a="1"/>
  <c r="C813" i="1" s="1"/>
  <c r="D813" i="1" a="1"/>
  <c r="D813" i="1" s="1"/>
  <c r="E813" i="1"/>
  <c r="F813" i="1"/>
  <c r="G813" i="1"/>
  <c r="H813" i="1"/>
  <c r="M813" i="1" s="1"/>
  <c r="I813" i="1"/>
  <c r="A814" i="1"/>
  <c r="B814" i="1" a="1"/>
  <c r="B814" i="1" s="1"/>
  <c r="C814" i="1" s="1" a="1"/>
  <c r="C814" i="1" s="1"/>
  <c r="D814" i="1" a="1"/>
  <c r="D814" i="1" s="1"/>
  <c r="E814" i="1"/>
  <c r="F814" i="1"/>
  <c r="G814" i="1"/>
  <c r="H814" i="1"/>
  <c r="L814" i="1" s="1"/>
  <c r="I814" i="1"/>
  <c r="A815" i="1"/>
  <c r="B815" i="1" a="1"/>
  <c r="B815" i="1" s="1"/>
  <c r="C815" i="1" s="1" a="1"/>
  <c r="C815" i="1" s="1"/>
  <c r="D815" i="1" a="1"/>
  <c r="D815" i="1" s="1"/>
  <c r="E815" i="1"/>
  <c r="F815" i="1"/>
  <c r="G815" i="1"/>
  <c r="H815" i="1"/>
  <c r="I815" i="1"/>
  <c r="A816" i="1"/>
  <c r="B816" i="1" a="1"/>
  <c r="B816" i="1" s="1"/>
  <c r="C816" i="1" s="1" a="1"/>
  <c r="C816" i="1" s="1"/>
  <c r="D816" i="1" a="1"/>
  <c r="D816" i="1" s="1"/>
  <c r="E816" i="1"/>
  <c r="F816" i="1"/>
  <c r="G816" i="1"/>
  <c r="H816" i="1"/>
  <c r="L816" i="1" s="1"/>
  <c r="I816" i="1"/>
  <c r="A817" i="1"/>
  <c r="B817" i="1" a="1"/>
  <c r="B817" i="1" s="1"/>
  <c r="C817" i="1" s="1" a="1"/>
  <c r="C817" i="1" s="1"/>
  <c r="D817" i="1" a="1"/>
  <c r="D817" i="1" s="1"/>
  <c r="E817" i="1"/>
  <c r="F817" i="1"/>
  <c r="G817" i="1"/>
  <c r="H817" i="1"/>
  <c r="I817" i="1"/>
  <c r="A818" i="1"/>
  <c r="B818" i="1" a="1"/>
  <c r="B818" i="1" s="1"/>
  <c r="C818" i="1" s="1" a="1"/>
  <c r="C818" i="1" s="1"/>
  <c r="D818" i="1" a="1"/>
  <c r="D818" i="1" s="1"/>
  <c r="E818" i="1"/>
  <c r="F818" i="1"/>
  <c r="G818" i="1"/>
  <c r="H818" i="1"/>
  <c r="L818" i="1" s="1"/>
  <c r="I818" i="1"/>
  <c r="A819" i="1"/>
  <c r="B819" i="1" a="1"/>
  <c r="B819" i="1" s="1"/>
  <c r="C819" i="1" s="1" a="1"/>
  <c r="C819" i="1" s="1"/>
  <c r="D819" i="1" a="1"/>
  <c r="D819" i="1" s="1"/>
  <c r="E819" i="1"/>
  <c r="F819" i="1"/>
  <c r="G819" i="1"/>
  <c r="H819" i="1"/>
  <c r="I819" i="1"/>
  <c r="A820" i="1"/>
  <c r="B820" i="1" a="1"/>
  <c r="B820" i="1" s="1"/>
  <c r="C820" i="1" s="1" a="1"/>
  <c r="C820" i="1" s="1"/>
  <c r="D820" i="1" a="1"/>
  <c r="D820" i="1" s="1"/>
  <c r="E820" i="1"/>
  <c r="F820" i="1"/>
  <c r="G820" i="1"/>
  <c r="H820" i="1"/>
  <c r="L820" i="1" s="1"/>
  <c r="I820" i="1"/>
  <c r="A821" i="1"/>
  <c r="B821" i="1" a="1"/>
  <c r="B821" i="1" s="1"/>
  <c r="C821" i="1" s="1" a="1"/>
  <c r="C821" i="1" s="1"/>
  <c r="D821" i="1" a="1"/>
  <c r="D821" i="1" s="1"/>
  <c r="E821" i="1"/>
  <c r="F821" i="1"/>
  <c r="G821" i="1"/>
  <c r="H821" i="1"/>
  <c r="M821" i="1" s="1"/>
  <c r="I821" i="1"/>
  <c r="A822" i="1"/>
  <c r="B822" i="1" a="1"/>
  <c r="B822" i="1" s="1"/>
  <c r="C822" i="1" s="1" a="1"/>
  <c r="C822" i="1" s="1"/>
  <c r="D822" i="1" a="1"/>
  <c r="D822" i="1" s="1"/>
  <c r="E822" i="1"/>
  <c r="F822" i="1"/>
  <c r="G822" i="1"/>
  <c r="H822" i="1"/>
  <c r="L822" i="1" s="1"/>
  <c r="I822" i="1"/>
  <c r="A823" i="1"/>
  <c r="B823" i="1" a="1"/>
  <c r="B823" i="1" s="1"/>
  <c r="C823" i="1" s="1" a="1"/>
  <c r="C823" i="1" s="1"/>
  <c r="D823" i="1" a="1"/>
  <c r="D823" i="1" s="1"/>
  <c r="E823" i="1"/>
  <c r="F823" i="1"/>
  <c r="G823" i="1"/>
  <c r="H823" i="1"/>
  <c r="I823" i="1"/>
  <c r="A824" i="1"/>
  <c r="B824" i="1" a="1"/>
  <c r="B824" i="1" s="1"/>
  <c r="C824" i="1" s="1" a="1"/>
  <c r="C824" i="1" s="1"/>
  <c r="D824" i="1" a="1"/>
  <c r="D824" i="1" s="1"/>
  <c r="E824" i="1"/>
  <c r="F824" i="1"/>
  <c r="G824" i="1"/>
  <c r="H824" i="1"/>
  <c r="L824" i="1" s="1"/>
  <c r="I824" i="1"/>
  <c r="A825" i="1"/>
  <c r="B825" i="1" a="1"/>
  <c r="B825" i="1" s="1"/>
  <c r="C825" i="1" s="1" a="1"/>
  <c r="C825" i="1" s="1"/>
  <c r="D825" i="1" a="1"/>
  <c r="D825" i="1" s="1"/>
  <c r="E825" i="1"/>
  <c r="F825" i="1"/>
  <c r="G825" i="1"/>
  <c r="H825" i="1"/>
  <c r="M825" i="1" s="1"/>
  <c r="I825" i="1"/>
  <c r="A826" i="1"/>
  <c r="B826" i="1" a="1"/>
  <c r="B826" i="1" s="1"/>
  <c r="C826" i="1" s="1" a="1"/>
  <c r="C826" i="1" s="1"/>
  <c r="D826" i="1" a="1"/>
  <c r="D826" i="1" s="1"/>
  <c r="E826" i="1"/>
  <c r="F826" i="1"/>
  <c r="G826" i="1"/>
  <c r="H826" i="1"/>
  <c r="L826" i="1" s="1"/>
  <c r="I826" i="1"/>
  <c r="A827" i="1"/>
  <c r="B827" i="1" a="1"/>
  <c r="B827" i="1" s="1"/>
  <c r="C827" i="1" s="1" a="1"/>
  <c r="C827" i="1" s="1"/>
  <c r="D827" i="1" a="1"/>
  <c r="D827" i="1" s="1"/>
  <c r="E827" i="1"/>
  <c r="F827" i="1"/>
  <c r="G827" i="1"/>
  <c r="H827" i="1"/>
  <c r="M827" i="1" s="1"/>
  <c r="I827" i="1"/>
  <c r="A828" i="1"/>
  <c r="B828" i="1" a="1"/>
  <c r="B828" i="1" s="1"/>
  <c r="C828" i="1" s="1" a="1"/>
  <c r="C828" i="1" s="1"/>
  <c r="D828" i="1" a="1"/>
  <c r="D828" i="1" s="1"/>
  <c r="E828" i="1"/>
  <c r="F828" i="1"/>
  <c r="G828" i="1"/>
  <c r="H828" i="1"/>
  <c r="L828" i="1" s="1"/>
  <c r="I828" i="1"/>
  <c r="A829" i="1"/>
  <c r="B829" i="1" a="1"/>
  <c r="B829" i="1" s="1"/>
  <c r="C829" i="1" s="1" a="1"/>
  <c r="C829" i="1" s="1"/>
  <c r="D829" i="1" a="1"/>
  <c r="D829" i="1" s="1"/>
  <c r="E829" i="1"/>
  <c r="F829" i="1"/>
  <c r="G829" i="1"/>
  <c r="H829" i="1"/>
  <c r="I829" i="1"/>
  <c r="A830" i="1"/>
  <c r="B830" i="1" a="1"/>
  <c r="B830" i="1" s="1"/>
  <c r="C830" i="1" s="1" a="1"/>
  <c r="C830" i="1" s="1"/>
  <c r="D830" i="1" a="1"/>
  <c r="D830" i="1" s="1"/>
  <c r="E830" i="1"/>
  <c r="F830" i="1"/>
  <c r="G830" i="1"/>
  <c r="H830" i="1"/>
  <c r="L830" i="1" s="1"/>
  <c r="I830" i="1"/>
  <c r="A831" i="1"/>
  <c r="B831" i="1" a="1"/>
  <c r="B831" i="1" s="1"/>
  <c r="C831" i="1" s="1" a="1"/>
  <c r="C831" i="1" s="1"/>
  <c r="D831" i="1" a="1"/>
  <c r="D831" i="1" s="1"/>
  <c r="E831" i="1"/>
  <c r="F831" i="1"/>
  <c r="G831" i="1"/>
  <c r="H831" i="1"/>
  <c r="M831" i="1" s="1"/>
  <c r="I831" i="1"/>
  <c r="A832" i="1"/>
  <c r="B832" i="1" a="1"/>
  <c r="B832" i="1" s="1"/>
  <c r="C832" i="1" s="1" a="1"/>
  <c r="C832" i="1" s="1"/>
  <c r="D832" i="1" a="1"/>
  <c r="D832" i="1" s="1"/>
  <c r="E832" i="1"/>
  <c r="F832" i="1"/>
  <c r="G832" i="1"/>
  <c r="H832" i="1"/>
  <c r="I832" i="1"/>
  <c r="A833" i="1"/>
  <c r="B833" i="1" a="1"/>
  <c r="B833" i="1" s="1"/>
  <c r="C833" i="1" s="1" a="1"/>
  <c r="C833" i="1" s="1"/>
  <c r="D833" i="1" a="1"/>
  <c r="D833" i="1" s="1"/>
  <c r="E833" i="1"/>
  <c r="F833" i="1"/>
  <c r="G833" i="1"/>
  <c r="H833" i="1"/>
  <c r="I833" i="1"/>
  <c r="A834" i="1"/>
  <c r="B834" i="1" a="1"/>
  <c r="B834" i="1" s="1"/>
  <c r="C834" i="1" s="1" a="1"/>
  <c r="C834" i="1" s="1"/>
  <c r="D834" i="1" a="1"/>
  <c r="D834" i="1" s="1"/>
  <c r="E834" i="1"/>
  <c r="F834" i="1"/>
  <c r="G834" i="1"/>
  <c r="H834" i="1"/>
  <c r="L834" i="1" s="1"/>
  <c r="I834" i="1"/>
  <c r="A835" i="1"/>
  <c r="B835" i="1" a="1"/>
  <c r="B835" i="1" s="1"/>
  <c r="C835" i="1" s="1" a="1"/>
  <c r="C835" i="1" s="1"/>
  <c r="D835" i="1" a="1"/>
  <c r="D835" i="1" s="1"/>
  <c r="E835" i="1"/>
  <c r="F835" i="1"/>
  <c r="G835" i="1"/>
  <c r="H835" i="1"/>
  <c r="I835" i="1"/>
  <c r="A836" i="1"/>
  <c r="B836" i="1" a="1"/>
  <c r="B836" i="1" s="1"/>
  <c r="C836" i="1" s="1" a="1"/>
  <c r="C836" i="1" s="1"/>
  <c r="D836" i="1" a="1"/>
  <c r="D836" i="1" s="1"/>
  <c r="E836" i="1"/>
  <c r="F836" i="1"/>
  <c r="G836" i="1"/>
  <c r="H836" i="1"/>
  <c r="L836" i="1" s="1"/>
  <c r="I836" i="1"/>
  <c r="A837" i="1"/>
  <c r="B837" i="1" a="1"/>
  <c r="B837" i="1" s="1"/>
  <c r="C837" i="1" s="1" a="1"/>
  <c r="C837" i="1" s="1"/>
  <c r="D837" i="1" a="1"/>
  <c r="D837" i="1" s="1"/>
  <c r="E837" i="1"/>
  <c r="F837" i="1"/>
  <c r="G837" i="1"/>
  <c r="H837" i="1"/>
  <c r="I837" i="1"/>
  <c r="A838" i="1"/>
  <c r="B838" i="1" a="1"/>
  <c r="B838" i="1" s="1"/>
  <c r="C838" i="1" s="1" a="1"/>
  <c r="C838" i="1" s="1"/>
  <c r="D838" i="1" a="1"/>
  <c r="D838" i="1" s="1"/>
  <c r="E838" i="1"/>
  <c r="F838" i="1"/>
  <c r="G838" i="1"/>
  <c r="H838" i="1"/>
  <c r="L838" i="1" s="1"/>
  <c r="I838" i="1"/>
  <c r="A839" i="1"/>
  <c r="B839" i="1" a="1"/>
  <c r="B839" i="1" s="1"/>
  <c r="C839" i="1" s="1" a="1"/>
  <c r="C839" i="1" s="1"/>
  <c r="D839" i="1" a="1"/>
  <c r="D839" i="1" s="1"/>
  <c r="E839" i="1"/>
  <c r="F839" i="1"/>
  <c r="G839" i="1"/>
  <c r="H839" i="1"/>
  <c r="L839" i="1" s="1"/>
  <c r="I839" i="1"/>
  <c r="A840" i="1"/>
  <c r="B840" i="1" a="1"/>
  <c r="B840" i="1" s="1"/>
  <c r="C840" i="1" s="1" a="1"/>
  <c r="C840" i="1" s="1"/>
  <c r="D840" i="1" a="1"/>
  <c r="D840" i="1" s="1"/>
  <c r="E840" i="1"/>
  <c r="F840" i="1"/>
  <c r="G840" i="1"/>
  <c r="H840" i="1"/>
  <c r="L840" i="1" s="1"/>
  <c r="I840" i="1"/>
  <c r="A841" i="1"/>
  <c r="B841" i="1" a="1"/>
  <c r="B841" i="1" s="1"/>
  <c r="C841" i="1" s="1" a="1"/>
  <c r="C841" i="1" s="1"/>
  <c r="D841" i="1" a="1"/>
  <c r="D841" i="1" s="1"/>
  <c r="E841" i="1"/>
  <c r="F841" i="1"/>
  <c r="G841" i="1"/>
  <c r="H841" i="1"/>
  <c r="L841" i="1" s="1"/>
  <c r="I841" i="1"/>
  <c r="A842" i="1"/>
  <c r="B842" i="1" a="1"/>
  <c r="B842" i="1" s="1"/>
  <c r="C842" i="1" s="1" a="1"/>
  <c r="C842" i="1" s="1"/>
  <c r="D842" i="1" a="1"/>
  <c r="D842" i="1" s="1"/>
  <c r="E842" i="1"/>
  <c r="F842" i="1"/>
  <c r="G842" i="1"/>
  <c r="H842" i="1"/>
  <c r="L842" i="1" s="1"/>
  <c r="I842" i="1"/>
  <c r="A843" i="1"/>
  <c r="B843" i="1" a="1"/>
  <c r="B843" i="1" s="1"/>
  <c r="C843" i="1" s="1" a="1"/>
  <c r="C843" i="1" s="1"/>
  <c r="D843" i="1" a="1"/>
  <c r="D843" i="1" s="1"/>
  <c r="E843" i="1"/>
  <c r="F843" i="1"/>
  <c r="G843" i="1"/>
  <c r="H843" i="1"/>
  <c r="I843" i="1"/>
  <c r="A844" i="1"/>
  <c r="B844" i="1" a="1"/>
  <c r="B844" i="1" s="1"/>
  <c r="C844" i="1" s="1" a="1"/>
  <c r="C844" i="1" s="1"/>
  <c r="D844" i="1" a="1"/>
  <c r="D844" i="1" s="1"/>
  <c r="E844" i="1"/>
  <c r="F844" i="1"/>
  <c r="G844" i="1"/>
  <c r="H844" i="1"/>
  <c r="L844" i="1" s="1"/>
  <c r="I844" i="1"/>
  <c r="A845" i="1"/>
  <c r="B845" i="1" a="1"/>
  <c r="B845" i="1" s="1"/>
  <c r="C845" i="1" s="1" a="1"/>
  <c r="C845" i="1" s="1"/>
  <c r="D845" i="1" a="1"/>
  <c r="D845" i="1" s="1"/>
  <c r="E845" i="1"/>
  <c r="F845" i="1"/>
  <c r="G845" i="1"/>
  <c r="H845" i="1"/>
  <c r="M845" i="1" s="1"/>
  <c r="I845" i="1"/>
  <c r="A846" i="1"/>
  <c r="B846" i="1" a="1"/>
  <c r="B846" i="1" s="1"/>
  <c r="C846" i="1" s="1" a="1"/>
  <c r="C846" i="1" s="1"/>
  <c r="D846" i="1" a="1"/>
  <c r="D846" i="1" s="1"/>
  <c r="E846" i="1"/>
  <c r="F846" i="1"/>
  <c r="G846" i="1"/>
  <c r="H846" i="1"/>
  <c r="L846" i="1" s="1"/>
  <c r="I846" i="1"/>
  <c r="A847" i="1"/>
  <c r="B847" i="1" a="1"/>
  <c r="B847" i="1" s="1"/>
  <c r="C847" i="1" s="1" a="1"/>
  <c r="C847" i="1" s="1"/>
  <c r="D847" i="1" a="1"/>
  <c r="D847" i="1" s="1"/>
  <c r="E847" i="1"/>
  <c r="F847" i="1"/>
  <c r="G847" i="1"/>
  <c r="H847" i="1"/>
  <c r="L847" i="1" s="1"/>
  <c r="I847" i="1"/>
  <c r="A848" i="1"/>
  <c r="B848" i="1" a="1"/>
  <c r="B848" i="1" s="1"/>
  <c r="C848" i="1" s="1" a="1"/>
  <c r="C848" i="1" s="1"/>
  <c r="D848" i="1" a="1"/>
  <c r="D848" i="1" s="1"/>
  <c r="E848" i="1"/>
  <c r="F848" i="1"/>
  <c r="G848" i="1"/>
  <c r="H848" i="1"/>
  <c r="L848" i="1" s="1"/>
  <c r="I848" i="1"/>
  <c r="A849" i="1"/>
  <c r="B849" i="1" a="1"/>
  <c r="B849" i="1" s="1"/>
  <c r="C849" i="1" s="1" a="1"/>
  <c r="C849" i="1" s="1"/>
  <c r="D849" i="1" a="1"/>
  <c r="D849" i="1" s="1"/>
  <c r="E849" i="1"/>
  <c r="F849" i="1"/>
  <c r="G849" i="1"/>
  <c r="H849" i="1"/>
  <c r="L849" i="1" s="1"/>
  <c r="I849" i="1"/>
  <c r="A850" i="1"/>
  <c r="B850" i="1" a="1"/>
  <c r="B850" i="1" s="1"/>
  <c r="C850" i="1" s="1" a="1"/>
  <c r="C850" i="1" s="1"/>
  <c r="D850" i="1" a="1"/>
  <c r="D850" i="1" s="1"/>
  <c r="E850" i="1"/>
  <c r="F850" i="1"/>
  <c r="G850" i="1"/>
  <c r="H850" i="1"/>
  <c r="I850" i="1"/>
  <c r="A851" i="1"/>
  <c r="B851" i="1" a="1"/>
  <c r="B851" i="1" s="1"/>
  <c r="C851" i="1" s="1" a="1"/>
  <c r="C851" i="1" s="1"/>
  <c r="D851" i="1" a="1"/>
  <c r="D851" i="1" s="1"/>
  <c r="E851" i="1"/>
  <c r="F851" i="1"/>
  <c r="G851" i="1"/>
  <c r="H851" i="1"/>
  <c r="I851" i="1"/>
  <c r="A852" i="1"/>
  <c r="B852" i="1" a="1"/>
  <c r="B852" i="1" s="1"/>
  <c r="C852" i="1" s="1" a="1"/>
  <c r="C852" i="1" s="1"/>
  <c r="D852" i="1" a="1"/>
  <c r="D852" i="1" s="1"/>
  <c r="E852" i="1"/>
  <c r="F852" i="1"/>
  <c r="G852" i="1"/>
  <c r="H852" i="1"/>
  <c r="L852" i="1" s="1"/>
  <c r="I852" i="1"/>
  <c r="A853" i="1"/>
  <c r="B853" i="1" a="1"/>
  <c r="B853" i="1" s="1"/>
  <c r="C853" i="1" s="1" a="1"/>
  <c r="C853" i="1" s="1"/>
  <c r="D853" i="1" a="1"/>
  <c r="D853" i="1" s="1"/>
  <c r="E853" i="1"/>
  <c r="F853" i="1"/>
  <c r="G853" i="1"/>
  <c r="H853" i="1"/>
  <c r="I853" i="1"/>
  <c r="A854" i="1"/>
  <c r="B854" i="1" a="1"/>
  <c r="B854" i="1" s="1"/>
  <c r="C854" i="1" s="1" a="1"/>
  <c r="C854" i="1" s="1"/>
  <c r="D854" i="1" a="1"/>
  <c r="D854" i="1" s="1"/>
  <c r="E854" i="1"/>
  <c r="F854" i="1"/>
  <c r="G854" i="1"/>
  <c r="H854" i="1"/>
  <c r="L854" i="1" s="1"/>
  <c r="I854" i="1"/>
  <c r="A855" i="1"/>
  <c r="B855" i="1" a="1"/>
  <c r="B855" i="1" s="1"/>
  <c r="C855" i="1" s="1" a="1"/>
  <c r="C855" i="1" s="1"/>
  <c r="D855" i="1" a="1"/>
  <c r="D855" i="1" s="1"/>
  <c r="E855" i="1"/>
  <c r="F855" i="1"/>
  <c r="G855" i="1"/>
  <c r="H855" i="1"/>
  <c r="M855" i="1" s="1"/>
  <c r="I855" i="1"/>
  <c r="A856" i="1"/>
  <c r="B856" i="1" a="1"/>
  <c r="B856" i="1" s="1"/>
  <c r="C856" i="1" s="1" a="1"/>
  <c r="C856" i="1" s="1"/>
  <c r="D856" i="1" a="1"/>
  <c r="D856" i="1" s="1"/>
  <c r="E856" i="1"/>
  <c r="F856" i="1"/>
  <c r="G856" i="1"/>
  <c r="H856" i="1"/>
  <c r="L856" i="1" s="1"/>
  <c r="I856" i="1"/>
  <c r="A857" i="1"/>
  <c r="B857" i="1" a="1"/>
  <c r="B857" i="1" s="1"/>
  <c r="C857" i="1" s="1" a="1"/>
  <c r="C857" i="1" s="1"/>
  <c r="D857" i="1" a="1"/>
  <c r="D857" i="1" s="1"/>
  <c r="E857" i="1"/>
  <c r="F857" i="1"/>
  <c r="G857" i="1"/>
  <c r="H857" i="1"/>
  <c r="L857" i="1" s="1"/>
  <c r="I857" i="1"/>
  <c r="A858" i="1"/>
  <c r="B858" i="1" a="1"/>
  <c r="B858" i="1" s="1"/>
  <c r="C858" i="1" s="1" a="1"/>
  <c r="C858" i="1" s="1"/>
  <c r="D858" i="1" a="1"/>
  <c r="D858" i="1" s="1"/>
  <c r="E858" i="1"/>
  <c r="F858" i="1"/>
  <c r="G858" i="1"/>
  <c r="H858" i="1"/>
  <c r="I858" i="1"/>
  <c r="A859" i="1"/>
  <c r="B859" i="1" a="1"/>
  <c r="B859" i="1" s="1"/>
  <c r="C859" i="1" s="1" a="1"/>
  <c r="C859" i="1" s="1"/>
  <c r="D859" i="1" a="1"/>
  <c r="D859" i="1" s="1"/>
  <c r="E859" i="1"/>
  <c r="F859" i="1"/>
  <c r="G859" i="1"/>
  <c r="H859" i="1"/>
  <c r="I859" i="1"/>
  <c r="A860" i="1"/>
  <c r="B860" i="1" a="1"/>
  <c r="B860" i="1" s="1"/>
  <c r="C860" i="1" s="1" a="1"/>
  <c r="C860" i="1" s="1"/>
  <c r="D860" i="1" a="1"/>
  <c r="D860" i="1" s="1"/>
  <c r="E860" i="1"/>
  <c r="F860" i="1"/>
  <c r="G860" i="1"/>
  <c r="H860" i="1"/>
  <c r="L860" i="1" s="1"/>
  <c r="I860" i="1"/>
  <c r="A861" i="1"/>
  <c r="B861" i="1" a="1"/>
  <c r="B861" i="1" s="1"/>
  <c r="C861" i="1" s="1" a="1"/>
  <c r="C861" i="1" s="1"/>
  <c r="D861" i="1" a="1"/>
  <c r="D861" i="1" s="1"/>
  <c r="E861" i="1"/>
  <c r="F861" i="1"/>
  <c r="G861" i="1"/>
  <c r="H861" i="1"/>
  <c r="M861" i="1" s="1"/>
  <c r="I861" i="1"/>
  <c r="A862" i="1"/>
  <c r="B862" i="1" a="1"/>
  <c r="B862" i="1" s="1"/>
  <c r="C862" i="1" s="1" a="1"/>
  <c r="C862" i="1" s="1"/>
  <c r="D862" i="1" a="1"/>
  <c r="D862" i="1" s="1"/>
  <c r="E862" i="1"/>
  <c r="F862" i="1"/>
  <c r="G862" i="1"/>
  <c r="H862" i="1"/>
  <c r="L862" i="1" s="1"/>
  <c r="I862" i="1"/>
  <c r="A863" i="1"/>
  <c r="B863" i="1" a="1"/>
  <c r="B863" i="1" s="1"/>
  <c r="C863" i="1" s="1" a="1"/>
  <c r="C863" i="1" s="1"/>
  <c r="D863" i="1" a="1"/>
  <c r="D863" i="1" s="1"/>
  <c r="E863" i="1"/>
  <c r="F863" i="1"/>
  <c r="G863" i="1"/>
  <c r="H863" i="1"/>
  <c r="L863" i="1" s="1"/>
  <c r="I863" i="1"/>
  <c r="A864" i="1"/>
  <c r="B864" i="1" a="1"/>
  <c r="B864" i="1" s="1"/>
  <c r="C864" i="1" s="1" a="1"/>
  <c r="C864" i="1" s="1"/>
  <c r="D864" i="1" a="1"/>
  <c r="D864" i="1" s="1"/>
  <c r="E864" i="1"/>
  <c r="F864" i="1"/>
  <c r="G864" i="1"/>
  <c r="H864" i="1"/>
  <c r="L864" i="1" s="1"/>
  <c r="I864" i="1"/>
  <c r="A865" i="1"/>
  <c r="B865" i="1" a="1"/>
  <c r="B865" i="1" s="1"/>
  <c r="C865" i="1" s="1" a="1"/>
  <c r="C865" i="1" s="1"/>
  <c r="D865" i="1" a="1"/>
  <c r="D865" i="1" s="1"/>
  <c r="E865" i="1"/>
  <c r="F865" i="1"/>
  <c r="G865" i="1"/>
  <c r="H865" i="1"/>
  <c r="M865" i="1" s="1"/>
  <c r="I865" i="1"/>
  <c r="A866" i="1"/>
  <c r="B866" i="1" a="1"/>
  <c r="B866" i="1" s="1"/>
  <c r="C866" i="1" s="1" a="1"/>
  <c r="C866" i="1" s="1"/>
  <c r="D866" i="1" a="1"/>
  <c r="D866" i="1" s="1"/>
  <c r="E866" i="1"/>
  <c r="F866" i="1"/>
  <c r="G866" i="1"/>
  <c r="H866" i="1"/>
  <c r="L866" i="1" s="1"/>
  <c r="I866" i="1"/>
  <c r="A867" i="1"/>
  <c r="B867" i="1" a="1"/>
  <c r="B867" i="1" s="1"/>
  <c r="C867" i="1" s="1" a="1"/>
  <c r="C867" i="1" s="1"/>
  <c r="D867" i="1" a="1"/>
  <c r="D867" i="1" s="1"/>
  <c r="E867" i="1"/>
  <c r="F867" i="1"/>
  <c r="G867" i="1"/>
  <c r="H867" i="1"/>
  <c r="M867" i="1" s="1"/>
  <c r="I867" i="1"/>
  <c r="A868" i="1"/>
  <c r="B868" i="1" a="1"/>
  <c r="B868" i="1" s="1"/>
  <c r="C868" i="1" s="1" a="1"/>
  <c r="C868" i="1" s="1"/>
  <c r="D868" i="1" a="1"/>
  <c r="D868" i="1" s="1"/>
  <c r="E868" i="1"/>
  <c r="F868" i="1"/>
  <c r="G868" i="1"/>
  <c r="H868" i="1"/>
  <c r="L868" i="1" s="1"/>
  <c r="I868" i="1"/>
  <c r="A869" i="1"/>
  <c r="B869" i="1" a="1"/>
  <c r="B869" i="1" s="1"/>
  <c r="C869" i="1" s="1" a="1"/>
  <c r="C869" i="1" s="1"/>
  <c r="D869" i="1" a="1"/>
  <c r="D869" i="1" s="1"/>
  <c r="E869" i="1"/>
  <c r="F869" i="1"/>
  <c r="G869" i="1"/>
  <c r="H869" i="1"/>
  <c r="I869" i="1"/>
  <c r="A870" i="1"/>
  <c r="B870" i="1" a="1"/>
  <c r="B870" i="1" s="1"/>
  <c r="C870" i="1" s="1" a="1"/>
  <c r="C870" i="1" s="1"/>
  <c r="D870" i="1" a="1"/>
  <c r="D870" i="1" s="1"/>
  <c r="E870" i="1"/>
  <c r="F870" i="1"/>
  <c r="G870" i="1"/>
  <c r="H870" i="1"/>
  <c r="L870" i="1" s="1"/>
  <c r="I870" i="1"/>
  <c r="A871" i="1"/>
  <c r="B871" i="1" a="1"/>
  <c r="B871" i="1" s="1"/>
  <c r="C871" i="1" s="1" a="1"/>
  <c r="C871" i="1" s="1"/>
  <c r="D871" i="1" a="1"/>
  <c r="D871" i="1" s="1"/>
  <c r="E871" i="1"/>
  <c r="F871" i="1"/>
  <c r="G871" i="1"/>
  <c r="H871" i="1"/>
  <c r="I871" i="1"/>
  <c r="A872" i="1"/>
  <c r="B872" i="1" a="1"/>
  <c r="B872" i="1" s="1"/>
  <c r="C872" i="1" s="1" a="1"/>
  <c r="C872" i="1" s="1"/>
  <c r="D872" i="1" a="1"/>
  <c r="D872" i="1" s="1"/>
  <c r="E872" i="1"/>
  <c r="F872" i="1"/>
  <c r="G872" i="1"/>
  <c r="H872" i="1"/>
  <c r="L872" i="1" s="1"/>
  <c r="I872" i="1"/>
  <c r="A873" i="1"/>
  <c r="B873" i="1" a="1"/>
  <c r="B873" i="1" s="1"/>
  <c r="C873" i="1" s="1" a="1"/>
  <c r="C873" i="1" s="1"/>
  <c r="D873" i="1" a="1"/>
  <c r="D873" i="1" s="1"/>
  <c r="E873" i="1"/>
  <c r="F873" i="1"/>
  <c r="G873" i="1"/>
  <c r="H873" i="1"/>
  <c r="L873" i="1" s="1"/>
  <c r="I873" i="1"/>
  <c r="A874" i="1"/>
  <c r="B874" i="1" a="1"/>
  <c r="B874" i="1" s="1"/>
  <c r="C874" i="1" s="1" a="1"/>
  <c r="C874" i="1" s="1"/>
  <c r="D874" i="1" a="1"/>
  <c r="D874" i="1" s="1"/>
  <c r="E874" i="1"/>
  <c r="F874" i="1"/>
  <c r="G874" i="1"/>
  <c r="H874" i="1"/>
  <c r="I874" i="1"/>
  <c r="A875" i="1"/>
  <c r="B875" i="1" a="1"/>
  <c r="B875" i="1" s="1"/>
  <c r="C875" i="1" s="1" a="1"/>
  <c r="C875" i="1" s="1"/>
  <c r="D875" i="1" a="1"/>
  <c r="D875" i="1" s="1"/>
  <c r="E875" i="1"/>
  <c r="F875" i="1"/>
  <c r="G875" i="1"/>
  <c r="H875" i="1"/>
  <c r="I875" i="1"/>
  <c r="A876" i="1"/>
  <c r="B876" i="1" a="1"/>
  <c r="B876" i="1" s="1"/>
  <c r="C876" i="1" s="1" a="1"/>
  <c r="C876" i="1" s="1"/>
  <c r="D876" i="1" a="1"/>
  <c r="D876" i="1" s="1"/>
  <c r="E876" i="1"/>
  <c r="F876" i="1"/>
  <c r="G876" i="1"/>
  <c r="H876" i="1"/>
  <c r="L876" i="1" s="1"/>
  <c r="I876" i="1"/>
  <c r="A877" i="1"/>
  <c r="B877" i="1" a="1"/>
  <c r="B877" i="1" s="1"/>
  <c r="C877" i="1" s="1" a="1"/>
  <c r="C877" i="1" s="1"/>
  <c r="D877" i="1" a="1"/>
  <c r="D877" i="1" s="1"/>
  <c r="E877" i="1"/>
  <c r="F877" i="1"/>
  <c r="G877" i="1"/>
  <c r="H877" i="1"/>
  <c r="M877" i="1" s="1"/>
  <c r="I877" i="1"/>
  <c r="A878" i="1"/>
  <c r="B878" i="1" a="1"/>
  <c r="B878" i="1" s="1"/>
  <c r="C878" i="1" s="1" a="1"/>
  <c r="C878" i="1" s="1"/>
  <c r="D878" i="1" a="1"/>
  <c r="D878" i="1" s="1"/>
  <c r="E878" i="1"/>
  <c r="F878" i="1"/>
  <c r="G878" i="1"/>
  <c r="H878" i="1"/>
  <c r="L878" i="1" s="1"/>
  <c r="I878" i="1"/>
  <c r="A879" i="1"/>
  <c r="B879" i="1" a="1"/>
  <c r="B879" i="1" s="1"/>
  <c r="C879" i="1" s="1" a="1"/>
  <c r="C879" i="1" s="1"/>
  <c r="D879" i="1" a="1"/>
  <c r="D879" i="1" s="1"/>
  <c r="E879" i="1"/>
  <c r="F879" i="1"/>
  <c r="G879" i="1"/>
  <c r="H879" i="1"/>
  <c r="L879" i="1" s="1"/>
  <c r="I879" i="1"/>
  <c r="A880" i="1"/>
  <c r="B880" i="1" a="1"/>
  <c r="B880" i="1" s="1"/>
  <c r="C880" i="1" s="1" a="1"/>
  <c r="C880" i="1" s="1"/>
  <c r="D880" i="1" a="1"/>
  <c r="D880" i="1" s="1"/>
  <c r="E880" i="1"/>
  <c r="F880" i="1"/>
  <c r="G880" i="1"/>
  <c r="H880" i="1"/>
  <c r="L880" i="1" s="1"/>
  <c r="I880" i="1"/>
  <c r="A881" i="1"/>
  <c r="B881" i="1" a="1"/>
  <c r="B881" i="1" s="1"/>
  <c r="C881" i="1" s="1" a="1"/>
  <c r="C881" i="1" s="1"/>
  <c r="D881" i="1" a="1"/>
  <c r="D881" i="1" s="1"/>
  <c r="E881" i="1"/>
  <c r="F881" i="1"/>
  <c r="G881" i="1"/>
  <c r="H881" i="1"/>
  <c r="M881" i="1" s="1"/>
  <c r="I881" i="1"/>
  <c r="A882" i="1"/>
  <c r="B882" i="1" a="1"/>
  <c r="B882" i="1" s="1"/>
  <c r="C882" i="1" s="1" a="1"/>
  <c r="C882" i="1" s="1"/>
  <c r="D882" i="1" a="1"/>
  <c r="D882" i="1" s="1"/>
  <c r="E882" i="1"/>
  <c r="F882" i="1"/>
  <c r="G882" i="1"/>
  <c r="H882" i="1"/>
  <c r="L882" i="1" s="1"/>
  <c r="I882" i="1"/>
  <c r="A883" i="1"/>
  <c r="B883" i="1" a="1"/>
  <c r="B883" i="1" s="1"/>
  <c r="C883" i="1" s="1" a="1"/>
  <c r="C883" i="1" s="1"/>
  <c r="D883" i="1" a="1"/>
  <c r="D883" i="1" s="1"/>
  <c r="E883" i="1"/>
  <c r="F883" i="1"/>
  <c r="G883" i="1"/>
  <c r="H883" i="1"/>
  <c r="M883" i="1" s="1"/>
  <c r="I883" i="1"/>
  <c r="A884" i="1"/>
  <c r="B884" i="1" a="1"/>
  <c r="B884" i="1" s="1"/>
  <c r="C884" i="1" s="1" a="1"/>
  <c r="C884" i="1" s="1"/>
  <c r="D884" i="1" a="1"/>
  <c r="D884" i="1" s="1"/>
  <c r="E884" i="1"/>
  <c r="F884" i="1"/>
  <c r="G884" i="1"/>
  <c r="H884" i="1"/>
  <c r="L884" i="1" s="1"/>
  <c r="I884" i="1"/>
  <c r="A885" i="1"/>
  <c r="B885" i="1" a="1"/>
  <c r="B885" i="1" s="1"/>
  <c r="C885" i="1" s="1" a="1"/>
  <c r="C885" i="1" s="1"/>
  <c r="D885" i="1" a="1"/>
  <c r="D885" i="1" s="1"/>
  <c r="E885" i="1"/>
  <c r="F885" i="1"/>
  <c r="G885" i="1"/>
  <c r="H885" i="1"/>
  <c r="I885" i="1"/>
  <c r="A886" i="1"/>
  <c r="B886" i="1" a="1"/>
  <c r="B886" i="1" s="1"/>
  <c r="C886" i="1" s="1" a="1"/>
  <c r="C886" i="1" s="1"/>
  <c r="D886" i="1" a="1"/>
  <c r="D886" i="1" s="1"/>
  <c r="E886" i="1"/>
  <c r="F886" i="1"/>
  <c r="G886" i="1"/>
  <c r="H886" i="1"/>
  <c r="I886" i="1"/>
  <c r="A887" i="1"/>
  <c r="B887" i="1" a="1"/>
  <c r="B887" i="1" s="1"/>
  <c r="C887" i="1" s="1" a="1"/>
  <c r="C887" i="1" s="1"/>
  <c r="D887" i="1" a="1"/>
  <c r="D887" i="1" s="1"/>
  <c r="E887" i="1"/>
  <c r="F887" i="1"/>
  <c r="G887" i="1"/>
  <c r="H887" i="1"/>
  <c r="L887" i="1" s="1"/>
  <c r="I887" i="1"/>
  <c r="A888" i="1"/>
  <c r="B888" i="1" a="1"/>
  <c r="B888" i="1" s="1"/>
  <c r="C888" i="1" s="1" a="1"/>
  <c r="C888" i="1" s="1"/>
  <c r="D888" i="1" a="1"/>
  <c r="D888" i="1" s="1"/>
  <c r="E888" i="1"/>
  <c r="F888" i="1"/>
  <c r="G888" i="1"/>
  <c r="H888" i="1"/>
  <c r="L888" i="1" s="1"/>
  <c r="I888" i="1"/>
  <c r="A889" i="1"/>
  <c r="B889" i="1" a="1"/>
  <c r="B889" i="1" s="1"/>
  <c r="C889" i="1" s="1" a="1"/>
  <c r="C889" i="1" s="1"/>
  <c r="D889" i="1" a="1"/>
  <c r="D889" i="1" s="1"/>
  <c r="E889" i="1"/>
  <c r="F889" i="1"/>
  <c r="G889" i="1"/>
  <c r="H889" i="1"/>
  <c r="L889" i="1" s="1"/>
  <c r="I889" i="1"/>
  <c r="A890" i="1"/>
  <c r="B890" i="1" a="1"/>
  <c r="B890" i="1" s="1"/>
  <c r="C890" i="1" s="1" a="1"/>
  <c r="C890" i="1" s="1"/>
  <c r="D890" i="1" a="1"/>
  <c r="D890" i="1" s="1"/>
  <c r="E890" i="1"/>
  <c r="F890" i="1"/>
  <c r="G890" i="1"/>
  <c r="H890" i="1"/>
  <c r="M890" i="1" s="1"/>
  <c r="I890" i="1"/>
  <c r="A891" i="1"/>
  <c r="B891" i="1" a="1"/>
  <c r="B891" i="1" s="1"/>
  <c r="C891" i="1" s="1" a="1"/>
  <c r="C891" i="1" s="1"/>
  <c r="D891" i="1" a="1"/>
  <c r="D891" i="1" s="1"/>
  <c r="E891" i="1"/>
  <c r="F891" i="1"/>
  <c r="G891" i="1"/>
  <c r="H891" i="1"/>
  <c r="I891" i="1"/>
  <c r="A892" i="1"/>
  <c r="B892" i="1" a="1"/>
  <c r="B892" i="1" s="1"/>
  <c r="C892" i="1" s="1" a="1"/>
  <c r="C892" i="1" s="1"/>
  <c r="D892" i="1" a="1"/>
  <c r="D892" i="1" s="1"/>
  <c r="E892" i="1"/>
  <c r="F892" i="1"/>
  <c r="G892" i="1"/>
  <c r="H892" i="1"/>
  <c r="L892" i="1" s="1"/>
  <c r="I892" i="1"/>
  <c r="A893" i="1"/>
  <c r="B893" i="1" a="1"/>
  <c r="B893" i="1" s="1"/>
  <c r="C893" i="1" s="1" a="1"/>
  <c r="C893" i="1" s="1"/>
  <c r="D893" i="1" a="1"/>
  <c r="D893" i="1" s="1"/>
  <c r="E893" i="1"/>
  <c r="F893" i="1"/>
  <c r="G893" i="1"/>
  <c r="H893" i="1"/>
  <c r="M893" i="1" s="1"/>
  <c r="I893" i="1"/>
  <c r="A894" i="1"/>
  <c r="B894" i="1" a="1"/>
  <c r="B894" i="1" s="1"/>
  <c r="C894" i="1" s="1" a="1"/>
  <c r="C894" i="1" s="1"/>
  <c r="D894" i="1" a="1"/>
  <c r="D894" i="1" s="1"/>
  <c r="E894" i="1"/>
  <c r="F894" i="1"/>
  <c r="G894" i="1"/>
  <c r="H894" i="1"/>
  <c r="L894" i="1" s="1"/>
  <c r="I894" i="1"/>
  <c r="A895" i="1"/>
  <c r="B895" i="1" a="1"/>
  <c r="B895" i="1" s="1"/>
  <c r="C895" i="1" s="1" a="1"/>
  <c r="C895" i="1" s="1"/>
  <c r="D895" i="1" a="1"/>
  <c r="D895" i="1" s="1"/>
  <c r="E895" i="1"/>
  <c r="F895" i="1"/>
  <c r="G895" i="1"/>
  <c r="H895" i="1"/>
  <c r="L895" i="1" s="1"/>
  <c r="I895" i="1"/>
  <c r="A896" i="1"/>
  <c r="B896" i="1" a="1"/>
  <c r="B896" i="1" s="1"/>
  <c r="C896" i="1" s="1" a="1"/>
  <c r="C896" i="1" s="1"/>
  <c r="D896" i="1" a="1"/>
  <c r="D896" i="1" s="1"/>
  <c r="E896" i="1"/>
  <c r="F896" i="1"/>
  <c r="G896" i="1"/>
  <c r="H896" i="1"/>
  <c r="L896" i="1" s="1"/>
  <c r="I896" i="1"/>
  <c r="A897" i="1"/>
  <c r="B897" i="1" a="1"/>
  <c r="B897" i="1" s="1"/>
  <c r="C897" i="1" s="1" a="1"/>
  <c r="C897" i="1" s="1"/>
  <c r="D897" i="1" a="1"/>
  <c r="D897" i="1" s="1"/>
  <c r="E897" i="1"/>
  <c r="F897" i="1"/>
  <c r="G897" i="1"/>
  <c r="H897" i="1"/>
  <c r="L897" i="1" s="1"/>
  <c r="I897" i="1"/>
  <c r="A898" i="1"/>
  <c r="B898" i="1" a="1"/>
  <c r="B898" i="1" s="1"/>
  <c r="C898" i="1" s="1" a="1"/>
  <c r="C898" i="1" s="1"/>
  <c r="D898" i="1" a="1"/>
  <c r="D898" i="1" s="1"/>
  <c r="E898" i="1"/>
  <c r="F898" i="1"/>
  <c r="G898" i="1"/>
  <c r="H898" i="1"/>
  <c r="L898" i="1" s="1"/>
  <c r="I898" i="1"/>
  <c r="A899" i="1"/>
  <c r="B899" i="1" a="1"/>
  <c r="B899" i="1" s="1"/>
  <c r="C899" i="1" s="1" a="1"/>
  <c r="C899" i="1" s="1"/>
  <c r="D899" i="1" a="1"/>
  <c r="D899" i="1" s="1"/>
  <c r="E899" i="1"/>
  <c r="F899" i="1"/>
  <c r="G899" i="1"/>
  <c r="H899" i="1"/>
  <c r="I899" i="1"/>
  <c r="A900" i="1"/>
  <c r="B900" i="1" a="1"/>
  <c r="B900" i="1" s="1"/>
  <c r="C900" i="1" s="1" a="1"/>
  <c r="C900" i="1" s="1"/>
  <c r="D900" i="1" a="1"/>
  <c r="D900" i="1" s="1"/>
  <c r="E900" i="1"/>
  <c r="F900" i="1"/>
  <c r="G900" i="1"/>
  <c r="H900" i="1"/>
  <c r="L900" i="1" s="1"/>
  <c r="I900" i="1"/>
  <c r="A901" i="1"/>
  <c r="B901" i="1" a="1"/>
  <c r="B901" i="1" s="1"/>
  <c r="C901" i="1" s="1" a="1"/>
  <c r="C901" i="1" s="1"/>
  <c r="D901" i="1" a="1"/>
  <c r="D901" i="1" s="1"/>
  <c r="E901" i="1"/>
  <c r="F901" i="1"/>
  <c r="G901" i="1"/>
  <c r="H901" i="1"/>
  <c r="I901" i="1"/>
  <c r="A902" i="1"/>
  <c r="B902" i="1" a="1"/>
  <c r="B902" i="1" s="1"/>
  <c r="C902" i="1" s="1" a="1"/>
  <c r="C902" i="1" s="1"/>
  <c r="D902" i="1" a="1"/>
  <c r="D902" i="1" s="1"/>
  <c r="E902" i="1"/>
  <c r="F902" i="1"/>
  <c r="G902" i="1"/>
  <c r="H902" i="1"/>
  <c r="L902" i="1" s="1"/>
  <c r="I902" i="1"/>
  <c r="A903" i="1"/>
  <c r="B903" i="1" a="1"/>
  <c r="B903" i="1" s="1"/>
  <c r="C903" i="1" s="1" a="1"/>
  <c r="C903" i="1" s="1"/>
  <c r="D903" i="1" a="1"/>
  <c r="D903" i="1" s="1"/>
  <c r="E903" i="1"/>
  <c r="F903" i="1"/>
  <c r="G903" i="1"/>
  <c r="H903" i="1"/>
  <c r="L903" i="1" s="1"/>
  <c r="I903" i="1"/>
  <c r="A904" i="1"/>
  <c r="B904" i="1" a="1"/>
  <c r="B904" i="1" s="1"/>
  <c r="C904" i="1" s="1" a="1"/>
  <c r="C904" i="1" s="1"/>
  <c r="D904" i="1" a="1"/>
  <c r="D904" i="1" s="1"/>
  <c r="E904" i="1"/>
  <c r="F904" i="1"/>
  <c r="G904" i="1"/>
  <c r="H904" i="1"/>
  <c r="L904" i="1" s="1"/>
  <c r="I904" i="1"/>
  <c r="A905" i="1"/>
  <c r="B905" i="1" a="1"/>
  <c r="B905" i="1" s="1"/>
  <c r="C905" i="1" s="1" a="1"/>
  <c r="C905" i="1" s="1"/>
  <c r="D905" i="1" a="1"/>
  <c r="D905" i="1" s="1"/>
  <c r="E905" i="1"/>
  <c r="F905" i="1"/>
  <c r="G905" i="1"/>
  <c r="H905" i="1"/>
  <c r="L905" i="1" s="1"/>
  <c r="I905" i="1"/>
  <c r="A906" i="1"/>
  <c r="B906" i="1" a="1"/>
  <c r="B906" i="1" s="1"/>
  <c r="C906" i="1" s="1" a="1"/>
  <c r="C906" i="1" s="1"/>
  <c r="D906" i="1" a="1"/>
  <c r="D906" i="1" s="1"/>
  <c r="E906" i="1"/>
  <c r="F906" i="1"/>
  <c r="G906" i="1"/>
  <c r="H906" i="1"/>
  <c r="M906" i="1" s="1"/>
  <c r="I906" i="1"/>
  <c r="A907" i="1"/>
  <c r="B907" i="1" a="1"/>
  <c r="B907" i="1" s="1"/>
  <c r="C907" i="1" s="1" a="1"/>
  <c r="C907" i="1" s="1"/>
  <c r="D907" i="1" a="1"/>
  <c r="D907" i="1" s="1"/>
  <c r="E907" i="1"/>
  <c r="F907" i="1"/>
  <c r="G907" i="1"/>
  <c r="H907" i="1"/>
  <c r="I907" i="1"/>
  <c r="A908" i="1"/>
  <c r="B908" i="1" a="1"/>
  <c r="B908" i="1" s="1"/>
  <c r="C908" i="1" s="1" a="1"/>
  <c r="C908" i="1" s="1"/>
  <c r="D908" i="1" a="1"/>
  <c r="D908" i="1" s="1"/>
  <c r="E908" i="1"/>
  <c r="F908" i="1"/>
  <c r="G908" i="1"/>
  <c r="H908" i="1"/>
  <c r="L908" i="1" s="1"/>
  <c r="I908" i="1"/>
  <c r="A909" i="1"/>
  <c r="B909" i="1" a="1"/>
  <c r="B909" i="1" s="1"/>
  <c r="C909" i="1" s="1" a="1"/>
  <c r="C909" i="1" s="1"/>
  <c r="D909" i="1" a="1"/>
  <c r="D909" i="1" s="1"/>
  <c r="E909" i="1"/>
  <c r="F909" i="1"/>
  <c r="G909" i="1"/>
  <c r="H909" i="1"/>
  <c r="I909" i="1"/>
  <c r="A910" i="1"/>
  <c r="B910" i="1" a="1"/>
  <c r="B910" i="1" s="1"/>
  <c r="C910" i="1" s="1" a="1"/>
  <c r="C910" i="1" s="1"/>
  <c r="D910" i="1" a="1"/>
  <c r="D910" i="1" s="1"/>
  <c r="E910" i="1"/>
  <c r="F910" i="1"/>
  <c r="G910" i="1"/>
  <c r="H910" i="1"/>
  <c r="L910" i="1" s="1"/>
  <c r="I910" i="1"/>
  <c r="A911" i="1"/>
  <c r="B911" i="1" a="1"/>
  <c r="B911" i="1" s="1"/>
  <c r="C911" i="1" s="1" a="1"/>
  <c r="C911" i="1" s="1"/>
  <c r="D911" i="1" a="1"/>
  <c r="D911" i="1" s="1"/>
  <c r="E911" i="1"/>
  <c r="F911" i="1"/>
  <c r="G911" i="1"/>
  <c r="H911" i="1"/>
  <c r="L911" i="1" s="1"/>
  <c r="I911" i="1"/>
  <c r="A912" i="1"/>
  <c r="B912" i="1" a="1"/>
  <c r="B912" i="1" s="1"/>
  <c r="C912" i="1" s="1" a="1"/>
  <c r="C912" i="1" s="1"/>
  <c r="D912" i="1" a="1"/>
  <c r="D912" i="1" s="1"/>
  <c r="E912" i="1"/>
  <c r="F912" i="1"/>
  <c r="G912" i="1"/>
  <c r="H912" i="1"/>
  <c r="L912" i="1" s="1"/>
  <c r="I912" i="1"/>
  <c r="A913" i="1"/>
  <c r="B913" i="1" a="1"/>
  <c r="B913" i="1" s="1"/>
  <c r="C913" i="1" s="1" a="1"/>
  <c r="C913" i="1" s="1"/>
  <c r="D913" i="1" a="1"/>
  <c r="D913" i="1" s="1"/>
  <c r="E913" i="1"/>
  <c r="F913" i="1"/>
  <c r="G913" i="1"/>
  <c r="H913" i="1"/>
  <c r="I913" i="1"/>
  <c r="A914" i="1"/>
  <c r="B914" i="1" a="1"/>
  <c r="B914" i="1" s="1"/>
  <c r="C914" i="1" s="1" a="1"/>
  <c r="C914" i="1" s="1"/>
  <c r="D914" i="1" a="1"/>
  <c r="D914" i="1" s="1"/>
  <c r="E914" i="1"/>
  <c r="F914" i="1"/>
  <c r="G914" i="1"/>
  <c r="H914" i="1"/>
  <c r="I914" i="1"/>
  <c r="A915" i="1"/>
  <c r="B915" i="1" a="1"/>
  <c r="B915" i="1" s="1"/>
  <c r="C915" i="1" s="1" a="1"/>
  <c r="C915" i="1" s="1"/>
  <c r="D915" i="1" a="1"/>
  <c r="D915" i="1" s="1"/>
  <c r="E915" i="1"/>
  <c r="F915" i="1"/>
  <c r="G915" i="1"/>
  <c r="H915" i="1"/>
  <c r="M915" i="1" s="1"/>
  <c r="I915" i="1"/>
  <c r="A916" i="1"/>
  <c r="B916" i="1" a="1"/>
  <c r="B916" i="1" s="1"/>
  <c r="C916" i="1" s="1" a="1"/>
  <c r="C916" i="1" s="1"/>
  <c r="D916" i="1" a="1"/>
  <c r="D916" i="1" s="1"/>
  <c r="E916" i="1"/>
  <c r="F916" i="1"/>
  <c r="G916" i="1"/>
  <c r="H916" i="1"/>
  <c r="L916" i="1" s="1"/>
  <c r="I916" i="1"/>
  <c r="A917" i="1"/>
  <c r="B917" i="1" a="1"/>
  <c r="B917" i="1" s="1"/>
  <c r="C917" i="1" s="1" a="1"/>
  <c r="C917" i="1" s="1"/>
  <c r="D917" i="1" a="1"/>
  <c r="D917" i="1" s="1"/>
  <c r="E917" i="1"/>
  <c r="F917" i="1"/>
  <c r="G917" i="1"/>
  <c r="H917" i="1"/>
  <c r="I917" i="1"/>
  <c r="A918" i="1"/>
  <c r="B918" i="1" a="1"/>
  <c r="B918" i="1" s="1"/>
  <c r="C918" i="1" s="1" a="1"/>
  <c r="C918" i="1" s="1"/>
  <c r="D918" i="1" a="1"/>
  <c r="D918" i="1" s="1"/>
  <c r="E918" i="1"/>
  <c r="F918" i="1"/>
  <c r="G918" i="1"/>
  <c r="H918" i="1"/>
  <c r="L918" i="1" s="1"/>
  <c r="I918" i="1"/>
  <c r="A919" i="1"/>
  <c r="B919" i="1" a="1"/>
  <c r="B919" i="1" s="1"/>
  <c r="C919" i="1" s="1" a="1"/>
  <c r="C919" i="1" s="1"/>
  <c r="D919" i="1" a="1"/>
  <c r="D919" i="1" s="1"/>
  <c r="E919" i="1"/>
  <c r="F919" i="1"/>
  <c r="G919" i="1"/>
  <c r="H919" i="1"/>
  <c r="L919" i="1" s="1"/>
  <c r="I919" i="1"/>
  <c r="A920" i="1"/>
  <c r="B920" i="1" a="1"/>
  <c r="B920" i="1" s="1"/>
  <c r="C920" i="1" s="1" a="1"/>
  <c r="C920" i="1" s="1"/>
  <c r="D920" i="1" a="1"/>
  <c r="D920" i="1" s="1"/>
  <c r="E920" i="1"/>
  <c r="F920" i="1"/>
  <c r="G920" i="1"/>
  <c r="H920" i="1"/>
  <c r="L920" i="1" s="1"/>
  <c r="I920" i="1"/>
  <c r="A921" i="1"/>
  <c r="B921" i="1" a="1"/>
  <c r="B921" i="1" s="1"/>
  <c r="C921" i="1" s="1" a="1"/>
  <c r="C921" i="1" s="1"/>
  <c r="D921" i="1" a="1"/>
  <c r="D921" i="1" s="1"/>
  <c r="E921" i="1"/>
  <c r="F921" i="1"/>
  <c r="G921" i="1"/>
  <c r="H921" i="1"/>
  <c r="L921" i="1" s="1"/>
  <c r="I921" i="1"/>
  <c r="A922" i="1"/>
  <c r="B922" i="1" a="1"/>
  <c r="B922" i="1" s="1"/>
  <c r="C922" i="1" s="1" a="1"/>
  <c r="C922" i="1" s="1"/>
  <c r="D922" i="1" a="1"/>
  <c r="D922" i="1" s="1"/>
  <c r="E922" i="1"/>
  <c r="F922" i="1"/>
  <c r="G922" i="1"/>
  <c r="H922" i="1"/>
  <c r="M922" i="1" s="1"/>
  <c r="I922" i="1"/>
  <c r="A923" i="1"/>
  <c r="B923" i="1" a="1"/>
  <c r="B923" i="1" s="1"/>
  <c r="C923" i="1" s="1" a="1"/>
  <c r="C923" i="1" s="1"/>
  <c r="D923" i="1" a="1"/>
  <c r="D923" i="1" s="1"/>
  <c r="E923" i="1"/>
  <c r="F923" i="1"/>
  <c r="G923" i="1"/>
  <c r="H923" i="1"/>
  <c r="I923" i="1"/>
  <c r="A924" i="1"/>
  <c r="B924" i="1" a="1"/>
  <c r="B924" i="1" s="1"/>
  <c r="C924" i="1" s="1" a="1"/>
  <c r="C924" i="1" s="1"/>
  <c r="D924" i="1" a="1"/>
  <c r="D924" i="1" s="1"/>
  <c r="E924" i="1"/>
  <c r="F924" i="1"/>
  <c r="G924" i="1"/>
  <c r="H924" i="1"/>
  <c r="L924" i="1" s="1"/>
  <c r="I924" i="1"/>
  <c r="A925" i="1"/>
  <c r="B925" i="1" a="1"/>
  <c r="B925" i="1" s="1"/>
  <c r="C925" i="1" s="1" a="1"/>
  <c r="C925" i="1" s="1"/>
  <c r="D925" i="1" a="1"/>
  <c r="D925" i="1" s="1"/>
  <c r="E925" i="1"/>
  <c r="F925" i="1"/>
  <c r="G925" i="1"/>
  <c r="H925" i="1"/>
  <c r="L925" i="1" s="1"/>
  <c r="I925" i="1"/>
  <c r="A926" i="1"/>
  <c r="B926" i="1" a="1"/>
  <c r="B926" i="1" s="1"/>
  <c r="C926" i="1" s="1" a="1"/>
  <c r="C926" i="1" s="1"/>
  <c r="D926" i="1" a="1"/>
  <c r="D926" i="1" s="1"/>
  <c r="E926" i="1"/>
  <c r="F926" i="1"/>
  <c r="G926" i="1"/>
  <c r="H926" i="1"/>
  <c r="L926" i="1" s="1"/>
  <c r="I926" i="1"/>
  <c r="A927" i="1"/>
  <c r="B927" i="1" a="1"/>
  <c r="B927" i="1" s="1"/>
  <c r="C927" i="1" s="1" a="1"/>
  <c r="C927" i="1" s="1"/>
  <c r="D927" i="1" a="1"/>
  <c r="D927" i="1" s="1"/>
  <c r="E927" i="1"/>
  <c r="F927" i="1"/>
  <c r="G927" i="1"/>
  <c r="H927" i="1"/>
  <c r="M927" i="1" s="1"/>
  <c r="I927" i="1"/>
  <c r="A928" i="1"/>
  <c r="B928" i="1" a="1"/>
  <c r="B928" i="1" s="1"/>
  <c r="C928" i="1" s="1" a="1"/>
  <c r="C928" i="1" s="1"/>
  <c r="D928" i="1" a="1"/>
  <c r="D928" i="1" s="1"/>
  <c r="E928" i="1"/>
  <c r="F928" i="1"/>
  <c r="G928" i="1"/>
  <c r="H928" i="1"/>
  <c r="I928" i="1"/>
  <c r="A929" i="1"/>
  <c r="B929" i="1" a="1"/>
  <c r="B929" i="1" s="1"/>
  <c r="C929" i="1" s="1" a="1"/>
  <c r="C929" i="1" s="1"/>
  <c r="D929" i="1" a="1"/>
  <c r="D929" i="1" s="1"/>
  <c r="E929" i="1"/>
  <c r="F929" i="1"/>
  <c r="G929" i="1"/>
  <c r="H929" i="1"/>
  <c r="M929" i="1" s="1"/>
  <c r="I929" i="1"/>
  <c r="A930" i="1"/>
  <c r="B930" i="1" a="1"/>
  <c r="B930" i="1" s="1"/>
  <c r="C930" i="1" s="1" a="1"/>
  <c r="C930" i="1" s="1"/>
  <c r="D930" i="1" a="1"/>
  <c r="D930" i="1" s="1"/>
  <c r="E930" i="1"/>
  <c r="F930" i="1"/>
  <c r="G930" i="1"/>
  <c r="H930" i="1"/>
  <c r="I930" i="1"/>
  <c r="A931" i="1"/>
  <c r="B931" i="1" a="1"/>
  <c r="B931" i="1" s="1"/>
  <c r="C931" i="1" s="1" a="1"/>
  <c r="C931" i="1" s="1"/>
  <c r="D931" i="1" a="1"/>
  <c r="D931" i="1" s="1"/>
  <c r="E931" i="1"/>
  <c r="F931" i="1"/>
  <c r="G931" i="1"/>
  <c r="H931" i="1"/>
  <c r="M931" i="1" s="1"/>
  <c r="I931" i="1"/>
  <c r="A932" i="1"/>
  <c r="B932" i="1" a="1"/>
  <c r="B932" i="1" s="1"/>
  <c r="C932" i="1" s="1" a="1"/>
  <c r="C932" i="1" s="1"/>
  <c r="D932" i="1" a="1"/>
  <c r="D932" i="1" s="1"/>
  <c r="E932" i="1"/>
  <c r="F932" i="1"/>
  <c r="G932" i="1"/>
  <c r="H932" i="1"/>
  <c r="L932" i="1" s="1"/>
  <c r="I932" i="1"/>
  <c r="A933" i="1"/>
  <c r="B933" i="1" a="1"/>
  <c r="B933" i="1" s="1"/>
  <c r="C933" i="1" s="1" a="1"/>
  <c r="C933" i="1" s="1"/>
  <c r="D933" i="1" a="1"/>
  <c r="D933" i="1" s="1"/>
  <c r="E933" i="1"/>
  <c r="F933" i="1"/>
  <c r="G933" i="1"/>
  <c r="H933" i="1"/>
  <c r="L933" i="1" s="1"/>
  <c r="I933" i="1"/>
  <c r="A934" i="1"/>
  <c r="B934" i="1" a="1"/>
  <c r="B934" i="1" s="1"/>
  <c r="C934" i="1" s="1" a="1"/>
  <c r="C934" i="1" s="1"/>
  <c r="D934" i="1" a="1"/>
  <c r="D934" i="1" s="1"/>
  <c r="E934" i="1"/>
  <c r="F934" i="1"/>
  <c r="G934" i="1"/>
  <c r="H934" i="1"/>
  <c r="I934" i="1"/>
  <c r="A935" i="1"/>
  <c r="B935" i="1" a="1"/>
  <c r="B935" i="1" s="1"/>
  <c r="C935" i="1" s="1" a="1"/>
  <c r="C935" i="1" s="1"/>
  <c r="D935" i="1" a="1"/>
  <c r="D935" i="1" s="1"/>
  <c r="E935" i="1"/>
  <c r="F935" i="1"/>
  <c r="G935" i="1"/>
  <c r="H935" i="1"/>
  <c r="I935" i="1"/>
  <c r="A936" i="1"/>
  <c r="B936" i="1" a="1"/>
  <c r="B936" i="1" s="1"/>
  <c r="C936" i="1" s="1" a="1"/>
  <c r="C936" i="1" s="1"/>
  <c r="D936" i="1" a="1"/>
  <c r="D936" i="1" s="1"/>
  <c r="E936" i="1"/>
  <c r="F936" i="1"/>
  <c r="G936" i="1"/>
  <c r="H936" i="1"/>
  <c r="L936" i="1" s="1"/>
  <c r="I936" i="1"/>
  <c r="A937" i="1"/>
  <c r="B937" i="1" a="1"/>
  <c r="B937" i="1" s="1"/>
  <c r="C937" i="1" s="1" a="1"/>
  <c r="C937" i="1" s="1"/>
  <c r="D937" i="1" a="1"/>
  <c r="D937" i="1" s="1"/>
  <c r="E937" i="1"/>
  <c r="F937" i="1"/>
  <c r="G937" i="1"/>
  <c r="H937" i="1"/>
  <c r="L937" i="1" s="1"/>
  <c r="I937" i="1"/>
  <c r="A938" i="1"/>
  <c r="B938" i="1" a="1"/>
  <c r="B938" i="1" s="1"/>
  <c r="C938" i="1" s="1" a="1"/>
  <c r="C938" i="1" s="1"/>
  <c r="D938" i="1" a="1"/>
  <c r="D938" i="1" s="1"/>
  <c r="E938" i="1"/>
  <c r="F938" i="1"/>
  <c r="G938" i="1"/>
  <c r="H938" i="1"/>
  <c r="L938" i="1" s="1"/>
  <c r="I938" i="1"/>
  <c r="A939" i="1"/>
  <c r="B939" i="1" a="1"/>
  <c r="B939" i="1" s="1"/>
  <c r="C939" i="1" s="1" a="1"/>
  <c r="C939" i="1" s="1"/>
  <c r="D939" i="1" a="1"/>
  <c r="D939" i="1" s="1"/>
  <c r="E939" i="1"/>
  <c r="F939" i="1"/>
  <c r="G939" i="1"/>
  <c r="H939" i="1"/>
  <c r="L939" i="1" s="1"/>
  <c r="I939" i="1"/>
  <c r="A940" i="1"/>
  <c r="B940" i="1" a="1"/>
  <c r="B940" i="1" s="1"/>
  <c r="C940" i="1" s="1" a="1"/>
  <c r="C940" i="1" s="1"/>
  <c r="D940" i="1" a="1"/>
  <c r="D940" i="1" s="1"/>
  <c r="E940" i="1"/>
  <c r="F940" i="1"/>
  <c r="G940" i="1"/>
  <c r="H940" i="1"/>
  <c r="L940" i="1" s="1"/>
  <c r="I940" i="1"/>
  <c r="A941" i="1"/>
  <c r="B941" i="1" a="1"/>
  <c r="B941" i="1" s="1"/>
  <c r="C941" i="1" s="1" a="1"/>
  <c r="C941" i="1" s="1"/>
  <c r="D941" i="1" a="1"/>
  <c r="D941" i="1" s="1"/>
  <c r="E941" i="1"/>
  <c r="F941" i="1"/>
  <c r="G941" i="1"/>
  <c r="H941" i="1"/>
  <c r="L941" i="1" s="1"/>
  <c r="I941" i="1"/>
  <c r="A942" i="1"/>
  <c r="B942" i="1" a="1"/>
  <c r="B942" i="1" s="1"/>
  <c r="C942" i="1" s="1" a="1"/>
  <c r="C942" i="1" s="1"/>
  <c r="D942" i="1" a="1"/>
  <c r="D942" i="1" s="1"/>
  <c r="E942" i="1"/>
  <c r="F942" i="1"/>
  <c r="G942" i="1"/>
  <c r="H942" i="1"/>
  <c r="L942" i="1" s="1"/>
  <c r="I942" i="1"/>
  <c r="A943" i="1"/>
  <c r="B943" i="1" a="1"/>
  <c r="B943" i="1" s="1"/>
  <c r="C943" i="1" s="1" a="1"/>
  <c r="C943" i="1" s="1"/>
  <c r="D943" i="1" a="1"/>
  <c r="D943" i="1" s="1"/>
  <c r="E943" i="1"/>
  <c r="F943" i="1"/>
  <c r="G943" i="1"/>
  <c r="H943" i="1"/>
  <c r="I943" i="1"/>
  <c r="A944" i="1"/>
  <c r="B944" i="1" a="1"/>
  <c r="B944" i="1" s="1"/>
  <c r="C944" i="1" s="1" a="1"/>
  <c r="C944" i="1" s="1"/>
  <c r="D944" i="1" a="1"/>
  <c r="D944" i="1" s="1"/>
  <c r="E944" i="1"/>
  <c r="F944" i="1"/>
  <c r="G944" i="1"/>
  <c r="H944" i="1"/>
  <c r="I944" i="1"/>
  <c r="A945" i="1"/>
  <c r="B945" i="1" a="1"/>
  <c r="B945" i="1" s="1"/>
  <c r="C945" i="1" s="1" a="1"/>
  <c r="C945" i="1" s="1"/>
  <c r="D945" i="1" a="1"/>
  <c r="D945" i="1" s="1"/>
  <c r="E945" i="1"/>
  <c r="F945" i="1"/>
  <c r="G945" i="1"/>
  <c r="H945" i="1"/>
  <c r="L945" i="1" s="1"/>
  <c r="I945" i="1"/>
  <c r="A946" i="1"/>
  <c r="B946" i="1" a="1"/>
  <c r="B946" i="1" s="1"/>
  <c r="C946" i="1" s="1" a="1"/>
  <c r="C946" i="1" s="1"/>
  <c r="D946" i="1" a="1"/>
  <c r="D946" i="1" s="1"/>
  <c r="E946" i="1"/>
  <c r="F946" i="1"/>
  <c r="G946" i="1"/>
  <c r="H946" i="1"/>
  <c r="L946" i="1" s="1"/>
  <c r="I946" i="1"/>
  <c r="A947" i="1"/>
  <c r="B947" i="1" a="1"/>
  <c r="B947" i="1" s="1"/>
  <c r="C947" i="1" s="1" a="1"/>
  <c r="C947" i="1" s="1"/>
  <c r="D947" i="1" a="1"/>
  <c r="D947" i="1" s="1"/>
  <c r="E947" i="1"/>
  <c r="F947" i="1"/>
  <c r="G947" i="1"/>
  <c r="H947" i="1"/>
  <c r="L947" i="1" s="1"/>
  <c r="I947" i="1"/>
  <c r="A948" i="1"/>
  <c r="B948" i="1" a="1"/>
  <c r="B948" i="1" s="1"/>
  <c r="C948" i="1" s="1" a="1"/>
  <c r="C948" i="1" s="1"/>
  <c r="D948" i="1" a="1"/>
  <c r="D948" i="1" s="1"/>
  <c r="E948" i="1"/>
  <c r="F948" i="1"/>
  <c r="G948" i="1"/>
  <c r="H948" i="1"/>
  <c r="I948" i="1"/>
  <c r="A949" i="1"/>
  <c r="B949" i="1" a="1"/>
  <c r="B949" i="1" s="1"/>
  <c r="C949" i="1" s="1" a="1"/>
  <c r="C949" i="1" s="1"/>
  <c r="D949" i="1" a="1"/>
  <c r="D949" i="1" s="1"/>
  <c r="E949" i="1"/>
  <c r="F949" i="1"/>
  <c r="G949" i="1"/>
  <c r="H949" i="1"/>
  <c r="L949" i="1" s="1"/>
  <c r="I949" i="1"/>
  <c r="A950" i="1"/>
  <c r="B950" i="1" a="1"/>
  <c r="B950" i="1" s="1"/>
  <c r="C950" i="1" s="1" a="1"/>
  <c r="C950" i="1" s="1"/>
  <c r="D950" i="1" a="1"/>
  <c r="D950" i="1" s="1"/>
  <c r="E950" i="1"/>
  <c r="F950" i="1"/>
  <c r="G950" i="1"/>
  <c r="H950" i="1"/>
  <c r="L950" i="1" s="1"/>
  <c r="I950" i="1"/>
  <c r="A951" i="1"/>
  <c r="B951" i="1" a="1"/>
  <c r="B951" i="1" s="1"/>
  <c r="C951" i="1" s="1" a="1"/>
  <c r="C951" i="1" s="1"/>
  <c r="D951" i="1" a="1"/>
  <c r="D951" i="1" s="1"/>
  <c r="E951" i="1"/>
  <c r="F951" i="1"/>
  <c r="G951" i="1"/>
  <c r="H951" i="1"/>
  <c r="L951" i="1" s="1"/>
  <c r="I951" i="1"/>
  <c r="A952" i="1"/>
  <c r="B952" i="1" a="1"/>
  <c r="B952" i="1" s="1"/>
  <c r="C952" i="1" s="1" a="1"/>
  <c r="C952" i="1" s="1"/>
  <c r="D952" i="1" a="1"/>
  <c r="D952" i="1" s="1"/>
  <c r="E952" i="1"/>
  <c r="F952" i="1"/>
  <c r="G952" i="1"/>
  <c r="H952" i="1"/>
  <c r="I952" i="1"/>
  <c r="A953" i="1"/>
  <c r="B953" i="1" a="1"/>
  <c r="B953" i="1" s="1"/>
  <c r="C953" i="1" s="1" a="1"/>
  <c r="C953" i="1" s="1"/>
  <c r="D953" i="1" a="1"/>
  <c r="D953" i="1" s="1"/>
  <c r="E953" i="1"/>
  <c r="F953" i="1"/>
  <c r="G953" i="1"/>
  <c r="H953" i="1"/>
  <c r="L953" i="1" s="1"/>
  <c r="I953" i="1"/>
  <c r="A954" i="1"/>
  <c r="B954" i="1" a="1"/>
  <c r="B954" i="1" s="1"/>
  <c r="C954" i="1" s="1" a="1"/>
  <c r="C954" i="1" s="1"/>
  <c r="D954" i="1" a="1"/>
  <c r="D954" i="1" s="1"/>
  <c r="E954" i="1"/>
  <c r="F954" i="1"/>
  <c r="G954" i="1"/>
  <c r="H954" i="1"/>
  <c r="L954" i="1" s="1"/>
  <c r="I954" i="1"/>
  <c r="A955" i="1"/>
  <c r="B955" i="1" a="1"/>
  <c r="B955" i="1" s="1"/>
  <c r="C955" i="1" s="1" a="1"/>
  <c r="C955" i="1" s="1"/>
  <c r="D955" i="1" a="1"/>
  <c r="D955" i="1" s="1"/>
  <c r="E955" i="1"/>
  <c r="F955" i="1"/>
  <c r="G955" i="1"/>
  <c r="H955" i="1"/>
  <c r="L955" i="1" s="1"/>
  <c r="I955" i="1"/>
  <c r="A956" i="1"/>
  <c r="B956" i="1" a="1"/>
  <c r="B956" i="1" s="1"/>
  <c r="C956" i="1" s="1" a="1"/>
  <c r="C956" i="1" s="1"/>
  <c r="D956" i="1" a="1"/>
  <c r="D956" i="1" s="1"/>
  <c r="E956" i="1"/>
  <c r="F956" i="1"/>
  <c r="G956" i="1"/>
  <c r="H956" i="1"/>
  <c r="I956" i="1"/>
  <c r="A957" i="1"/>
  <c r="B957" i="1" a="1"/>
  <c r="B957" i="1" s="1"/>
  <c r="C957" i="1" s="1" a="1"/>
  <c r="C957" i="1" s="1"/>
  <c r="D957" i="1" a="1"/>
  <c r="D957" i="1" s="1"/>
  <c r="E957" i="1"/>
  <c r="F957" i="1"/>
  <c r="G957" i="1"/>
  <c r="H957" i="1"/>
  <c r="L957" i="1" s="1"/>
  <c r="I957" i="1"/>
  <c r="A958" i="1"/>
  <c r="B958" i="1" a="1"/>
  <c r="B958" i="1" s="1"/>
  <c r="C958" i="1" s="1" a="1"/>
  <c r="C958" i="1" s="1"/>
  <c r="D958" i="1" a="1"/>
  <c r="D958" i="1" s="1"/>
  <c r="E958" i="1"/>
  <c r="F958" i="1"/>
  <c r="G958" i="1"/>
  <c r="H958" i="1"/>
  <c r="L958" i="1" s="1"/>
  <c r="I958" i="1"/>
  <c r="A959" i="1"/>
  <c r="B959" i="1" a="1"/>
  <c r="B959" i="1" s="1"/>
  <c r="C959" i="1" s="1" a="1"/>
  <c r="C959" i="1" s="1"/>
  <c r="D959" i="1" a="1"/>
  <c r="D959" i="1" s="1"/>
  <c r="E959" i="1"/>
  <c r="F959" i="1"/>
  <c r="G959" i="1"/>
  <c r="H959" i="1"/>
  <c r="L959" i="1" s="1"/>
  <c r="I959" i="1"/>
  <c r="A960" i="1"/>
  <c r="B960" i="1" a="1"/>
  <c r="B960" i="1" s="1"/>
  <c r="C960" i="1" s="1" a="1"/>
  <c r="C960" i="1" s="1"/>
  <c r="D960" i="1" a="1"/>
  <c r="D960" i="1" s="1"/>
  <c r="E960" i="1"/>
  <c r="F960" i="1"/>
  <c r="G960" i="1"/>
  <c r="H960" i="1"/>
  <c r="I960" i="1"/>
  <c r="A961" i="1"/>
  <c r="B961" i="1" a="1"/>
  <c r="B961" i="1" s="1"/>
  <c r="C961" i="1" s="1" a="1"/>
  <c r="C961" i="1" s="1"/>
  <c r="D961" i="1" a="1"/>
  <c r="D961" i="1" s="1"/>
  <c r="E961" i="1"/>
  <c r="F961" i="1"/>
  <c r="G961" i="1"/>
  <c r="H961" i="1"/>
  <c r="L961" i="1" s="1"/>
  <c r="I961" i="1"/>
  <c r="A962" i="1"/>
  <c r="B962" i="1" a="1"/>
  <c r="B962" i="1" s="1"/>
  <c r="C962" i="1" s="1" a="1"/>
  <c r="C962" i="1" s="1"/>
  <c r="D962" i="1" a="1"/>
  <c r="D962" i="1" s="1"/>
  <c r="E962" i="1"/>
  <c r="F962" i="1"/>
  <c r="G962" i="1"/>
  <c r="H962" i="1"/>
  <c r="L962" i="1" s="1"/>
  <c r="I962" i="1"/>
  <c r="A963" i="1"/>
  <c r="B963" i="1" a="1"/>
  <c r="B963" i="1" s="1"/>
  <c r="C963" i="1" s="1" a="1"/>
  <c r="C963" i="1" s="1"/>
  <c r="D963" i="1" a="1"/>
  <c r="D963" i="1" s="1"/>
  <c r="E963" i="1"/>
  <c r="F963" i="1"/>
  <c r="G963" i="1"/>
  <c r="H963" i="1"/>
  <c r="L963" i="1" s="1"/>
  <c r="I963" i="1"/>
  <c r="A964" i="1"/>
  <c r="B964" i="1" a="1"/>
  <c r="B964" i="1" s="1"/>
  <c r="C964" i="1" s="1" a="1"/>
  <c r="C964" i="1" s="1"/>
  <c r="D964" i="1" a="1"/>
  <c r="D964" i="1" s="1"/>
  <c r="E964" i="1"/>
  <c r="F964" i="1"/>
  <c r="G964" i="1"/>
  <c r="H964" i="1"/>
  <c r="I964" i="1"/>
  <c r="A965" i="1"/>
  <c r="B965" i="1" a="1"/>
  <c r="B965" i="1" s="1"/>
  <c r="C965" i="1" s="1" a="1"/>
  <c r="C965" i="1" s="1"/>
  <c r="D965" i="1" a="1"/>
  <c r="D965" i="1" s="1"/>
  <c r="E965" i="1"/>
  <c r="F965" i="1"/>
  <c r="G965" i="1"/>
  <c r="H965" i="1"/>
  <c r="L965" i="1" s="1"/>
  <c r="I965" i="1"/>
  <c r="A966" i="1"/>
  <c r="B966" i="1" a="1"/>
  <c r="B966" i="1" s="1"/>
  <c r="C966" i="1" s="1" a="1"/>
  <c r="C966" i="1" s="1"/>
  <c r="D966" i="1" a="1"/>
  <c r="D966" i="1" s="1"/>
  <c r="E966" i="1"/>
  <c r="F966" i="1"/>
  <c r="G966" i="1"/>
  <c r="H966" i="1"/>
  <c r="M966" i="1" s="1"/>
  <c r="I966" i="1"/>
  <c r="A967" i="1"/>
  <c r="B967" i="1" a="1"/>
  <c r="B967" i="1" s="1"/>
  <c r="C967" i="1" s="1" a="1"/>
  <c r="C967" i="1" s="1"/>
  <c r="D967" i="1" a="1"/>
  <c r="D967" i="1" s="1"/>
  <c r="E967" i="1"/>
  <c r="F967" i="1"/>
  <c r="G967" i="1"/>
  <c r="H967" i="1"/>
  <c r="L967" i="1" s="1"/>
  <c r="I967" i="1"/>
  <c r="A968" i="1"/>
  <c r="B968" i="1" a="1"/>
  <c r="B968" i="1" s="1"/>
  <c r="C968" i="1" s="1" a="1"/>
  <c r="C968" i="1" s="1"/>
  <c r="D968" i="1" a="1"/>
  <c r="D968" i="1" s="1"/>
  <c r="E968" i="1"/>
  <c r="F968" i="1"/>
  <c r="G968" i="1"/>
  <c r="H968" i="1"/>
  <c r="I968" i="1"/>
  <c r="A969" i="1"/>
  <c r="B969" i="1" a="1"/>
  <c r="B969" i="1" s="1"/>
  <c r="C969" i="1" s="1" a="1"/>
  <c r="C969" i="1" s="1"/>
  <c r="D969" i="1" a="1"/>
  <c r="D969" i="1" s="1"/>
  <c r="E969" i="1"/>
  <c r="F969" i="1"/>
  <c r="G969" i="1"/>
  <c r="H969" i="1"/>
  <c r="M969" i="1" s="1"/>
  <c r="I969" i="1"/>
  <c r="A970" i="1"/>
  <c r="B970" i="1" a="1"/>
  <c r="B970" i="1" s="1"/>
  <c r="C970" i="1" s="1" a="1"/>
  <c r="C970" i="1" s="1"/>
  <c r="D970" i="1" a="1"/>
  <c r="D970" i="1" s="1"/>
  <c r="E970" i="1"/>
  <c r="F970" i="1"/>
  <c r="G970" i="1"/>
  <c r="H970" i="1"/>
  <c r="L970" i="1" s="1"/>
  <c r="I970" i="1"/>
  <c r="A971" i="1"/>
  <c r="B971" i="1" a="1"/>
  <c r="B971" i="1" s="1"/>
  <c r="C971" i="1" s="1" a="1"/>
  <c r="C971" i="1" s="1"/>
  <c r="D971" i="1" a="1"/>
  <c r="D971" i="1" s="1"/>
  <c r="E971" i="1"/>
  <c r="F971" i="1"/>
  <c r="G971" i="1"/>
  <c r="H971" i="1"/>
  <c r="L971" i="1" s="1"/>
  <c r="I971" i="1"/>
  <c r="A972" i="1"/>
  <c r="B972" i="1" a="1"/>
  <c r="B972" i="1" s="1"/>
  <c r="C972" i="1" s="1" a="1"/>
  <c r="C972" i="1" s="1"/>
  <c r="D972" i="1" a="1"/>
  <c r="D972" i="1" s="1"/>
  <c r="E972" i="1"/>
  <c r="F972" i="1"/>
  <c r="G972" i="1"/>
  <c r="H972" i="1"/>
  <c r="I972" i="1"/>
  <c r="A973" i="1"/>
  <c r="B973" i="1" a="1"/>
  <c r="B973" i="1" s="1"/>
  <c r="C973" i="1" s="1" a="1"/>
  <c r="C973" i="1" s="1"/>
  <c r="D973" i="1" a="1"/>
  <c r="D973" i="1" s="1"/>
  <c r="E973" i="1"/>
  <c r="F973" i="1"/>
  <c r="G973" i="1"/>
  <c r="H973" i="1"/>
  <c r="L973" i="1" s="1"/>
  <c r="I973" i="1"/>
  <c r="A974" i="1"/>
  <c r="B974" i="1" a="1"/>
  <c r="B974" i="1" s="1"/>
  <c r="C974" i="1" s="1" a="1"/>
  <c r="C974" i="1" s="1"/>
  <c r="D974" i="1" a="1"/>
  <c r="D974" i="1" s="1"/>
  <c r="E974" i="1"/>
  <c r="F974" i="1"/>
  <c r="G974" i="1"/>
  <c r="H974" i="1"/>
  <c r="L974" i="1" s="1"/>
  <c r="I974" i="1"/>
  <c r="A975" i="1"/>
  <c r="B975" i="1" a="1"/>
  <c r="B975" i="1" s="1"/>
  <c r="C975" i="1" s="1" a="1"/>
  <c r="C975" i="1" s="1"/>
  <c r="D975" i="1" a="1"/>
  <c r="D975" i="1" s="1"/>
  <c r="E975" i="1"/>
  <c r="F975" i="1"/>
  <c r="G975" i="1"/>
  <c r="H975" i="1"/>
  <c r="L975" i="1" s="1"/>
  <c r="I975" i="1"/>
  <c r="A976" i="1"/>
  <c r="B976" i="1" a="1"/>
  <c r="B976" i="1" s="1"/>
  <c r="C976" i="1" s="1" a="1"/>
  <c r="C976" i="1" s="1"/>
  <c r="D976" i="1" a="1"/>
  <c r="D976" i="1" s="1"/>
  <c r="E976" i="1"/>
  <c r="F976" i="1"/>
  <c r="G976" i="1"/>
  <c r="H976" i="1"/>
  <c r="I976" i="1"/>
  <c r="A977" i="1"/>
  <c r="B977" i="1" a="1"/>
  <c r="B977" i="1" s="1"/>
  <c r="C977" i="1" s="1" a="1"/>
  <c r="C977" i="1" s="1"/>
  <c r="D977" i="1" a="1"/>
  <c r="D977" i="1" s="1"/>
  <c r="E977" i="1"/>
  <c r="F977" i="1"/>
  <c r="G977" i="1"/>
  <c r="H977" i="1"/>
  <c r="M977" i="1" s="1"/>
  <c r="I977" i="1"/>
  <c r="A978" i="1"/>
  <c r="B978" i="1" a="1"/>
  <c r="B978" i="1" s="1"/>
  <c r="C978" i="1" s="1" a="1"/>
  <c r="C978" i="1" s="1"/>
  <c r="D978" i="1" a="1"/>
  <c r="D978" i="1" s="1"/>
  <c r="E978" i="1"/>
  <c r="F978" i="1"/>
  <c r="G978" i="1"/>
  <c r="H978" i="1"/>
  <c r="L978" i="1" s="1"/>
  <c r="I978" i="1"/>
  <c r="A979" i="1"/>
  <c r="B979" i="1" a="1"/>
  <c r="B979" i="1" s="1"/>
  <c r="C979" i="1" s="1" a="1"/>
  <c r="C979" i="1" s="1"/>
  <c r="D979" i="1" a="1"/>
  <c r="D979" i="1" s="1"/>
  <c r="E979" i="1"/>
  <c r="F979" i="1"/>
  <c r="G979" i="1"/>
  <c r="H979" i="1"/>
  <c r="L979" i="1" s="1"/>
  <c r="I979" i="1"/>
  <c r="A980" i="1"/>
  <c r="B980" i="1" a="1"/>
  <c r="B980" i="1" s="1"/>
  <c r="C980" i="1" s="1" a="1"/>
  <c r="C980" i="1" s="1"/>
  <c r="D980" i="1" a="1"/>
  <c r="D980" i="1" s="1"/>
  <c r="E980" i="1"/>
  <c r="F980" i="1"/>
  <c r="G980" i="1"/>
  <c r="H980" i="1"/>
  <c r="L980" i="1" s="1"/>
  <c r="I980" i="1"/>
  <c r="A981" i="1"/>
  <c r="B981" i="1" a="1"/>
  <c r="B981" i="1" s="1"/>
  <c r="C981" i="1" s="1" a="1"/>
  <c r="C981" i="1" s="1"/>
  <c r="D981" i="1" a="1"/>
  <c r="D981" i="1" s="1"/>
  <c r="E981" i="1"/>
  <c r="F981" i="1"/>
  <c r="G981" i="1"/>
  <c r="H981" i="1"/>
  <c r="L981" i="1" s="1"/>
  <c r="I981" i="1"/>
  <c r="A982" i="1"/>
  <c r="B982" i="1" a="1"/>
  <c r="B982" i="1" s="1"/>
  <c r="C982" i="1" s="1" a="1"/>
  <c r="C982" i="1" s="1"/>
  <c r="D982" i="1" a="1"/>
  <c r="D982" i="1" s="1"/>
  <c r="E982" i="1"/>
  <c r="F982" i="1"/>
  <c r="G982" i="1"/>
  <c r="H982" i="1"/>
  <c r="L982" i="1" s="1"/>
  <c r="I982" i="1"/>
  <c r="A983" i="1"/>
  <c r="B983" i="1" a="1"/>
  <c r="B983" i="1" s="1"/>
  <c r="C983" i="1" s="1" a="1"/>
  <c r="C983" i="1" s="1"/>
  <c r="D983" i="1" a="1"/>
  <c r="D983" i="1" s="1"/>
  <c r="E983" i="1"/>
  <c r="F983" i="1"/>
  <c r="G983" i="1"/>
  <c r="H983" i="1"/>
  <c r="L983" i="1" s="1"/>
  <c r="I983" i="1"/>
  <c r="A984" i="1"/>
  <c r="B984" i="1" a="1"/>
  <c r="B984" i="1" s="1"/>
  <c r="C984" i="1" s="1" a="1"/>
  <c r="C984" i="1" s="1"/>
  <c r="D984" i="1" a="1"/>
  <c r="D984" i="1" s="1"/>
  <c r="E984" i="1"/>
  <c r="F984" i="1"/>
  <c r="G984" i="1"/>
  <c r="H984" i="1"/>
  <c r="L984" i="1" s="1"/>
  <c r="I984" i="1"/>
  <c r="A985" i="1"/>
  <c r="B985" i="1" a="1"/>
  <c r="B985" i="1" s="1"/>
  <c r="C985" i="1" s="1" a="1"/>
  <c r="C985" i="1" s="1"/>
  <c r="D985" i="1" a="1"/>
  <c r="D985" i="1" s="1"/>
  <c r="E985" i="1"/>
  <c r="F985" i="1"/>
  <c r="G985" i="1"/>
  <c r="H985" i="1"/>
  <c r="L985" i="1" s="1"/>
  <c r="I985" i="1"/>
  <c r="A986" i="1"/>
  <c r="B986" i="1" a="1"/>
  <c r="B986" i="1" s="1"/>
  <c r="C986" i="1" s="1" a="1"/>
  <c r="C986" i="1" s="1"/>
  <c r="D986" i="1" a="1"/>
  <c r="D986" i="1" s="1"/>
  <c r="E986" i="1"/>
  <c r="F986" i="1"/>
  <c r="G986" i="1"/>
  <c r="H986" i="1"/>
  <c r="M986" i="1" s="1"/>
  <c r="I986" i="1"/>
  <c r="A987" i="1"/>
  <c r="B987" i="1" a="1"/>
  <c r="B987" i="1" s="1"/>
  <c r="C987" i="1" s="1" a="1"/>
  <c r="C987" i="1" s="1"/>
  <c r="D987" i="1" a="1"/>
  <c r="D987" i="1" s="1"/>
  <c r="E987" i="1"/>
  <c r="F987" i="1"/>
  <c r="G987" i="1"/>
  <c r="H987" i="1"/>
  <c r="L987" i="1" s="1"/>
  <c r="I987" i="1"/>
  <c r="A988" i="1"/>
  <c r="B988" i="1" a="1"/>
  <c r="B988" i="1" s="1"/>
  <c r="C988" i="1" s="1" a="1"/>
  <c r="C988" i="1" s="1"/>
  <c r="D988" i="1" a="1"/>
  <c r="D988" i="1" s="1"/>
  <c r="E988" i="1"/>
  <c r="F988" i="1"/>
  <c r="G988" i="1"/>
  <c r="H988" i="1"/>
  <c r="L988" i="1" s="1"/>
  <c r="I988" i="1"/>
  <c r="A989" i="1"/>
  <c r="B989" i="1" a="1"/>
  <c r="B989" i="1" s="1"/>
  <c r="C989" i="1" s="1" a="1"/>
  <c r="C989" i="1" s="1"/>
  <c r="D989" i="1" a="1"/>
  <c r="D989" i="1" s="1"/>
  <c r="E989" i="1"/>
  <c r="F989" i="1"/>
  <c r="G989" i="1"/>
  <c r="H989" i="1"/>
  <c r="L989" i="1" s="1"/>
  <c r="I989" i="1"/>
  <c r="A990" i="1"/>
  <c r="B990" i="1" a="1"/>
  <c r="B990" i="1" s="1"/>
  <c r="C990" i="1" s="1" a="1"/>
  <c r="C990" i="1" s="1"/>
  <c r="D990" i="1" a="1"/>
  <c r="D990" i="1" s="1"/>
  <c r="E990" i="1"/>
  <c r="F990" i="1"/>
  <c r="G990" i="1"/>
  <c r="H990" i="1"/>
  <c r="L990" i="1" s="1"/>
  <c r="I990" i="1"/>
  <c r="A991" i="1"/>
  <c r="B991" i="1" a="1"/>
  <c r="B991" i="1" s="1"/>
  <c r="C991" i="1" s="1" a="1"/>
  <c r="C991" i="1" s="1"/>
  <c r="D991" i="1" a="1"/>
  <c r="D991" i="1" s="1"/>
  <c r="E991" i="1"/>
  <c r="F991" i="1"/>
  <c r="G991" i="1"/>
  <c r="H991" i="1"/>
  <c r="L991" i="1" s="1"/>
  <c r="I991" i="1"/>
  <c r="A992" i="1"/>
  <c r="B992" i="1" a="1"/>
  <c r="B992" i="1" s="1"/>
  <c r="C992" i="1" s="1" a="1"/>
  <c r="C992" i="1" s="1"/>
  <c r="D992" i="1" a="1"/>
  <c r="D992" i="1" s="1"/>
  <c r="E992" i="1"/>
  <c r="F992" i="1"/>
  <c r="G992" i="1"/>
  <c r="H992" i="1"/>
  <c r="L992" i="1" s="1"/>
  <c r="I992" i="1"/>
  <c r="A993" i="1"/>
  <c r="B993" i="1" a="1"/>
  <c r="B993" i="1" s="1"/>
  <c r="C993" i="1" s="1" a="1"/>
  <c r="C993" i="1" s="1"/>
  <c r="D993" i="1" a="1"/>
  <c r="D993" i="1" s="1"/>
  <c r="E993" i="1"/>
  <c r="F993" i="1"/>
  <c r="G993" i="1"/>
  <c r="H993" i="1"/>
  <c r="L993" i="1" s="1"/>
  <c r="I993" i="1"/>
  <c r="A994" i="1"/>
  <c r="B994" i="1" a="1"/>
  <c r="B994" i="1" s="1"/>
  <c r="C994" i="1" s="1" a="1"/>
  <c r="C994" i="1" s="1"/>
  <c r="D994" i="1" a="1"/>
  <c r="D994" i="1" s="1"/>
  <c r="E994" i="1"/>
  <c r="F994" i="1"/>
  <c r="G994" i="1"/>
  <c r="H994" i="1"/>
  <c r="L994" i="1" s="1"/>
  <c r="I994" i="1"/>
  <c r="A995" i="1"/>
  <c r="B995" i="1" a="1"/>
  <c r="B995" i="1" s="1"/>
  <c r="C995" i="1" s="1" a="1"/>
  <c r="C995" i="1" s="1"/>
  <c r="D995" i="1" a="1"/>
  <c r="D995" i="1" s="1"/>
  <c r="E995" i="1"/>
  <c r="F995" i="1"/>
  <c r="G995" i="1"/>
  <c r="H995" i="1"/>
  <c r="I995" i="1"/>
  <c r="A996" i="1"/>
  <c r="B996" i="1" a="1"/>
  <c r="B996" i="1" s="1"/>
  <c r="C996" i="1" s="1" a="1"/>
  <c r="C996" i="1" s="1"/>
  <c r="D996" i="1" a="1"/>
  <c r="D996" i="1" s="1"/>
  <c r="E996" i="1"/>
  <c r="F996" i="1"/>
  <c r="G996" i="1"/>
  <c r="H996" i="1"/>
  <c r="L996" i="1" s="1"/>
  <c r="I996" i="1"/>
  <c r="A997" i="1"/>
  <c r="B997" i="1" a="1"/>
  <c r="B997" i="1" s="1"/>
  <c r="C997" i="1" s="1" a="1"/>
  <c r="C997" i="1" s="1"/>
  <c r="D997" i="1" a="1"/>
  <c r="D997" i="1" s="1"/>
  <c r="E997" i="1"/>
  <c r="F997" i="1"/>
  <c r="G997" i="1"/>
  <c r="H997" i="1"/>
  <c r="M997" i="1" s="1"/>
  <c r="I997" i="1"/>
  <c r="A998" i="1"/>
  <c r="B998" i="1" a="1"/>
  <c r="B998" i="1" s="1"/>
  <c r="C998" i="1" s="1" a="1"/>
  <c r="C998" i="1" s="1"/>
  <c r="D998" i="1" a="1"/>
  <c r="D998" i="1" s="1"/>
  <c r="E998" i="1"/>
  <c r="F998" i="1"/>
  <c r="G998" i="1"/>
  <c r="H998" i="1"/>
  <c r="M998" i="1" s="1"/>
  <c r="I998" i="1"/>
  <c r="A999" i="1"/>
  <c r="B999" i="1" a="1"/>
  <c r="B999" i="1" s="1"/>
  <c r="C999" i="1" s="1" a="1"/>
  <c r="C999" i="1" s="1"/>
  <c r="D999" i="1" a="1"/>
  <c r="D999" i="1" s="1"/>
  <c r="E999" i="1"/>
  <c r="F999" i="1"/>
  <c r="G999" i="1"/>
  <c r="H999" i="1"/>
  <c r="L999" i="1" s="1"/>
  <c r="I999" i="1"/>
  <c r="A1000" i="1"/>
  <c r="B1000" i="1" a="1"/>
  <c r="B1000" i="1" s="1"/>
  <c r="C1000" i="1" s="1" a="1"/>
  <c r="C1000" i="1" s="1"/>
  <c r="D1000" i="1" a="1"/>
  <c r="D1000" i="1" s="1"/>
  <c r="E1000" i="1"/>
  <c r="F1000" i="1"/>
  <c r="G1000" i="1"/>
  <c r="H1000" i="1"/>
  <c r="L1000" i="1" s="1"/>
  <c r="I1000" i="1"/>
  <c r="A1001" i="1"/>
  <c r="B1001" i="1" a="1"/>
  <c r="B1001" i="1" s="1"/>
  <c r="C1001" i="1" s="1" a="1"/>
  <c r="C1001" i="1" s="1"/>
  <c r="D1001" i="1" a="1"/>
  <c r="D1001" i="1" s="1"/>
  <c r="E1001" i="1"/>
  <c r="F1001" i="1"/>
  <c r="G1001" i="1"/>
  <c r="H1001" i="1"/>
  <c r="L1001" i="1" s="1"/>
  <c r="I1001" i="1"/>
  <c r="D2" i="2"/>
  <c r="C2" i="2"/>
  <c r="B2" i="2"/>
  <c r="A2" i="2"/>
  <c r="I2" i="1"/>
  <c r="H2" i="1"/>
  <c r="L2" i="1" s="1"/>
  <c r="G2" i="1"/>
  <c r="F2" i="1"/>
  <c r="E2" i="1"/>
  <c r="D2" i="1" a="1"/>
  <c r="D2" i="1" s="1"/>
  <c r="B2" i="1" a="1"/>
  <c r="B2" i="1" s="1"/>
  <c r="C2" i="1" s="1" a="1"/>
  <c r="C2" i="1" s="1"/>
  <c r="A2" i="1"/>
  <c r="K770" i="1" l="1"/>
  <c r="M760" i="1"/>
  <c r="K629" i="1"/>
  <c r="K375" i="1"/>
  <c r="K369" i="1"/>
  <c r="L161" i="1"/>
  <c r="K625" i="1"/>
  <c r="K616" i="1"/>
  <c r="L156" i="1"/>
  <c r="K716" i="1"/>
  <c r="K657" i="1"/>
  <c r="K641" i="1"/>
  <c r="M945" i="1"/>
  <c r="L336" i="1"/>
  <c r="K738" i="1"/>
  <c r="K645" i="1"/>
  <c r="K636" i="1"/>
  <c r="K725" i="1"/>
  <c r="J972" i="1"/>
  <c r="M971" i="1"/>
  <c r="M575" i="1"/>
  <c r="M40" i="1"/>
  <c r="L881" i="1"/>
  <c r="M705" i="1"/>
  <c r="L485" i="1"/>
  <c r="K1001" i="1"/>
  <c r="K870" i="1"/>
  <c r="K846" i="1"/>
  <c r="L845" i="1"/>
  <c r="K838" i="1"/>
  <c r="M685" i="1"/>
  <c r="K484" i="1"/>
  <c r="K439" i="1"/>
  <c r="K431" i="1"/>
  <c r="J410" i="1"/>
  <c r="L409" i="1"/>
  <c r="K367" i="1"/>
  <c r="K284" i="1"/>
  <c r="J248" i="1"/>
  <c r="J244" i="1"/>
  <c r="K953" i="1"/>
  <c r="K949" i="1"/>
  <c r="K946" i="1"/>
  <c r="K756" i="1"/>
  <c r="K754" i="1"/>
  <c r="K742" i="1"/>
  <c r="K740" i="1"/>
  <c r="K604" i="1"/>
  <c r="K587" i="1"/>
  <c r="K583" i="1"/>
  <c r="K577" i="1"/>
  <c r="K576" i="1"/>
  <c r="K506" i="1"/>
  <c r="K305" i="1"/>
  <c r="K303" i="1"/>
  <c r="K141" i="1"/>
  <c r="K140" i="1"/>
  <c r="K120" i="1"/>
  <c r="K62" i="1"/>
  <c r="L713" i="1"/>
  <c r="J426" i="1"/>
  <c r="J425" i="1"/>
  <c r="L198" i="1"/>
  <c r="M139" i="1"/>
  <c r="M86" i="1"/>
  <c r="L890" i="1"/>
  <c r="L761" i="1"/>
  <c r="L535" i="1"/>
  <c r="J327" i="1"/>
  <c r="K986" i="1"/>
  <c r="K973" i="1"/>
  <c r="K609" i="1"/>
  <c r="K529" i="1"/>
  <c r="K490" i="1"/>
  <c r="K426" i="1"/>
  <c r="K357" i="1"/>
  <c r="K352" i="1"/>
  <c r="K347" i="1"/>
  <c r="K185" i="1"/>
  <c r="K178" i="1"/>
  <c r="K137" i="1"/>
  <c r="K135" i="1"/>
  <c r="K133" i="1"/>
  <c r="K131" i="1"/>
  <c r="K124" i="1"/>
  <c r="K84" i="1"/>
  <c r="K74" i="1"/>
  <c r="K941" i="1"/>
  <c r="K930" i="1"/>
  <c r="K926" i="1"/>
  <c r="K925" i="1"/>
  <c r="K922" i="1"/>
  <c r="K913" i="1"/>
  <c r="K911" i="1"/>
  <c r="K910" i="1"/>
  <c r="L906" i="1"/>
  <c r="K894" i="1"/>
  <c r="J840" i="1"/>
  <c r="L831" i="1"/>
  <c r="K648" i="1"/>
  <c r="M565" i="1"/>
  <c r="J402" i="1"/>
  <c r="L401" i="1"/>
  <c r="K248" i="1"/>
  <c r="K244" i="1"/>
  <c r="M141" i="1"/>
  <c r="L31" i="1"/>
  <c r="J272" i="1"/>
  <c r="J270" i="1"/>
  <c r="J268" i="1"/>
  <c r="J266" i="1"/>
  <c r="J261" i="1"/>
  <c r="J260" i="1"/>
  <c r="J257" i="1"/>
  <c r="J256" i="1"/>
  <c r="M214" i="1"/>
  <c r="M186" i="1"/>
  <c r="M144" i="1"/>
  <c r="M134" i="1"/>
  <c r="M59" i="1"/>
  <c r="K965" i="1"/>
  <c r="M961" i="1"/>
  <c r="K945" i="1"/>
  <c r="K902" i="1"/>
  <c r="K898" i="1"/>
  <c r="M897" i="1"/>
  <c r="K890" i="1"/>
  <c r="K736" i="1"/>
  <c r="K730" i="1"/>
  <c r="K726" i="1"/>
  <c r="M725" i="1"/>
  <c r="K713" i="1"/>
  <c r="K709" i="1"/>
  <c r="K677" i="1"/>
  <c r="K675" i="1"/>
  <c r="K673" i="1"/>
  <c r="K661" i="1"/>
  <c r="K658" i="1"/>
  <c r="M657" i="1"/>
  <c r="K620" i="1"/>
  <c r="K613" i="1"/>
  <c r="K610" i="1"/>
  <c r="K575" i="1"/>
  <c r="K403" i="1"/>
  <c r="K363" i="1"/>
  <c r="K359" i="1"/>
  <c r="K293" i="1"/>
  <c r="K276" i="1"/>
  <c r="K272" i="1"/>
  <c r="K270" i="1"/>
  <c r="K268" i="1"/>
  <c r="K266" i="1"/>
  <c r="K261" i="1"/>
  <c r="K260" i="1"/>
  <c r="K257" i="1"/>
  <c r="K256" i="1"/>
  <c r="K144" i="1"/>
  <c r="K142" i="1"/>
  <c r="K132" i="1"/>
  <c r="K111" i="1"/>
  <c r="K108" i="1"/>
  <c r="K107" i="1"/>
  <c r="L929" i="1"/>
  <c r="L803" i="1"/>
  <c r="L751" i="1"/>
  <c r="L555" i="1"/>
  <c r="L515" i="1"/>
  <c r="J430" i="1"/>
  <c r="J383" i="1"/>
  <c r="M866" i="1"/>
  <c r="M697" i="1"/>
  <c r="L429" i="1"/>
  <c r="L382" i="1"/>
  <c r="J371" i="1"/>
  <c r="K993" i="1"/>
  <c r="J988" i="1"/>
  <c r="M987" i="1"/>
  <c r="K982" i="1"/>
  <c r="K961" i="1"/>
  <c r="K958" i="1"/>
  <c r="K954" i="1"/>
  <c r="M953" i="1"/>
  <c r="M926" i="1"/>
  <c r="L861" i="1"/>
  <c r="K746" i="1"/>
  <c r="M745" i="1"/>
  <c r="K720" i="1"/>
  <c r="K697" i="1"/>
  <c r="K690" i="1"/>
  <c r="M689" i="1"/>
  <c r="K652" i="1"/>
  <c r="K632" i="1"/>
  <c r="K599" i="1"/>
  <c r="K595" i="1"/>
  <c r="K593" i="1"/>
  <c r="K591" i="1"/>
  <c r="M587" i="1"/>
  <c r="K509" i="1"/>
  <c r="K494" i="1"/>
  <c r="K493" i="1"/>
  <c r="K492" i="1"/>
  <c r="L331" i="1"/>
  <c r="K288" i="1"/>
  <c r="J252" i="1"/>
  <c r="M216" i="1"/>
  <c r="K198" i="1"/>
  <c r="K191" i="1"/>
  <c r="M190" i="1"/>
  <c r="L145" i="1"/>
  <c r="K145" i="1"/>
  <c r="K139" i="1"/>
  <c r="K138" i="1"/>
  <c r="M137" i="1"/>
  <c r="K103" i="1"/>
  <c r="K101" i="1"/>
  <c r="K100" i="1"/>
  <c r="K96" i="1"/>
  <c r="K66" i="1"/>
  <c r="M19" i="1"/>
  <c r="M833" i="1"/>
  <c r="L833" i="1"/>
  <c r="L969" i="1"/>
  <c r="J924" i="1"/>
  <c r="M729" i="1"/>
  <c r="M475" i="1"/>
  <c r="L475" i="1"/>
  <c r="M464" i="1"/>
  <c r="M398" i="1"/>
  <c r="L398" i="1"/>
  <c r="L346" i="1"/>
  <c r="M276" i="1"/>
  <c r="L276" i="1"/>
  <c r="J253" i="1"/>
  <c r="J236" i="1"/>
  <c r="L222" i="1"/>
  <c r="M143" i="1"/>
  <c r="M136" i="1"/>
  <c r="L133" i="1"/>
  <c r="M133" i="1"/>
  <c r="J99" i="1"/>
  <c r="L986" i="1"/>
  <c r="L977" i="1"/>
  <c r="M919" i="1"/>
  <c r="L874" i="1"/>
  <c r="M874" i="1"/>
  <c r="L756" i="1"/>
  <c r="M756" i="1"/>
  <c r="M673" i="1"/>
  <c r="L625" i="1"/>
  <c r="M625" i="1"/>
  <c r="K994" i="1"/>
  <c r="M993" i="1"/>
  <c r="M985" i="1"/>
  <c r="K974" i="1"/>
  <c r="M973" i="1"/>
  <c r="K969" i="1"/>
  <c r="J967" i="1"/>
  <c r="K966" i="1"/>
  <c r="M965" i="1"/>
  <c r="J940" i="1"/>
  <c r="M939" i="1"/>
  <c r="K886" i="1"/>
  <c r="L855" i="1"/>
  <c r="L771" i="1"/>
  <c r="M771" i="1"/>
  <c r="K764" i="1"/>
  <c r="K762" i="1"/>
  <c r="J744" i="1"/>
  <c r="M743" i="1"/>
  <c r="K714" i="1"/>
  <c r="K700" i="1"/>
  <c r="K698" i="1"/>
  <c r="M645" i="1"/>
  <c r="K559" i="1"/>
  <c r="K557" i="1"/>
  <c r="L494" i="1"/>
  <c r="M494" i="1"/>
  <c r="K438" i="1"/>
  <c r="M413" i="1"/>
  <c r="L413" i="1"/>
  <c r="K408" i="1"/>
  <c r="L913" i="1"/>
  <c r="M913" i="1"/>
  <c r="L727" i="1"/>
  <c r="M727" i="1"/>
  <c r="K957" i="1"/>
  <c r="J904" i="1"/>
  <c r="M902" i="1"/>
  <c r="M851" i="1"/>
  <c r="L851" i="1"/>
  <c r="K842" i="1"/>
  <c r="M838" i="1"/>
  <c r="L801" i="1"/>
  <c r="K737" i="1"/>
  <c r="K724" i="1"/>
  <c r="K722" i="1"/>
  <c r="K721" i="1"/>
  <c r="M720" i="1"/>
  <c r="L613" i="1"/>
  <c r="M613" i="1"/>
  <c r="M569" i="1"/>
  <c r="L551" i="1"/>
  <c r="M551" i="1"/>
  <c r="L501" i="1"/>
  <c r="M474" i="1"/>
  <c r="J386" i="1"/>
  <c r="L385" i="1"/>
  <c r="L312" i="1"/>
  <c r="J277" i="1"/>
  <c r="M205" i="1"/>
  <c r="M82" i="1"/>
  <c r="L49" i="1"/>
  <c r="L8" i="1"/>
  <c r="K307" i="1"/>
  <c r="K222" i="1"/>
  <c r="K217" i="1"/>
  <c r="K199" i="1"/>
  <c r="K189" i="1"/>
  <c r="K187" i="1"/>
  <c r="K134" i="1"/>
  <c r="K116" i="1"/>
  <c r="K112" i="1"/>
  <c r="K95" i="1"/>
  <c r="K92" i="1"/>
  <c r="K90" i="1"/>
  <c r="K89" i="1"/>
  <c r="K78" i="1"/>
  <c r="K43" i="1"/>
  <c r="K933" i="1"/>
  <c r="K914" i="1"/>
  <c r="J876" i="1"/>
  <c r="K729" i="1"/>
  <c r="J728" i="1"/>
  <c r="K642" i="1"/>
  <c r="K626" i="1"/>
  <c r="J553" i="1"/>
  <c r="K521" i="1"/>
  <c r="K517" i="1"/>
  <c r="K500" i="1"/>
  <c r="K442" i="1"/>
  <c r="J435" i="1"/>
  <c r="J434" i="1"/>
  <c r="K419" i="1"/>
  <c r="K415" i="1"/>
  <c r="J414" i="1"/>
  <c r="J399" i="1"/>
  <c r="K371" i="1"/>
  <c r="K353" i="1"/>
  <c r="J345" i="1"/>
  <c r="K317" i="1"/>
  <c r="L315" i="1"/>
  <c r="J311" i="1"/>
  <c r="K300" i="1"/>
  <c r="K297" i="1"/>
  <c r="J279" i="1"/>
  <c r="K277" i="1"/>
  <c r="K236" i="1"/>
  <c r="K211" i="1"/>
  <c r="M206" i="1"/>
  <c r="K181" i="1"/>
  <c r="K143" i="1"/>
  <c r="M142" i="1"/>
  <c r="K136" i="1"/>
  <c r="M135" i="1"/>
  <c r="K122" i="1"/>
  <c r="K51" i="1"/>
  <c r="J43" i="1"/>
  <c r="M21" i="1"/>
  <c r="M7" i="1"/>
  <c r="M992" i="1"/>
  <c r="J975" i="1"/>
  <c r="J964" i="1"/>
  <c r="M963" i="1"/>
  <c r="J959" i="1"/>
  <c r="M957" i="1"/>
  <c r="L914" i="1"/>
  <c r="M914" i="1"/>
  <c r="L750" i="1"/>
  <c r="M750" i="1"/>
  <c r="K745" i="1"/>
  <c r="M661" i="1"/>
  <c r="M641" i="1"/>
  <c r="M629" i="1"/>
  <c r="M609" i="1"/>
  <c r="M523" i="1"/>
  <c r="L523" i="1"/>
  <c r="M499" i="1"/>
  <c r="L499" i="1"/>
  <c r="M372" i="1"/>
  <c r="L372" i="1"/>
  <c r="M328" i="1"/>
  <c r="L328" i="1"/>
  <c r="M323" i="1"/>
  <c r="L323" i="1"/>
  <c r="J999" i="1"/>
  <c r="M996" i="1"/>
  <c r="K996" i="1"/>
  <c r="K989" i="1"/>
  <c r="M988" i="1"/>
  <c r="M980" i="1"/>
  <c r="J956" i="1"/>
  <c r="M955" i="1"/>
  <c r="K950" i="1"/>
  <c r="M949" i="1"/>
  <c r="L943" i="1"/>
  <c r="M943" i="1"/>
  <c r="K906" i="1"/>
  <c r="M899" i="1"/>
  <c r="L899" i="1"/>
  <c r="L871" i="1"/>
  <c r="M871" i="1"/>
  <c r="K863" i="1"/>
  <c r="K862" i="1"/>
  <c r="L850" i="1"/>
  <c r="M850" i="1"/>
  <c r="M842" i="1"/>
  <c r="M835" i="1"/>
  <c r="L835" i="1"/>
  <c r="M787" i="1"/>
  <c r="L787" i="1"/>
  <c r="M785" i="1"/>
  <c r="L785" i="1"/>
  <c r="M664" i="1"/>
  <c r="L664" i="1"/>
  <c r="L632" i="1"/>
  <c r="M632" i="1"/>
  <c r="L599" i="1"/>
  <c r="M599" i="1"/>
  <c r="M450" i="1"/>
  <c r="L450" i="1"/>
  <c r="M390" i="1"/>
  <c r="L390" i="1"/>
  <c r="L225" i="1"/>
  <c r="M225" i="1"/>
  <c r="M194" i="1"/>
  <c r="L194" i="1"/>
  <c r="M168" i="1"/>
  <c r="L168" i="1"/>
  <c r="L138" i="1"/>
  <c r="M138" i="1"/>
  <c r="M1001" i="1"/>
  <c r="M909" i="1"/>
  <c r="L909" i="1"/>
  <c r="L731" i="1"/>
  <c r="M731" i="1"/>
  <c r="L715" i="1"/>
  <c r="M715" i="1"/>
  <c r="M512" i="1"/>
  <c r="L512" i="1"/>
  <c r="L202" i="1"/>
  <c r="M202" i="1"/>
  <c r="M173" i="1"/>
  <c r="L173" i="1"/>
  <c r="L43" i="1"/>
  <c r="M43" i="1"/>
  <c r="M982" i="1"/>
  <c r="K977" i="1"/>
  <c r="L935" i="1"/>
  <c r="M935" i="1"/>
  <c r="L934" i="1"/>
  <c r="M934" i="1"/>
  <c r="L886" i="1"/>
  <c r="M886" i="1"/>
  <c r="K878" i="1"/>
  <c r="L858" i="1"/>
  <c r="M858" i="1"/>
  <c r="K854" i="1"/>
  <c r="M819" i="1"/>
  <c r="L819" i="1"/>
  <c r="M817" i="1"/>
  <c r="L817" i="1"/>
  <c r="L765" i="1"/>
  <c r="M765" i="1"/>
  <c r="M736" i="1"/>
  <c r="L648" i="1"/>
  <c r="M648" i="1"/>
  <c r="L616" i="1"/>
  <c r="M616" i="1"/>
  <c r="M37" i="1"/>
  <c r="L37" i="1"/>
  <c r="J944" i="1"/>
  <c r="K938" i="1"/>
  <c r="K937" i="1"/>
  <c r="J936" i="1"/>
  <c r="K928" i="1"/>
  <c r="K918" i="1"/>
  <c r="K915" i="1"/>
  <c r="K874" i="1"/>
  <c r="J860" i="1"/>
  <c r="K717" i="1"/>
  <c r="K704" i="1"/>
  <c r="K702" i="1"/>
  <c r="K701" i="1"/>
  <c r="M700" i="1"/>
  <c r="K684" i="1"/>
  <c r="K682" i="1"/>
  <c r="K681" i="1"/>
  <c r="M677" i="1"/>
  <c r="K667" i="1"/>
  <c r="K665" i="1"/>
  <c r="K585" i="1"/>
  <c r="K584" i="1"/>
  <c r="M583" i="1"/>
  <c r="M572" i="1"/>
  <c r="K563" i="1"/>
  <c r="M561" i="1"/>
  <c r="K549" i="1"/>
  <c r="K548" i="1"/>
  <c r="M546" i="1"/>
  <c r="M530" i="1"/>
  <c r="J513" i="1"/>
  <c r="J419" i="1"/>
  <c r="J418" i="1"/>
  <c r="M412" i="1"/>
  <c r="L412" i="1"/>
  <c r="K411" i="1"/>
  <c r="J391" i="1"/>
  <c r="M377" i="1"/>
  <c r="L377" i="1"/>
  <c r="K373" i="1"/>
  <c r="J303" i="1"/>
  <c r="K282" i="1"/>
  <c r="K280" i="1"/>
  <c r="J240" i="1"/>
  <c r="J227" i="1"/>
  <c r="K215" i="1"/>
  <c r="K205" i="1"/>
  <c r="K204" i="1"/>
  <c r="K203" i="1"/>
  <c r="L189" i="1"/>
  <c r="M189" i="1"/>
  <c r="L131" i="1"/>
  <c r="M131" i="1"/>
  <c r="K119" i="1"/>
  <c r="K117" i="1"/>
  <c r="M78" i="1"/>
  <c r="M71" i="1"/>
  <c r="L71" i="1"/>
  <c r="L66" i="1"/>
  <c r="K61" i="1"/>
  <c r="K60" i="1"/>
  <c r="L25" i="1"/>
  <c r="M25" i="1"/>
  <c r="K942" i="1"/>
  <c r="M941" i="1"/>
  <c r="J935" i="1"/>
  <c r="K882" i="1"/>
  <c r="K858" i="1"/>
  <c r="J856" i="1"/>
  <c r="K847" i="1"/>
  <c r="K834" i="1"/>
  <c r="K748" i="1"/>
  <c r="K741" i="1"/>
  <c r="K733" i="1"/>
  <c r="J732" i="1"/>
  <c r="J716" i="1"/>
  <c r="K710" i="1"/>
  <c r="M709" i="1"/>
  <c r="K694" i="1"/>
  <c r="K693" i="1"/>
  <c r="K692" i="1"/>
  <c r="J664" i="1"/>
  <c r="M663" i="1"/>
  <c r="J660" i="1"/>
  <c r="M659" i="1"/>
  <c r="K654" i="1"/>
  <c r="K653" i="1"/>
  <c r="M652" i="1"/>
  <c r="J648" i="1"/>
  <c r="M647" i="1"/>
  <c r="J644" i="1"/>
  <c r="M643" i="1"/>
  <c r="K638" i="1"/>
  <c r="K637" i="1"/>
  <c r="M636" i="1"/>
  <c r="J632" i="1"/>
  <c r="M631" i="1"/>
  <c r="J628" i="1"/>
  <c r="M627" i="1"/>
  <c r="K622" i="1"/>
  <c r="K621" i="1"/>
  <c r="M620" i="1"/>
  <c r="J616" i="1"/>
  <c r="M615" i="1"/>
  <c r="J612" i="1"/>
  <c r="M611" i="1"/>
  <c r="K606" i="1"/>
  <c r="K605" i="1"/>
  <c r="M604" i="1"/>
  <c r="L598" i="1"/>
  <c r="K541" i="1"/>
  <c r="M510" i="1"/>
  <c r="K498" i="1"/>
  <c r="K496" i="1"/>
  <c r="K495" i="1"/>
  <c r="K482" i="1"/>
  <c r="L481" i="1"/>
  <c r="L472" i="1"/>
  <c r="M452" i="1"/>
  <c r="L452" i="1"/>
  <c r="M425" i="1"/>
  <c r="L425" i="1"/>
  <c r="K423" i="1"/>
  <c r="K418" i="1"/>
  <c r="K407" i="1"/>
  <c r="J404" i="1"/>
  <c r="M393" i="1"/>
  <c r="L393" i="1"/>
  <c r="M364" i="1"/>
  <c r="L364" i="1"/>
  <c r="K361" i="1"/>
  <c r="K360" i="1"/>
  <c r="L345" i="1"/>
  <c r="L320" i="1"/>
  <c r="L293" i="1"/>
  <c r="L277" i="1"/>
  <c r="J275" i="1"/>
  <c r="J264" i="1"/>
  <c r="J263" i="1"/>
  <c r="L261" i="1"/>
  <c r="K214" i="1"/>
  <c r="K213" i="1"/>
  <c r="M212" i="1"/>
  <c r="K194" i="1"/>
  <c r="K193" i="1"/>
  <c r="K183" i="1"/>
  <c r="L181" i="1"/>
  <c r="L151" i="1"/>
  <c r="K149" i="1"/>
  <c r="M140" i="1"/>
  <c r="M132" i="1"/>
  <c r="M84" i="1"/>
  <c r="K57" i="1"/>
  <c r="M56" i="1"/>
  <c r="L42" i="1"/>
  <c r="M39" i="1"/>
  <c r="L39" i="1"/>
  <c r="K708" i="1"/>
  <c r="K706" i="1"/>
  <c r="K688" i="1"/>
  <c r="K686" i="1"/>
  <c r="K649" i="1"/>
  <c r="K633" i="1"/>
  <c r="K617" i="1"/>
  <c r="K601" i="1"/>
  <c r="K600" i="1"/>
  <c r="K569" i="1"/>
  <c r="K567" i="1"/>
  <c r="K525" i="1"/>
  <c r="L480" i="1"/>
  <c r="M480" i="1"/>
  <c r="K427" i="1"/>
  <c r="M339" i="1"/>
  <c r="L339" i="1"/>
  <c r="K333" i="1"/>
  <c r="K206" i="1"/>
  <c r="K177" i="1"/>
  <c r="K176" i="1"/>
  <c r="M53" i="1"/>
  <c r="L53" i="1"/>
  <c r="L12" i="1"/>
  <c r="M12" i="1"/>
  <c r="K486" i="1"/>
  <c r="J442" i="1"/>
  <c r="J441" i="1"/>
  <c r="K435" i="1"/>
  <c r="K433" i="1"/>
  <c r="J432" i="1"/>
  <c r="K405" i="1"/>
  <c r="K404" i="1"/>
  <c r="J394" i="1"/>
  <c r="J378" i="1"/>
  <c r="K365" i="1"/>
  <c r="J363" i="1"/>
  <c r="K356" i="1"/>
  <c r="K355" i="1"/>
  <c r="K354" i="1"/>
  <c r="K341" i="1"/>
  <c r="J334" i="1"/>
  <c r="K325" i="1"/>
  <c r="J319" i="1"/>
  <c r="K309" i="1"/>
  <c r="K292" i="1"/>
  <c r="J291" i="1"/>
  <c r="K289" i="1"/>
  <c r="J284" i="1"/>
  <c r="K240" i="1"/>
  <c r="J232" i="1"/>
  <c r="J231" i="1"/>
  <c r="J229" i="1"/>
  <c r="J228" i="1"/>
  <c r="K212" i="1"/>
  <c r="K195" i="1"/>
  <c r="K190" i="1"/>
  <c r="J149" i="1"/>
  <c r="J73" i="1"/>
  <c r="M693" i="1"/>
  <c r="M681" i="1"/>
  <c r="M593" i="1"/>
  <c r="L185" i="1"/>
  <c r="M185" i="1"/>
  <c r="L35" i="1"/>
  <c r="M35" i="1"/>
  <c r="K1000" i="1"/>
  <c r="K997" i="1"/>
  <c r="L922" i="1"/>
  <c r="K866" i="1"/>
  <c r="K705" i="1"/>
  <c r="M704" i="1"/>
  <c r="K685" i="1"/>
  <c r="M684" i="1"/>
  <c r="M670" i="1"/>
  <c r="M580" i="1"/>
  <c r="K571" i="1"/>
  <c r="M563" i="1"/>
  <c r="K561" i="1"/>
  <c r="M559" i="1"/>
  <c r="M538" i="1"/>
  <c r="L526" i="1"/>
  <c r="M526" i="1"/>
  <c r="M460" i="1"/>
  <c r="L460" i="1"/>
  <c r="M397" i="1"/>
  <c r="L397" i="1"/>
  <c r="M381" i="1"/>
  <c r="L381" i="1"/>
  <c r="M342" i="1"/>
  <c r="L342" i="1"/>
  <c r="M327" i="1"/>
  <c r="L327" i="1"/>
  <c r="M311" i="1"/>
  <c r="L311" i="1"/>
  <c r="M258" i="1"/>
  <c r="L258" i="1"/>
  <c r="M520" i="1"/>
  <c r="L520" i="1"/>
  <c r="M497" i="1"/>
  <c r="L497" i="1"/>
  <c r="M416" i="1"/>
  <c r="L416" i="1"/>
  <c r="K981" i="1"/>
  <c r="M974" i="1"/>
  <c r="M958" i="1"/>
  <c r="M903" i="1"/>
  <c r="M870" i="1"/>
  <c r="M839" i="1"/>
  <c r="M764" i="1"/>
  <c r="K734" i="1"/>
  <c r="M733" i="1"/>
  <c r="J995" i="1"/>
  <c r="M994" i="1"/>
  <c r="M990" i="1"/>
  <c r="J984" i="1"/>
  <c r="M983" i="1"/>
  <c r="J980" i="1"/>
  <c r="J979" i="1"/>
  <c r="K978" i="1"/>
  <c r="J971" i="1"/>
  <c r="K970" i="1"/>
  <c r="L966" i="1"/>
  <c r="J963" i="1"/>
  <c r="K962" i="1"/>
  <c r="J955" i="1"/>
  <c r="M954" i="1"/>
  <c r="J952" i="1"/>
  <c r="M951" i="1"/>
  <c r="J948" i="1"/>
  <c r="M947" i="1"/>
  <c r="J943" i="1"/>
  <c r="M942" i="1"/>
  <c r="J939" i="1"/>
  <c r="M938" i="1"/>
  <c r="K934" i="1"/>
  <c r="J929" i="1"/>
  <c r="M925" i="1"/>
  <c r="J909" i="1"/>
  <c r="M898" i="1"/>
  <c r="L893" i="1"/>
  <c r="J888" i="1"/>
  <c r="M887" i="1"/>
  <c r="L883" i="1"/>
  <c r="K879" i="1"/>
  <c r="L865" i="1"/>
  <c r="M854" i="1"/>
  <c r="K850" i="1"/>
  <c r="M849" i="1"/>
  <c r="J844" i="1"/>
  <c r="M834" i="1"/>
  <c r="L827" i="1"/>
  <c r="L811" i="1"/>
  <c r="L795" i="1"/>
  <c r="L779" i="1"/>
  <c r="K769" i="1"/>
  <c r="M768" i="1"/>
  <c r="K759" i="1"/>
  <c r="M758" i="1"/>
  <c r="M748" i="1"/>
  <c r="M741" i="1"/>
  <c r="M737" i="1"/>
  <c r="K718" i="1"/>
  <c r="M717" i="1"/>
  <c r="J712" i="1"/>
  <c r="M711" i="1"/>
  <c r="J700" i="1"/>
  <c r="M699" i="1"/>
  <c r="J696" i="1"/>
  <c r="M695" i="1"/>
  <c r="K689" i="1"/>
  <c r="M688" i="1"/>
  <c r="M675" i="1"/>
  <c r="K662" i="1"/>
  <c r="K656" i="1"/>
  <c r="K650" i="1"/>
  <c r="M649" i="1"/>
  <c r="K646" i="1"/>
  <c r="K640" i="1"/>
  <c r="K634" i="1"/>
  <c r="M633" i="1"/>
  <c r="K630" i="1"/>
  <c r="K624" i="1"/>
  <c r="K618" i="1"/>
  <c r="M617" i="1"/>
  <c r="K614" i="1"/>
  <c r="K608" i="1"/>
  <c r="K607" i="1"/>
  <c r="K603" i="1"/>
  <c r="K602" i="1"/>
  <c r="M601" i="1"/>
  <c r="M596" i="1"/>
  <c r="J587" i="1"/>
  <c r="M585" i="1"/>
  <c r="L574" i="1"/>
  <c r="K551" i="1"/>
  <c r="K550" i="1"/>
  <c r="M549" i="1"/>
  <c r="K546" i="1"/>
  <c r="K545" i="1"/>
  <c r="M543" i="1"/>
  <c r="M532" i="1"/>
  <c r="L532" i="1"/>
  <c r="K522" i="1"/>
  <c r="K513" i="1"/>
  <c r="K504" i="1"/>
  <c r="M503" i="1"/>
  <c r="K488" i="1"/>
  <c r="M487" i="1"/>
  <c r="L218" i="1"/>
  <c r="M218" i="1"/>
  <c r="L217" i="1"/>
  <c r="M217" i="1"/>
  <c r="L201" i="1"/>
  <c r="M201" i="1"/>
  <c r="L200" i="1"/>
  <c r="M200" i="1"/>
  <c r="L513" i="1"/>
  <c r="M513" i="1"/>
  <c r="M366" i="1"/>
  <c r="L366" i="1"/>
  <c r="L184" i="1"/>
  <c r="M184" i="1"/>
  <c r="M163" i="1"/>
  <c r="L163" i="1"/>
  <c r="M918" i="1"/>
  <c r="K895" i="1"/>
  <c r="K990" i="1"/>
  <c r="J983" i="1"/>
  <c r="J951" i="1"/>
  <c r="J947" i="1"/>
  <c r="L931" i="1"/>
  <c r="J921" i="1"/>
  <c r="M920" i="1"/>
  <c r="J892" i="1"/>
  <c r="M882" i="1"/>
  <c r="L877" i="1"/>
  <c r="J872" i="1"/>
  <c r="L867" i="1"/>
  <c r="L825" i="1"/>
  <c r="L809" i="1"/>
  <c r="L793" i="1"/>
  <c r="L777" i="1"/>
  <c r="J766" i="1"/>
  <c r="J764" i="1"/>
  <c r="M763" i="1"/>
  <c r="J758" i="1"/>
  <c r="L753" i="1"/>
  <c r="K732" i="1"/>
  <c r="M721" i="1"/>
  <c r="M701" i="1"/>
  <c r="J684" i="1"/>
  <c r="M683" i="1"/>
  <c r="J680" i="1"/>
  <c r="M679" i="1"/>
  <c r="J674" i="1"/>
  <c r="J669" i="1"/>
  <c r="M667" i="1"/>
  <c r="M653" i="1"/>
  <c r="M637" i="1"/>
  <c r="M621" i="1"/>
  <c r="M605" i="1"/>
  <c r="M589" i="1"/>
  <c r="J579" i="1"/>
  <c r="M577" i="1"/>
  <c r="M547" i="1"/>
  <c r="M518" i="1"/>
  <c r="M483" i="1"/>
  <c r="L483" i="1"/>
  <c r="L468" i="1"/>
  <c r="M468" i="1"/>
  <c r="M445" i="1"/>
  <c r="L445" i="1"/>
  <c r="M441" i="1"/>
  <c r="L441" i="1"/>
  <c r="M428" i="1"/>
  <c r="L428" i="1"/>
  <c r="M389" i="1"/>
  <c r="L389" i="1"/>
  <c r="M374" i="1"/>
  <c r="L374" i="1"/>
  <c r="M350" i="1"/>
  <c r="L350" i="1"/>
  <c r="M335" i="1"/>
  <c r="L335" i="1"/>
  <c r="M319" i="1"/>
  <c r="L319" i="1"/>
  <c r="M297" i="1"/>
  <c r="L297" i="1"/>
  <c r="L223" i="1"/>
  <c r="M223" i="1"/>
  <c r="K443" i="1"/>
  <c r="K358" i="1"/>
  <c r="K337" i="1"/>
  <c r="K329" i="1"/>
  <c r="K321" i="1"/>
  <c r="K313" i="1"/>
  <c r="L210" i="1"/>
  <c r="K186" i="1"/>
  <c r="M80" i="1"/>
  <c r="L80" i="1"/>
  <c r="L58" i="1"/>
  <c r="M58" i="1"/>
  <c r="M5" i="1"/>
  <c r="L5" i="1"/>
  <c r="K534" i="1"/>
  <c r="K533" i="1"/>
  <c r="J521" i="1"/>
  <c r="K514" i="1"/>
  <c r="K502" i="1"/>
  <c r="K434" i="1"/>
  <c r="J422" i="1"/>
  <c r="K417" i="1"/>
  <c r="J415" i="1"/>
  <c r="J398" i="1"/>
  <c r="J390" i="1"/>
  <c r="J382" i="1"/>
  <c r="K370" i="1"/>
  <c r="J368" i="1"/>
  <c r="K362" i="1"/>
  <c r="J355" i="1"/>
  <c r="K351" i="1"/>
  <c r="J349" i="1"/>
  <c r="K343" i="1"/>
  <c r="K336" i="1"/>
  <c r="K328" i="1"/>
  <c r="K298" i="1"/>
  <c r="L292" i="1"/>
  <c r="L288" i="1"/>
  <c r="J288" i="1"/>
  <c r="J271" i="1"/>
  <c r="J262" i="1"/>
  <c r="J259" i="1"/>
  <c r="J235" i="1"/>
  <c r="K225" i="1"/>
  <c r="K224" i="1"/>
  <c r="K221" i="1"/>
  <c r="K220" i="1"/>
  <c r="K219" i="1"/>
  <c r="K210" i="1"/>
  <c r="K209" i="1"/>
  <c r="K208" i="1"/>
  <c r="K207" i="1"/>
  <c r="K202" i="1"/>
  <c r="M29" i="1"/>
  <c r="L29" i="1"/>
  <c r="M477" i="1"/>
  <c r="L458" i="1"/>
  <c r="L444" i="1"/>
  <c r="J438" i="1"/>
  <c r="L432" i="1"/>
  <c r="J431" i="1"/>
  <c r="K422" i="1"/>
  <c r="J416" i="1"/>
  <c r="K410" i="1"/>
  <c r="J408" i="1"/>
  <c r="L402" i="1"/>
  <c r="J395" i="1"/>
  <c r="L394" i="1"/>
  <c r="J387" i="1"/>
  <c r="L386" i="1"/>
  <c r="J379" i="1"/>
  <c r="L378" i="1"/>
  <c r="J359" i="1"/>
  <c r="L349" i="1"/>
  <c r="L340" i="1"/>
  <c r="J338" i="1"/>
  <c r="L332" i="1"/>
  <c r="J330" i="1"/>
  <c r="L324" i="1"/>
  <c r="J323" i="1"/>
  <c r="L316" i="1"/>
  <c r="J315" i="1"/>
  <c r="L308" i="1"/>
  <c r="J307" i="1"/>
  <c r="J300" i="1"/>
  <c r="K296" i="1"/>
  <c r="J295" i="1"/>
  <c r="J293" i="1"/>
  <c r="J289" i="1"/>
  <c r="L281" i="1"/>
  <c r="K281" i="1"/>
  <c r="J267" i="1"/>
  <c r="K264" i="1"/>
  <c r="J258" i="1"/>
  <c r="J251" i="1"/>
  <c r="J247" i="1"/>
  <c r="J243" i="1"/>
  <c r="J241" i="1"/>
  <c r="J239" i="1"/>
  <c r="J237" i="1"/>
  <c r="K232" i="1"/>
  <c r="L196" i="1"/>
  <c r="M196" i="1"/>
  <c r="L149" i="1"/>
  <c r="M149" i="1"/>
  <c r="M69" i="1"/>
  <c r="L69" i="1"/>
  <c r="L52" i="1"/>
  <c r="M52" i="1"/>
  <c r="L23" i="1"/>
  <c r="M23" i="1"/>
  <c r="L9" i="1"/>
  <c r="M9" i="1"/>
  <c r="K115" i="1"/>
  <c r="K109" i="1"/>
  <c r="K104" i="1"/>
  <c r="K93" i="1"/>
  <c r="K59" i="1"/>
  <c r="K180" i="1"/>
  <c r="K179" i="1"/>
  <c r="M130" i="1"/>
  <c r="K123" i="1"/>
  <c r="K114" i="1"/>
  <c r="K82" i="1"/>
  <c r="K81" i="1"/>
  <c r="K75" i="1"/>
  <c r="K71" i="1"/>
  <c r="K70" i="1"/>
  <c r="K63" i="1"/>
  <c r="L61" i="1"/>
  <c r="K53" i="1"/>
  <c r="K47" i="1"/>
  <c r="M45" i="1"/>
  <c r="J45" i="1"/>
  <c r="J233" i="1"/>
  <c r="K228" i="1"/>
  <c r="K223" i="1"/>
  <c r="K218" i="1"/>
  <c r="K201" i="1"/>
  <c r="J185" i="1"/>
  <c r="J178" i="1"/>
  <c r="J172" i="1"/>
  <c r="J171" i="1"/>
  <c r="J163" i="1"/>
  <c r="J160" i="1"/>
  <c r="L159" i="1"/>
  <c r="J147" i="1"/>
  <c r="J145" i="1"/>
  <c r="L74" i="1"/>
  <c r="L62" i="1"/>
  <c r="L57" i="1"/>
  <c r="M51" i="1"/>
  <c r="M33" i="1"/>
  <c r="M27" i="1"/>
  <c r="M22" i="1"/>
  <c r="M4" i="1"/>
  <c r="L944" i="1"/>
  <c r="M944" i="1"/>
  <c r="L901" i="1"/>
  <c r="M901" i="1"/>
  <c r="L869" i="1"/>
  <c r="M869" i="1"/>
  <c r="L837" i="1"/>
  <c r="M837" i="1"/>
  <c r="L832" i="1"/>
  <c r="M832" i="1"/>
  <c r="L746" i="1"/>
  <c r="M746" i="1"/>
  <c r="L997" i="1"/>
  <c r="M978" i="1"/>
  <c r="L972" i="1"/>
  <c r="M972" i="1"/>
  <c r="M970" i="1"/>
  <c r="L964" i="1"/>
  <c r="M964" i="1"/>
  <c r="M962" i="1"/>
  <c r="L956" i="1"/>
  <c r="M956" i="1"/>
  <c r="L928" i="1"/>
  <c r="M928" i="1"/>
  <c r="L917" i="1"/>
  <c r="M917" i="1"/>
  <c r="M910" i="1"/>
  <c r="L907" i="1"/>
  <c r="M907" i="1"/>
  <c r="M878" i="1"/>
  <c r="L875" i="1"/>
  <c r="M875" i="1"/>
  <c r="M846" i="1"/>
  <c r="L843" i="1"/>
  <c r="M843" i="1"/>
  <c r="L829" i="1"/>
  <c r="M829" i="1"/>
  <c r="M815" i="1"/>
  <c r="L815" i="1"/>
  <c r="M799" i="1"/>
  <c r="L799" i="1"/>
  <c r="M783" i="1"/>
  <c r="L783" i="1"/>
  <c r="L770" i="1"/>
  <c r="M770" i="1"/>
  <c r="L755" i="1"/>
  <c r="M755" i="1"/>
  <c r="L995" i="1"/>
  <c r="M995" i="1"/>
  <c r="J992" i="1"/>
  <c r="M991" i="1"/>
  <c r="M989" i="1"/>
  <c r="M984" i="1"/>
  <c r="M981" i="1"/>
  <c r="J976" i="1"/>
  <c r="M975" i="1"/>
  <c r="J968" i="1"/>
  <c r="M967" i="1"/>
  <c r="J960" i="1"/>
  <c r="M959" i="1"/>
  <c r="L952" i="1"/>
  <c r="M952" i="1"/>
  <c r="M950" i="1"/>
  <c r="M937" i="1"/>
  <c r="M933" i="1"/>
  <c r="L923" i="1"/>
  <c r="M923" i="1"/>
  <c r="L885" i="1"/>
  <c r="M885" i="1"/>
  <c r="L853" i="1"/>
  <c r="M853" i="1"/>
  <c r="L767" i="1"/>
  <c r="M767" i="1"/>
  <c r="L757" i="1"/>
  <c r="M757" i="1"/>
  <c r="J1000" i="1"/>
  <c r="M999" i="1"/>
  <c r="K998" i="1"/>
  <c r="L976" i="1"/>
  <c r="M976" i="1"/>
  <c r="L968" i="1"/>
  <c r="M968" i="1"/>
  <c r="L960" i="1"/>
  <c r="M960" i="1"/>
  <c r="L948" i="1"/>
  <c r="M948" i="1"/>
  <c r="M946" i="1"/>
  <c r="L930" i="1"/>
  <c r="M930" i="1"/>
  <c r="M894" i="1"/>
  <c r="L891" i="1"/>
  <c r="M891" i="1"/>
  <c r="M862" i="1"/>
  <c r="L859" i="1"/>
  <c r="M859" i="1"/>
  <c r="M823" i="1"/>
  <c r="L823" i="1"/>
  <c r="M807" i="1"/>
  <c r="L807" i="1"/>
  <c r="M791" i="1"/>
  <c r="L791" i="1"/>
  <c r="M775" i="1"/>
  <c r="L775" i="1"/>
  <c r="L752" i="1"/>
  <c r="M752" i="1"/>
  <c r="L534" i="1"/>
  <c r="M534" i="1"/>
  <c r="L514" i="1"/>
  <c r="M514" i="1"/>
  <c r="M448" i="1"/>
  <c r="L448" i="1"/>
  <c r="M424" i="1"/>
  <c r="L424" i="1"/>
  <c r="M352" i="1"/>
  <c r="L352" i="1"/>
  <c r="M344" i="1"/>
  <c r="L344" i="1"/>
  <c r="K899" i="1"/>
  <c r="K883" i="1"/>
  <c r="K867" i="1"/>
  <c r="K851" i="1"/>
  <c r="K835" i="1"/>
  <c r="K830" i="1"/>
  <c r="K771" i="1"/>
  <c r="K761" i="1"/>
  <c r="K751" i="1"/>
  <c r="K747" i="1"/>
  <c r="M740" i="1"/>
  <c r="M724" i="1"/>
  <c r="M708" i="1"/>
  <c r="M692" i="1"/>
  <c r="K679" i="1"/>
  <c r="M678" i="1"/>
  <c r="M656" i="1"/>
  <c r="M640" i="1"/>
  <c r="M624" i="1"/>
  <c r="K611" i="1"/>
  <c r="M608" i="1"/>
  <c r="M595" i="1"/>
  <c r="M588" i="1"/>
  <c r="M571" i="1"/>
  <c r="M564" i="1"/>
  <c r="M554" i="1"/>
  <c r="L553" i="1"/>
  <c r="M553" i="1"/>
  <c r="J537" i="1"/>
  <c r="K537" i="1"/>
  <c r="L531" i="1"/>
  <c r="M531" i="1"/>
  <c r="L525" i="1"/>
  <c r="M525" i="1"/>
  <c r="L498" i="1"/>
  <c r="M498" i="1"/>
  <c r="M467" i="1"/>
  <c r="L467" i="1"/>
  <c r="M440" i="1"/>
  <c r="L440" i="1"/>
  <c r="M396" i="1"/>
  <c r="L396" i="1"/>
  <c r="M388" i="1"/>
  <c r="L388" i="1"/>
  <c r="M380" i="1"/>
  <c r="L380" i="1"/>
  <c r="M921" i="1"/>
  <c r="K919" i="1"/>
  <c r="J913" i="1"/>
  <c r="M911" i="1"/>
  <c r="M905" i="1"/>
  <c r="K903" i="1"/>
  <c r="J896" i="1"/>
  <c r="M895" i="1"/>
  <c r="M889" i="1"/>
  <c r="K887" i="1"/>
  <c r="J880" i="1"/>
  <c r="M879" i="1"/>
  <c r="M873" i="1"/>
  <c r="K871" i="1"/>
  <c r="J864" i="1"/>
  <c r="M863" i="1"/>
  <c r="M857" i="1"/>
  <c r="K855" i="1"/>
  <c r="J848" i="1"/>
  <c r="M847" i="1"/>
  <c r="M841" i="1"/>
  <c r="K839" i="1"/>
  <c r="K763" i="1"/>
  <c r="M762" i="1"/>
  <c r="M759" i="1"/>
  <c r="J756" i="1"/>
  <c r="K753" i="1"/>
  <c r="J750" i="1"/>
  <c r="M744" i="1"/>
  <c r="J736" i="1"/>
  <c r="M735" i="1"/>
  <c r="M728" i="1"/>
  <c r="J720" i="1"/>
  <c r="M719" i="1"/>
  <c r="M712" i="1"/>
  <c r="J704" i="1"/>
  <c r="M703" i="1"/>
  <c r="M696" i="1"/>
  <c r="J688" i="1"/>
  <c r="M687" i="1"/>
  <c r="M680" i="1"/>
  <c r="L672" i="1"/>
  <c r="M669" i="1"/>
  <c r="M660" i="1"/>
  <c r="J652" i="1"/>
  <c r="M651" i="1"/>
  <c r="M644" i="1"/>
  <c r="J636" i="1"/>
  <c r="M635" i="1"/>
  <c r="M628" i="1"/>
  <c r="J620" i="1"/>
  <c r="M619" i="1"/>
  <c r="M612" i="1"/>
  <c r="J604" i="1"/>
  <c r="M603" i="1"/>
  <c r="M597" i="1"/>
  <c r="K592" i="1"/>
  <c r="L582" i="1"/>
  <c r="M579" i="1"/>
  <c r="M573" i="1"/>
  <c r="K568" i="1"/>
  <c r="K558" i="1"/>
  <c r="M557" i="1"/>
  <c r="K543" i="1"/>
  <c r="K542" i="1"/>
  <c r="L517" i="1"/>
  <c r="M517" i="1"/>
  <c r="L505" i="1"/>
  <c r="M505" i="1"/>
  <c r="L491" i="1"/>
  <c r="M491" i="1"/>
  <c r="L482" i="1"/>
  <c r="M482" i="1"/>
  <c r="M476" i="1"/>
  <c r="L476" i="1"/>
  <c r="M456" i="1"/>
  <c r="L456" i="1"/>
  <c r="M421" i="1"/>
  <c r="L421" i="1"/>
  <c r="M406" i="1"/>
  <c r="L406" i="1"/>
  <c r="K376" i="1"/>
  <c r="J376" i="1"/>
  <c r="M368" i="1"/>
  <c r="L368" i="1"/>
  <c r="M348" i="1"/>
  <c r="L348" i="1"/>
  <c r="J996" i="1"/>
  <c r="J991" i="1"/>
  <c r="J987" i="1"/>
  <c r="K985" i="1"/>
  <c r="M940" i="1"/>
  <c r="M936" i="1"/>
  <c r="J932" i="1"/>
  <c r="J928" i="1"/>
  <c r="J917" i="1"/>
  <c r="M916" i="1"/>
  <c r="K907" i="1"/>
  <c r="J900" i="1"/>
  <c r="K891" i="1"/>
  <c r="J884" i="1"/>
  <c r="K875" i="1"/>
  <c r="J868" i="1"/>
  <c r="K859" i="1"/>
  <c r="J852" i="1"/>
  <c r="K843" i="1"/>
  <c r="J836" i="1"/>
  <c r="J832" i="1"/>
  <c r="K828" i="1"/>
  <c r="L821" i="1"/>
  <c r="L813" i="1"/>
  <c r="L805" i="1"/>
  <c r="L797" i="1"/>
  <c r="L789" i="1"/>
  <c r="L781" i="1"/>
  <c r="L773" i="1"/>
  <c r="L769" i="1"/>
  <c r="K767" i="1"/>
  <c r="M766" i="1"/>
  <c r="K755" i="1"/>
  <c r="M754" i="1"/>
  <c r="K744" i="1"/>
  <c r="J740" i="1"/>
  <c r="M739" i="1"/>
  <c r="M732" i="1"/>
  <c r="K728" i="1"/>
  <c r="J724" i="1"/>
  <c r="M723" i="1"/>
  <c r="M716" i="1"/>
  <c r="K712" i="1"/>
  <c r="J708" i="1"/>
  <c r="M707" i="1"/>
  <c r="K696" i="1"/>
  <c r="J692" i="1"/>
  <c r="M691" i="1"/>
  <c r="K680" i="1"/>
  <c r="J672" i="1"/>
  <c r="M671" i="1"/>
  <c r="K669" i="1"/>
  <c r="J666" i="1"/>
  <c r="K660" i="1"/>
  <c r="J656" i="1"/>
  <c r="M655" i="1"/>
  <c r="K644" i="1"/>
  <c r="J640" i="1"/>
  <c r="M639" i="1"/>
  <c r="K628" i="1"/>
  <c r="J624" i="1"/>
  <c r="M623" i="1"/>
  <c r="K612" i="1"/>
  <c r="J608" i="1"/>
  <c r="M607" i="1"/>
  <c r="J595" i="1"/>
  <c r="L590" i="1"/>
  <c r="M581" i="1"/>
  <c r="K579" i="1"/>
  <c r="J571" i="1"/>
  <c r="L566" i="1"/>
  <c r="K553" i="1"/>
  <c r="M545" i="1"/>
  <c r="L489" i="1"/>
  <c r="M489" i="1"/>
  <c r="M437" i="1"/>
  <c r="L437" i="1"/>
  <c r="M400" i="1"/>
  <c r="L400" i="1"/>
  <c r="M392" i="1"/>
  <c r="L392" i="1"/>
  <c r="M384" i="1"/>
  <c r="L384" i="1"/>
  <c r="M338" i="1"/>
  <c r="L338" i="1"/>
  <c r="M337" i="1"/>
  <c r="L337" i="1"/>
  <c r="M330" i="1"/>
  <c r="L330" i="1"/>
  <c r="M329" i="1"/>
  <c r="L329" i="1"/>
  <c r="M322" i="1"/>
  <c r="L322" i="1"/>
  <c r="M314" i="1"/>
  <c r="L314" i="1"/>
  <c r="M307" i="1"/>
  <c r="L307" i="1"/>
  <c r="M300" i="1"/>
  <c r="L300" i="1"/>
  <c r="M289" i="1"/>
  <c r="L289" i="1"/>
  <c r="K530" i="1"/>
  <c r="K526" i="1"/>
  <c r="K518" i="1"/>
  <c r="K510" i="1"/>
  <c r="K499" i="1"/>
  <c r="K497" i="1"/>
  <c r="K483" i="1"/>
  <c r="K481" i="1"/>
  <c r="K445" i="1"/>
  <c r="K429" i="1"/>
  <c r="K413" i="1"/>
  <c r="K372" i="1"/>
  <c r="K364" i="1"/>
  <c r="K350" i="1"/>
  <c r="K346" i="1"/>
  <c r="K342" i="1"/>
  <c r="M284" i="1"/>
  <c r="L284" i="1"/>
  <c r="M270" i="1"/>
  <c r="L270" i="1"/>
  <c r="L148" i="1"/>
  <c r="M148" i="1"/>
  <c r="J563" i="1"/>
  <c r="K556" i="1"/>
  <c r="K554" i="1"/>
  <c r="M539" i="1"/>
  <c r="K538" i="1"/>
  <c r="M537" i="1"/>
  <c r="J529" i="1"/>
  <c r="M527" i="1"/>
  <c r="M522" i="1"/>
  <c r="M519" i="1"/>
  <c r="M511" i="1"/>
  <c r="M507" i="1"/>
  <c r="K503" i="1"/>
  <c r="M502" i="1"/>
  <c r="K501" i="1"/>
  <c r="M495" i="1"/>
  <c r="M493" i="1"/>
  <c r="K487" i="1"/>
  <c r="M486" i="1"/>
  <c r="K485" i="1"/>
  <c r="J444" i="1"/>
  <c r="J443" i="1"/>
  <c r="K441" i="1"/>
  <c r="J433" i="1"/>
  <c r="J428" i="1"/>
  <c r="J427" i="1"/>
  <c r="K425" i="1"/>
  <c r="J417" i="1"/>
  <c r="J412" i="1"/>
  <c r="J411" i="1"/>
  <c r="K409" i="1"/>
  <c r="J405" i="1"/>
  <c r="J401" i="1"/>
  <c r="J397" i="1"/>
  <c r="J393" i="1"/>
  <c r="J389" i="1"/>
  <c r="J385" i="1"/>
  <c r="J381" i="1"/>
  <c r="J377" i="1"/>
  <c r="L376" i="1"/>
  <c r="K374" i="1"/>
  <c r="K366" i="1"/>
  <c r="K349" i="1"/>
  <c r="K345" i="1"/>
  <c r="M341" i="1"/>
  <c r="L341" i="1"/>
  <c r="K340" i="1"/>
  <c r="M334" i="1"/>
  <c r="L334" i="1"/>
  <c r="M333" i="1"/>
  <c r="L333" i="1"/>
  <c r="K332" i="1"/>
  <c r="M326" i="1"/>
  <c r="L326" i="1"/>
  <c r="M325" i="1"/>
  <c r="L325" i="1"/>
  <c r="K324" i="1"/>
  <c r="M318" i="1"/>
  <c r="L318" i="1"/>
  <c r="M310" i="1"/>
  <c r="L310" i="1"/>
  <c r="M303" i="1"/>
  <c r="L303" i="1"/>
  <c r="M266" i="1"/>
  <c r="L266" i="1"/>
  <c r="L204" i="1"/>
  <c r="M204" i="1"/>
  <c r="J545" i="1"/>
  <c r="L524" i="1"/>
  <c r="K505" i="1"/>
  <c r="K491" i="1"/>
  <c r="M490" i="1"/>
  <c r="K489" i="1"/>
  <c r="L479" i="1"/>
  <c r="L473" i="1"/>
  <c r="L470" i="1"/>
  <c r="L465" i="1"/>
  <c r="L462" i="1"/>
  <c r="L454" i="1"/>
  <c r="L446" i="1"/>
  <c r="J440" i="1"/>
  <c r="J439" i="1"/>
  <c r="K437" i="1"/>
  <c r="L436" i="1"/>
  <c r="L433" i="1"/>
  <c r="K430" i="1"/>
  <c r="J424" i="1"/>
  <c r="J423" i="1"/>
  <c r="K421" i="1"/>
  <c r="L420" i="1"/>
  <c r="L417" i="1"/>
  <c r="K414" i="1"/>
  <c r="J413" i="1"/>
  <c r="J407" i="1"/>
  <c r="J406" i="1"/>
  <c r="L405" i="1"/>
  <c r="J400" i="1"/>
  <c r="L399" i="1"/>
  <c r="J396" i="1"/>
  <c r="L395" i="1"/>
  <c r="J392" i="1"/>
  <c r="L391" i="1"/>
  <c r="J388" i="1"/>
  <c r="L387" i="1"/>
  <c r="J384" i="1"/>
  <c r="L383" i="1"/>
  <c r="J380" i="1"/>
  <c r="L379" i="1"/>
  <c r="J375" i="1"/>
  <c r="J372" i="1"/>
  <c r="L370" i="1"/>
  <c r="K368" i="1"/>
  <c r="J367" i="1"/>
  <c r="J364" i="1"/>
  <c r="J361" i="1"/>
  <c r="J357" i="1"/>
  <c r="J353" i="1"/>
  <c r="L351" i="1"/>
  <c r="J350" i="1"/>
  <c r="K348" i="1"/>
  <c r="L347" i="1"/>
  <c r="J346" i="1"/>
  <c r="K344" i="1"/>
  <c r="L343" i="1"/>
  <c r="J342" i="1"/>
  <c r="J341" i="1"/>
  <c r="M262" i="1"/>
  <c r="L262" i="1"/>
  <c r="L209" i="1"/>
  <c r="M209" i="1"/>
  <c r="L208" i="1"/>
  <c r="M208" i="1"/>
  <c r="L221" i="1"/>
  <c r="M221" i="1"/>
  <c r="L220" i="1"/>
  <c r="M220" i="1"/>
  <c r="L34" i="1"/>
  <c r="M34" i="1"/>
  <c r="K320" i="1"/>
  <c r="K316" i="1"/>
  <c r="K312" i="1"/>
  <c r="K308" i="1"/>
  <c r="K304" i="1"/>
  <c r="K294" i="1"/>
  <c r="K278" i="1"/>
  <c r="L193" i="1"/>
  <c r="M193" i="1"/>
  <c r="L188" i="1"/>
  <c r="M188" i="1"/>
  <c r="L126" i="1"/>
  <c r="M126" i="1"/>
  <c r="L50" i="1"/>
  <c r="M50" i="1"/>
  <c r="L32" i="1"/>
  <c r="M32" i="1"/>
  <c r="L26" i="1"/>
  <c r="M26" i="1"/>
  <c r="L16" i="1"/>
  <c r="M16" i="1"/>
  <c r="L11" i="1"/>
  <c r="M11" i="1"/>
  <c r="K339" i="1"/>
  <c r="J337" i="1"/>
  <c r="K335" i="1"/>
  <c r="J333" i="1"/>
  <c r="K331" i="1"/>
  <c r="J329" i="1"/>
  <c r="K327" i="1"/>
  <c r="J325" i="1"/>
  <c r="K323" i="1"/>
  <c r="J321" i="1"/>
  <c r="K319" i="1"/>
  <c r="J317" i="1"/>
  <c r="K315" i="1"/>
  <c r="J313" i="1"/>
  <c r="K311" i="1"/>
  <c r="J309" i="1"/>
  <c r="J301" i="1"/>
  <c r="L296" i="1"/>
  <c r="J296" i="1"/>
  <c r="K290" i="1"/>
  <c r="J287" i="1"/>
  <c r="J285" i="1"/>
  <c r="L280" i="1"/>
  <c r="J280" i="1"/>
  <c r="K274" i="1"/>
  <c r="J250" i="1"/>
  <c r="J246" i="1"/>
  <c r="J242" i="1"/>
  <c r="J238" i="1"/>
  <c r="J234" i="1"/>
  <c r="J230" i="1"/>
  <c r="J226" i="1"/>
  <c r="L213" i="1"/>
  <c r="M213" i="1"/>
  <c r="M164" i="1"/>
  <c r="L164" i="1"/>
  <c r="M73" i="1"/>
  <c r="L73" i="1"/>
  <c r="L24" i="1"/>
  <c r="M24" i="1"/>
  <c r="L13" i="1"/>
  <c r="M13" i="1"/>
  <c r="K338" i="1"/>
  <c r="K334" i="1"/>
  <c r="K330" i="1"/>
  <c r="K326" i="1"/>
  <c r="K322" i="1"/>
  <c r="L321" i="1"/>
  <c r="K318" i="1"/>
  <c r="L317" i="1"/>
  <c r="K314" i="1"/>
  <c r="L313" i="1"/>
  <c r="K310" i="1"/>
  <c r="L309" i="1"/>
  <c r="K306" i="1"/>
  <c r="L305" i="1"/>
  <c r="J305" i="1"/>
  <c r="K302" i="1"/>
  <c r="L301" i="1"/>
  <c r="K301" i="1"/>
  <c r="J299" i="1"/>
  <c r="J297" i="1"/>
  <c r="J292" i="1"/>
  <c r="K286" i="1"/>
  <c r="L285" i="1"/>
  <c r="K285" i="1"/>
  <c r="J283" i="1"/>
  <c r="J281" i="1"/>
  <c r="J276" i="1"/>
  <c r="J273" i="1"/>
  <c r="L272" i="1"/>
  <c r="J269" i="1"/>
  <c r="L268" i="1"/>
  <c r="J265" i="1"/>
  <c r="L264" i="1"/>
  <c r="K259" i="1"/>
  <c r="J255" i="1"/>
  <c r="J254" i="1"/>
  <c r="K251" i="1"/>
  <c r="J249" i="1"/>
  <c r="K247" i="1"/>
  <c r="J245" i="1"/>
  <c r="K243" i="1"/>
  <c r="K239" i="1"/>
  <c r="K235" i="1"/>
  <c r="K231" i="1"/>
  <c r="K227" i="1"/>
  <c r="J197" i="1"/>
  <c r="K197" i="1"/>
  <c r="M75" i="1"/>
  <c r="L75" i="1"/>
  <c r="M70" i="1"/>
  <c r="L70" i="1"/>
  <c r="M63" i="1"/>
  <c r="L63" i="1"/>
  <c r="L48" i="1"/>
  <c r="M48" i="1"/>
  <c r="K121" i="1"/>
  <c r="K113" i="1"/>
  <c r="K105" i="1"/>
  <c r="J103" i="1"/>
  <c r="K97" i="1"/>
  <c r="J95" i="1"/>
  <c r="K86" i="1"/>
  <c r="K80" i="1"/>
  <c r="M79" i="1"/>
  <c r="L77" i="1"/>
  <c r="J68" i="1"/>
  <c r="L67" i="1"/>
  <c r="L65" i="1"/>
  <c r="J59" i="1"/>
  <c r="K49" i="1"/>
  <c r="K45" i="1"/>
  <c r="M44" i="1"/>
  <c r="M38" i="1"/>
  <c r="M30" i="1"/>
  <c r="K216" i="1"/>
  <c r="K200" i="1"/>
  <c r="M197" i="1"/>
  <c r="J189" i="1"/>
  <c r="M183" i="1"/>
  <c r="J170" i="1"/>
  <c r="J159" i="1"/>
  <c r="J155" i="1"/>
  <c r="J151" i="1"/>
  <c r="M127" i="1"/>
  <c r="K118" i="1"/>
  <c r="K110" i="1"/>
  <c r="K99" i="1"/>
  <c r="J89" i="1"/>
  <c r="J85" i="1"/>
  <c r="J83" i="1"/>
  <c r="K77" i="1"/>
  <c r="K67" i="1"/>
  <c r="J64" i="1"/>
  <c r="L60" i="1"/>
  <c r="K55" i="1"/>
  <c r="J53" i="1"/>
  <c r="J51" i="1"/>
  <c r="K38" i="1"/>
  <c r="M17" i="1"/>
  <c r="J193" i="1"/>
  <c r="M192" i="1"/>
  <c r="J180" i="1"/>
  <c r="J176" i="1"/>
  <c r="L175" i="1"/>
  <c r="L172" i="1"/>
  <c r="J167" i="1"/>
  <c r="L160" i="1"/>
  <c r="J158" i="1"/>
  <c r="L157" i="1"/>
  <c r="L152" i="1"/>
  <c r="J148" i="1"/>
  <c r="M147" i="1"/>
  <c r="K125" i="1"/>
  <c r="M15" i="1"/>
  <c r="M979" i="1"/>
  <c r="J1001" i="1"/>
  <c r="M1000" i="1"/>
  <c r="K999" i="1"/>
  <c r="J998" i="1"/>
  <c r="K995" i="1"/>
  <c r="J994" i="1"/>
  <c r="K991" i="1"/>
  <c r="J990" i="1"/>
  <c r="K987" i="1"/>
  <c r="J986" i="1"/>
  <c r="K983" i="1"/>
  <c r="J982" i="1"/>
  <c r="K979" i="1"/>
  <c r="J978" i="1"/>
  <c r="K975" i="1"/>
  <c r="J974" i="1"/>
  <c r="K971" i="1"/>
  <c r="J970" i="1"/>
  <c r="K967" i="1"/>
  <c r="J966" i="1"/>
  <c r="K963" i="1"/>
  <c r="J962" i="1"/>
  <c r="K959" i="1"/>
  <c r="J958" i="1"/>
  <c r="K955" i="1"/>
  <c r="J954" i="1"/>
  <c r="K951" i="1"/>
  <c r="J950" i="1"/>
  <c r="K947" i="1"/>
  <c r="J946" i="1"/>
  <c r="K943" i="1"/>
  <c r="J942" i="1"/>
  <c r="K939" i="1"/>
  <c r="J938" i="1"/>
  <c r="K935" i="1"/>
  <c r="K932" i="1"/>
  <c r="K929" i="1"/>
  <c r="L927" i="1"/>
  <c r="K924" i="1"/>
  <c r="K921" i="1"/>
  <c r="L915" i="1"/>
  <c r="J912" i="1"/>
  <c r="K912" i="1"/>
  <c r="M908" i="1"/>
  <c r="J905" i="1"/>
  <c r="K905" i="1"/>
  <c r="M904" i="1"/>
  <c r="J901" i="1"/>
  <c r="K901" i="1"/>
  <c r="M900" i="1"/>
  <c r="J897" i="1"/>
  <c r="K897" i="1"/>
  <c r="M896" i="1"/>
  <c r="J893" i="1"/>
  <c r="K893" i="1"/>
  <c r="M892" i="1"/>
  <c r="J889" i="1"/>
  <c r="K889" i="1"/>
  <c r="M888" i="1"/>
  <c r="J885" i="1"/>
  <c r="K885" i="1"/>
  <c r="M884" i="1"/>
  <c r="J881" i="1"/>
  <c r="K881" i="1"/>
  <c r="M880" i="1"/>
  <c r="J877" i="1"/>
  <c r="K877" i="1"/>
  <c r="M876" i="1"/>
  <c r="J873" i="1"/>
  <c r="K873" i="1"/>
  <c r="M872" i="1"/>
  <c r="J869" i="1"/>
  <c r="K869" i="1"/>
  <c r="M868" i="1"/>
  <c r="J865" i="1"/>
  <c r="K865" i="1"/>
  <c r="M864" i="1"/>
  <c r="J861" i="1"/>
  <c r="K861" i="1"/>
  <c r="M860" i="1"/>
  <c r="J857" i="1"/>
  <c r="K857" i="1"/>
  <c r="M856" i="1"/>
  <c r="J853" i="1"/>
  <c r="K853" i="1"/>
  <c r="M852" i="1"/>
  <c r="J849" i="1"/>
  <c r="K849" i="1"/>
  <c r="M848" i="1"/>
  <c r="J845" i="1"/>
  <c r="K845" i="1"/>
  <c r="M844" i="1"/>
  <c r="J841" i="1"/>
  <c r="K841" i="1"/>
  <c r="M840" i="1"/>
  <c r="J837" i="1"/>
  <c r="K837" i="1"/>
  <c r="M836" i="1"/>
  <c r="J833" i="1"/>
  <c r="K833" i="1"/>
  <c r="K992" i="1"/>
  <c r="K988" i="1"/>
  <c r="K984" i="1"/>
  <c r="K980" i="1"/>
  <c r="K976" i="1"/>
  <c r="K972" i="1"/>
  <c r="K968" i="1"/>
  <c r="K964" i="1"/>
  <c r="K960" i="1"/>
  <c r="K956" i="1"/>
  <c r="K952" i="1"/>
  <c r="K948" i="1"/>
  <c r="K944" i="1"/>
  <c r="K940" i="1"/>
  <c r="K936" i="1"/>
  <c r="J927" i="1"/>
  <c r="K927" i="1"/>
  <c r="K917" i="1"/>
  <c r="J908" i="1"/>
  <c r="K908" i="1"/>
  <c r="L998" i="1"/>
  <c r="J920" i="1"/>
  <c r="K920" i="1"/>
  <c r="J997" i="1"/>
  <c r="J993" i="1"/>
  <c r="J989" i="1"/>
  <c r="J985" i="1"/>
  <c r="J981" i="1"/>
  <c r="J977" i="1"/>
  <c r="J973" i="1"/>
  <c r="J969" i="1"/>
  <c r="J965" i="1"/>
  <c r="J961" i="1"/>
  <c r="J957" i="1"/>
  <c r="J953" i="1"/>
  <c r="J949" i="1"/>
  <c r="J945" i="1"/>
  <c r="J941" i="1"/>
  <c r="J937" i="1"/>
  <c r="J933" i="1"/>
  <c r="M932" i="1"/>
  <c r="J931" i="1"/>
  <c r="K931" i="1"/>
  <c r="J925" i="1"/>
  <c r="M924" i="1"/>
  <c r="J923" i="1"/>
  <c r="K923" i="1"/>
  <c r="J916" i="1"/>
  <c r="K916" i="1"/>
  <c r="M912" i="1"/>
  <c r="K909" i="1"/>
  <c r="L676" i="1"/>
  <c r="M676" i="1"/>
  <c r="J581" i="1"/>
  <c r="K581" i="1"/>
  <c r="L570" i="1"/>
  <c r="M570" i="1"/>
  <c r="L529" i="1"/>
  <c r="M529" i="1"/>
  <c r="L509" i="1"/>
  <c r="M509" i="1"/>
  <c r="L457" i="1"/>
  <c r="M457" i="1"/>
  <c r="L449" i="1"/>
  <c r="M449" i="1"/>
  <c r="J934" i="1"/>
  <c r="J930" i="1"/>
  <c r="J926" i="1"/>
  <c r="J922" i="1"/>
  <c r="J918" i="1"/>
  <c r="J914" i="1"/>
  <c r="J910" i="1"/>
  <c r="J906" i="1"/>
  <c r="J902" i="1"/>
  <c r="J898" i="1"/>
  <c r="J894" i="1"/>
  <c r="J890" i="1"/>
  <c r="J886" i="1"/>
  <c r="J882" i="1"/>
  <c r="J878" i="1"/>
  <c r="J874" i="1"/>
  <c r="J870" i="1"/>
  <c r="J866" i="1"/>
  <c r="J862" i="1"/>
  <c r="J858" i="1"/>
  <c r="J854" i="1"/>
  <c r="J850" i="1"/>
  <c r="J846" i="1"/>
  <c r="J842" i="1"/>
  <c r="J838" i="1"/>
  <c r="J834" i="1"/>
  <c r="K831" i="1"/>
  <c r="M830" i="1"/>
  <c r="K829" i="1"/>
  <c r="M828" i="1"/>
  <c r="K827" i="1"/>
  <c r="M826" i="1"/>
  <c r="K825" i="1"/>
  <c r="M824" i="1"/>
  <c r="K823" i="1"/>
  <c r="M822" i="1"/>
  <c r="K821" i="1"/>
  <c r="M820" i="1"/>
  <c r="K819" i="1"/>
  <c r="M818" i="1"/>
  <c r="K817" i="1"/>
  <c r="M816" i="1"/>
  <c r="K815" i="1"/>
  <c r="M814" i="1"/>
  <c r="K813" i="1"/>
  <c r="M812" i="1"/>
  <c r="K811" i="1"/>
  <c r="M810" i="1"/>
  <c r="K809" i="1"/>
  <c r="M808" i="1"/>
  <c r="K807" i="1"/>
  <c r="M806" i="1"/>
  <c r="K805" i="1"/>
  <c r="M804" i="1"/>
  <c r="K803" i="1"/>
  <c r="M802" i="1"/>
  <c r="K801" i="1"/>
  <c r="M800" i="1"/>
  <c r="K799" i="1"/>
  <c r="M798" i="1"/>
  <c r="K797" i="1"/>
  <c r="M796" i="1"/>
  <c r="K795" i="1"/>
  <c r="M794" i="1"/>
  <c r="K793" i="1"/>
  <c r="M792" i="1"/>
  <c r="K791" i="1"/>
  <c r="M790" i="1"/>
  <c r="K789" i="1"/>
  <c r="M788" i="1"/>
  <c r="K787" i="1"/>
  <c r="M786" i="1"/>
  <c r="K785" i="1"/>
  <c r="M784" i="1"/>
  <c r="K783" i="1"/>
  <c r="M782" i="1"/>
  <c r="K781" i="1"/>
  <c r="M780" i="1"/>
  <c r="K779" i="1"/>
  <c r="M778" i="1"/>
  <c r="K777" i="1"/>
  <c r="M776" i="1"/>
  <c r="K775" i="1"/>
  <c r="M774" i="1"/>
  <c r="K773" i="1"/>
  <c r="M772" i="1"/>
  <c r="K766" i="1"/>
  <c r="K758" i="1"/>
  <c r="K750" i="1"/>
  <c r="M665" i="1"/>
  <c r="J663" i="1"/>
  <c r="K663" i="1"/>
  <c r="M662" i="1"/>
  <c r="J659" i="1"/>
  <c r="K659" i="1"/>
  <c r="M658" i="1"/>
  <c r="J655" i="1"/>
  <c r="K655" i="1"/>
  <c r="M654" i="1"/>
  <c r="J651" i="1"/>
  <c r="K651" i="1"/>
  <c r="M650" i="1"/>
  <c r="J647" i="1"/>
  <c r="K647" i="1"/>
  <c r="M646" i="1"/>
  <c r="J643" i="1"/>
  <c r="K643" i="1"/>
  <c r="M642" i="1"/>
  <c r="J639" i="1"/>
  <c r="K639" i="1"/>
  <c r="M638" i="1"/>
  <c r="J635" i="1"/>
  <c r="K635" i="1"/>
  <c r="M634" i="1"/>
  <c r="J631" i="1"/>
  <c r="K631" i="1"/>
  <c r="M630" i="1"/>
  <c r="J627" i="1"/>
  <c r="K627" i="1"/>
  <c r="M626" i="1"/>
  <c r="J623" i="1"/>
  <c r="K623" i="1"/>
  <c r="M622" i="1"/>
  <c r="J619" i="1"/>
  <c r="K619" i="1"/>
  <c r="M618" i="1"/>
  <c r="J615" i="1"/>
  <c r="K615" i="1"/>
  <c r="M614" i="1"/>
  <c r="M610" i="1"/>
  <c r="M606" i="1"/>
  <c r="M602" i="1"/>
  <c r="M591" i="1"/>
  <c r="J589" i="1"/>
  <c r="K589" i="1"/>
  <c r="L578" i="1"/>
  <c r="M578" i="1"/>
  <c r="M541" i="1"/>
  <c r="M516" i="1"/>
  <c r="L516" i="1"/>
  <c r="J511" i="1"/>
  <c r="K511" i="1"/>
  <c r="J919" i="1"/>
  <c r="J915" i="1"/>
  <c r="J911" i="1"/>
  <c r="J907" i="1"/>
  <c r="K904" i="1"/>
  <c r="J903" i="1"/>
  <c r="K900" i="1"/>
  <c r="J899" i="1"/>
  <c r="K896" i="1"/>
  <c r="J895" i="1"/>
  <c r="K892" i="1"/>
  <c r="J891" i="1"/>
  <c r="K888" i="1"/>
  <c r="J887" i="1"/>
  <c r="K884" i="1"/>
  <c r="J883" i="1"/>
  <c r="K880" i="1"/>
  <c r="J879" i="1"/>
  <c r="K876" i="1"/>
  <c r="J875" i="1"/>
  <c r="K872" i="1"/>
  <c r="J871" i="1"/>
  <c r="K868" i="1"/>
  <c r="J867" i="1"/>
  <c r="K864" i="1"/>
  <c r="J863" i="1"/>
  <c r="K860" i="1"/>
  <c r="J859" i="1"/>
  <c r="K856" i="1"/>
  <c r="J855" i="1"/>
  <c r="K852" i="1"/>
  <c r="J851" i="1"/>
  <c r="K848" i="1"/>
  <c r="J847" i="1"/>
  <c r="K844" i="1"/>
  <c r="J843" i="1"/>
  <c r="K840" i="1"/>
  <c r="J839" i="1"/>
  <c r="K836" i="1"/>
  <c r="J835" i="1"/>
  <c r="K832" i="1"/>
  <c r="J768" i="1"/>
  <c r="K768" i="1"/>
  <c r="J760" i="1"/>
  <c r="K760" i="1"/>
  <c r="J752" i="1"/>
  <c r="K752" i="1"/>
  <c r="M749" i="1"/>
  <c r="J671" i="1"/>
  <c r="K671" i="1"/>
  <c r="J597" i="1"/>
  <c r="K597" i="1"/>
  <c r="L586" i="1"/>
  <c r="M586" i="1"/>
  <c r="M567" i="1"/>
  <c r="J565" i="1"/>
  <c r="K565" i="1"/>
  <c r="M536" i="1"/>
  <c r="L536" i="1"/>
  <c r="K826" i="1"/>
  <c r="K824" i="1"/>
  <c r="K822" i="1"/>
  <c r="K820" i="1"/>
  <c r="K818" i="1"/>
  <c r="K816" i="1"/>
  <c r="K814" i="1"/>
  <c r="K812" i="1"/>
  <c r="K810" i="1"/>
  <c r="K808" i="1"/>
  <c r="K806" i="1"/>
  <c r="K804" i="1"/>
  <c r="K802" i="1"/>
  <c r="K800" i="1"/>
  <c r="K798" i="1"/>
  <c r="K796" i="1"/>
  <c r="K794" i="1"/>
  <c r="K792" i="1"/>
  <c r="K790" i="1"/>
  <c r="K788" i="1"/>
  <c r="K786" i="1"/>
  <c r="K784" i="1"/>
  <c r="K782" i="1"/>
  <c r="K780" i="1"/>
  <c r="K778" i="1"/>
  <c r="K776" i="1"/>
  <c r="K774" i="1"/>
  <c r="K772" i="1"/>
  <c r="L747" i="1"/>
  <c r="M747" i="1"/>
  <c r="J743" i="1"/>
  <c r="K743" i="1"/>
  <c r="M742" i="1"/>
  <c r="J739" i="1"/>
  <c r="K739" i="1"/>
  <c r="M738" i="1"/>
  <c r="J735" i="1"/>
  <c r="K735" i="1"/>
  <c r="M734" i="1"/>
  <c r="J731" i="1"/>
  <c r="K731" i="1"/>
  <c r="M730" i="1"/>
  <c r="J727" i="1"/>
  <c r="K727" i="1"/>
  <c r="M726" i="1"/>
  <c r="J723" i="1"/>
  <c r="K723" i="1"/>
  <c r="M722" i="1"/>
  <c r="J719" i="1"/>
  <c r="K719" i="1"/>
  <c r="M718" i="1"/>
  <c r="J715" i="1"/>
  <c r="K715" i="1"/>
  <c r="M714" i="1"/>
  <c r="J711" i="1"/>
  <c r="K711" i="1"/>
  <c r="M710" i="1"/>
  <c r="J707" i="1"/>
  <c r="K707" i="1"/>
  <c r="M706" i="1"/>
  <c r="J703" i="1"/>
  <c r="K703" i="1"/>
  <c r="M702" i="1"/>
  <c r="J699" i="1"/>
  <c r="K699" i="1"/>
  <c r="M698" i="1"/>
  <c r="J695" i="1"/>
  <c r="K695" i="1"/>
  <c r="M694" i="1"/>
  <c r="J691" i="1"/>
  <c r="K691" i="1"/>
  <c r="M690" i="1"/>
  <c r="J687" i="1"/>
  <c r="K687" i="1"/>
  <c r="M686" i="1"/>
  <c r="J683" i="1"/>
  <c r="K683" i="1"/>
  <c r="M682" i="1"/>
  <c r="L668" i="1"/>
  <c r="M668" i="1"/>
  <c r="L594" i="1"/>
  <c r="M594" i="1"/>
  <c r="J573" i="1"/>
  <c r="K573" i="1"/>
  <c r="L562" i="1"/>
  <c r="M562" i="1"/>
  <c r="J523" i="1"/>
  <c r="K523" i="1"/>
  <c r="K598" i="1"/>
  <c r="K590" i="1"/>
  <c r="K582" i="1"/>
  <c r="K574" i="1"/>
  <c r="K566" i="1"/>
  <c r="J535" i="1"/>
  <c r="K535" i="1"/>
  <c r="J515" i="1"/>
  <c r="K515" i="1"/>
  <c r="L471" i="1"/>
  <c r="M471" i="1"/>
  <c r="L466" i="1"/>
  <c r="M466" i="1"/>
  <c r="L463" i="1"/>
  <c r="M463" i="1"/>
  <c r="L455" i="1"/>
  <c r="M455" i="1"/>
  <c r="L447" i="1"/>
  <c r="M447" i="1"/>
  <c r="J436" i="1"/>
  <c r="M434" i="1"/>
  <c r="L434" i="1"/>
  <c r="M431" i="1"/>
  <c r="L431" i="1"/>
  <c r="J420" i="1"/>
  <c r="M418" i="1"/>
  <c r="L418" i="1"/>
  <c r="J748" i="1"/>
  <c r="J745" i="1"/>
  <c r="J741" i="1"/>
  <c r="J737" i="1"/>
  <c r="J733" i="1"/>
  <c r="J729" i="1"/>
  <c r="J725" i="1"/>
  <c r="J721" i="1"/>
  <c r="J717" i="1"/>
  <c r="J713" i="1"/>
  <c r="J709" i="1"/>
  <c r="J705" i="1"/>
  <c r="J701" i="1"/>
  <c r="J697" i="1"/>
  <c r="J693" i="1"/>
  <c r="J689" i="1"/>
  <c r="J685" i="1"/>
  <c r="J681" i="1"/>
  <c r="J675" i="1"/>
  <c r="M674" i="1"/>
  <c r="J670" i="1"/>
  <c r="J667" i="1"/>
  <c r="M666" i="1"/>
  <c r="J661" i="1"/>
  <c r="J657" i="1"/>
  <c r="J653" i="1"/>
  <c r="J649" i="1"/>
  <c r="J645" i="1"/>
  <c r="J641" i="1"/>
  <c r="J637" i="1"/>
  <c r="J633" i="1"/>
  <c r="J629" i="1"/>
  <c r="J625" i="1"/>
  <c r="J621" i="1"/>
  <c r="J617" i="1"/>
  <c r="J613" i="1"/>
  <c r="J609" i="1"/>
  <c r="J605" i="1"/>
  <c r="J601" i="1"/>
  <c r="M600" i="1"/>
  <c r="K596" i="1"/>
  <c r="J593" i="1"/>
  <c r="M592" i="1"/>
  <c r="K588" i="1"/>
  <c r="J585" i="1"/>
  <c r="M584" i="1"/>
  <c r="K580" i="1"/>
  <c r="J577" i="1"/>
  <c r="M576" i="1"/>
  <c r="K572" i="1"/>
  <c r="J569" i="1"/>
  <c r="M568" i="1"/>
  <c r="K564" i="1"/>
  <c r="J561" i="1"/>
  <c r="M560" i="1"/>
  <c r="J555" i="1"/>
  <c r="K555" i="1"/>
  <c r="M552" i="1"/>
  <c r="J547" i="1"/>
  <c r="K547" i="1"/>
  <c r="M544" i="1"/>
  <c r="J539" i="1"/>
  <c r="K539" i="1"/>
  <c r="M533" i="1"/>
  <c r="J527" i="1"/>
  <c r="K527" i="1"/>
  <c r="M521" i="1"/>
  <c r="J507" i="1"/>
  <c r="K507" i="1"/>
  <c r="M506" i="1"/>
  <c r="M504" i="1"/>
  <c r="M500" i="1"/>
  <c r="M496" i="1"/>
  <c r="M492" i="1"/>
  <c r="M488" i="1"/>
  <c r="M484" i="1"/>
  <c r="L478" i="1"/>
  <c r="M478" i="1"/>
  <c r="L469" i="1"/>
  <c r="M469" i="1"/>
  <c r="L461" i="1"/>
  <c r="M461" i="1"/>
  <c r="L453" i="1"/>
  <c r="M453" i="1"/>
  <c r="J770" i="1"/>
  <c r="K765" i="1"/>
  <c r="J762" i="1"/>
  <c r="K757" i="1"/>
  <c r="J754" i="1"/>
  <c r="K749" i="1"/>
  <c r="J746" i="1"/>
  <c r="J742" i="1"/>
  <c r="J738" i="1"/>
  <c r="J734" i="1"/>
  <c r="J730" i="1"/>
  <c r="J726" i="1"/>
  <c r="J722" i="1"/>
  <c r="J718" i="1"/>
  <c r="J714" i="1"/>
  <c r="J710" i="1"/>
  <c r="J706" i="1"/>
  <c r="J702" i="1"/>
  <c r="J698" i="1"/>
  <c r="J694" i="1"/>
  <c r="J690" i="1"/>
  <c r="J686" i="1"/>
  <c r="J682" i="1"/>
  <c r="J673" i="1"/>
  <c r="J668" i="1"/>
  <c r="J665" i="1"/>
  <c r="J662" i="1"/>
  <c r="J658" i="1"/>
  <c r="J654" i="1"/>
  <c r="J650" i="1"/>
  <c r="J646" i="1"/>
  <c r="J642" i="1"/>
  <c r="J638" i="1"/>
  <c r="J634" i="1"/>
  <c r="J630" i="1"/>
  <c r="J626" i="1"/>
  <c r="J622" i="1"/>
  <c r="J618" i="1"/>
  <c r="J614" i="1"/>
  <c r="J599" i="1"/>
  <c r="K594" i="1"/>
  <c r="J591" i="1"/>
  <c r="K586" i="1"/>
  <c r="J583" i="1"/>
  <c r="K578" i="1"/>
  <c r="J575" i="1"/>
  <c r="K570" i="1"/>
  <c r="J567" i="1"/>
  <c r="K562" i="1"/>
  <c r="J559" i="1"/>
  <c r="M558" i="1"/>
  <c r="L556" i="1"/>
  <c r="J551" i="1"/>
  <c r="M550" i="1"/>
  <c r="L548" i="1"/>
  <c r="J543" i="1"/>
  <c r="M542" i="1"/>
  <c r="L540" i="1"/>
  <c r="J531" i="1"/>
  <c r="K531" i="1"/>
  <c r="L528" i="1"/>
  <c r="J519" i="1"/>
  <c r="K519" i="1"/>
  <c r="L508" i="1"/>
  <c r="L459" i="1"/>
  <c r="M459" i="1"/>
  <c r="L451" i="1"/>
  <c r="M451" i="1"/>
  <c r="M442" i="1"/>
  <c r="L442" i="1"/>
  <c r="M439" i="1"/>
  <c r="L439" i="1"/>
  <c r="M426" i="1"/>
  <c r="L426" i="1"/>
  <c r="M423" i="1"/>
  <c r="L423" i="1"/>
  <c r="K540" i="1"/>
  <c r="K532" i="1"/>
  <c r="K524" i="1"/>
  <c r="K516" i="1"/>
  <c r="K508" i="1"/>
  <c r="K463" i="1"/>
  <c r="K461" i="1"/>
  <c r="K459" i="1"/>
  <c r="K457" i="1"/>
  <c r="K455" i="1"/>
  <c r="K453" i="1"/>
  <c r="K451" i="1"/>
  <c r="K449" i="1"/>
  <c r="K447" i="1"/>
  <c r="L443" i="1"/>
  <c r="K440" i="1"/>
  <c r="L438" i="1"/>
  <c r="L435" i="1"/>
  <c r="K432" i="1"/>
  <c r="L430" i="1"/>
  <c r="L427" i="1"/>
  <c r="K424" i="1"/>
  <c r="L422" i="1"/>
  <c r="L419" i="1"/>
  <c r="K416" i="1"/>
  <c r="L414" i="1"/>
  <c r="L411" i="1"/>
  <c r="L408" i="1"/>
  <c r="L407" i="1"/>
  <c r="K406" i="1"/>
  <c r="K401" i="1"/>
  <c r="K399" i="1"/>
  <c r="K397" i="1"/>
  <c r="K395" i="1"/>
  <c r="K393" i="1"/>
  <c r="K391" i="1"/>
  <c r="K389" i="1"/>
  <c r="K387" i="1"/>
  <c r="K385" i="1"/>
  <c r="K383" i="1"/>
  <c r="K381" i="1"/>
  <c r="K379" i="1"/>
  <c r="K377" i="1"/>
  <c r="L375" i="1"/>
  <c r="L371" i="1"/>
  <c r="L367" i="1"/>
  <c r="L363" i="1"/>
  <c r="L361" i="1"/>
  <c r="L359" i="1"/>
  <c r="L357" i="1"/>
  <c r="L355" i="1"/>
  <c r="L353" i="1"/>
  <c r="J409" i="1"/>
  <c r="K560" i="1"/>
  <c r="J557" i="1"/>
  <c r="K552" i="1"/>
  <c r="J549" i="1"/>
  <c r="K544" i="1"/>
  <c r="J541" i="1"/>
  <c r="K536" i="1"/>
  <c r="J533" i="1"/>
  <c r="K528" i="1"/>
  <c r="J525" i="1"/>
  <c r="K520" i="1"/>
  <c r="J517" i="1"/>
  <c r="K512" i="1"/>
  <c r="J509" i="1"/>
  <c r="K462" i="1"/>
  <c r="K460" i="1"/>
  <c r="K458" i="1"/>
  <c r="K456" i="1"/>
  <c r="K454" i="1"/>
  <c r="K452" i="1"/>
  <c r="K450" i="1"/>
  <c r="K448" i="1"/>
  <c r="K446" i="1"/>
  <c r="K444" i="1"/>
  <c r="K436" i="1"/>
  <c r="K428" i="1"/>
  <c r="K420" i="1"/>
  <c r="L415" i="1"/>
  <c r="K412" i="1"/>
  <c r="L410" i="1"/>
  <c r="L404" i="1"/>
  <c r="L403" i="1"/>
  <c r="J403" i="1"/>
  <c r="K402" i="1"/>
  <c r="K400" i="1"/>
  <c r="K398" i="1"/>
  <c r="K396" i="1"/>
  <c r="K394" i="1"/>
  <c r="K392" i="1"/>
  <c r="K390" i="1"/>
  <c r="K388" i="1"/>
  <c r="K386" i="1"/>
  <c r="K384" i="1"/>
  <c r="K382" i="1"/>
  <c r="K380" i="1"/>
  <c r="K378" i="1"/>
  <c r="L373" i="1"/>
  <c r="J373" i="1"/>
  <c r="L369" i="1"/>
  <c r="J369" i="1"/>
  <c r="L365" i="1"/>
  <c r="J365" i="1"/>
  <c r="L362" i="1"/>
  <c r="J362" i="1"/>
  <c r="L360" i="1"/>
  <c r="J360" i="1"/>
  <c r="L358" i="1"/>
  <c r="J358" i="1"/>
  <c r="L356" i="1"/>
  <c r="J356" i="1"/>
  <c r="L354" i="1"/>
  <c r="J354" i="1"/>
  <c r="J352" i="1"/>
  <c r="J348" i="1"/>
  <c r="J344" i="1"/>
  <c r="J340" i="1"/>
  <c r="J336" i="1"/>
  <c r="J332" i="1"/>
  <c r="J445" i="1"/>
  <c r="J437" i="1"/>
  <c r="J429" i="1"/>
  <c r="J421" i="1"/>
  <c r="J374" i="1"/>
  <c r="J370" i="1"/>
  <c r="J366" i="1"/>
  <c r="J351" i="1"/>
  <c r="J347" i="1"/>
  <c r="J343" i="1"/>
  <c r="J339" i="1"/>
  <c r="J335" i="1"/>
  <c r="J331" i="1"/>
  <c r="K299" i="1"/>
  <c r="K295" i="1"/>
  <c r="K291" i="1"/>
  <c r="K287" i="1"/>
  <c r="K283" i="1"/>
  <c r="K279" i="1"/>
  <c r="K275" i="1"/>
  <c r="M260" i="1"/>
  <c r="L260" i="1"/>
  <c r="K255" i="1"/>
  <c r="M252" i="1"/>
  <c r="L252" i="1"/>
  <c r="K250" i="1"/>
  <c r="K246" i="1"/>
  <c r="K242" i="1"/>
  <c r="K238" i="1"/>
  <c r="K234" i="1"/>
  <c r="K230" i="1"/>
  <c r="K226" i="1"/>
  <c r="M224" i="1"/>
  <c r="J182" i="1"/>
  <c r="K182" i="1"/>
  <c r="M180" i="1"/>
  <c r="L180" i="1"/>
  <c r="J174" i="1"/>
  <c r="K174" i="1"/>
  <c r="M169" i="1"/>
  <c r="L169" i="1"/>
  <c r="M162" i="1"/>
  <c r="L162" i="1"/>
  <c r="M171" i="1"/>
  <c r="L171" i="1"/>
  <c r="L273" i="1"/>
  <c r="L271" i="1"/>
  <c r="L269" i="1"/>
  <c r="L267" i="1"/>
  <c r="L265" i="1"/>
  <c r="L263" i="1"/>
  <c r="L256" i="1"/>
  <c r="M255" i="1"/>
  <c r="L255" i="1"/>
  <c r="M254" i="1"/>
  <c r="L254" i="1"/>
  <c r="M219" i="1"/>
  <c r="M215" i="1"/>
  <c r="M211" i="1"/>
  <c r="M207" i="1"/>
  <c r="M203" i="1"/>
  <c r="M199" i="1"/>
  <c r="J196" i="1"/>
  <c r="K196" i="1"/>
  <c r="M195" i="1"/>
  <c r="J192" i="1"/>
  <c r="K192" i="1"/>
  <c r="M191" i="1"/>
  <c r="J188" i="1"/>
  <c r="K188" i="1"/>
  <c r="M187" i="1"/>
  <c r="J184" i="1"/>
  <c r="K184" i="1"/>
  <c r="M153" i="1"/>
  <c r="L153" i="1"/>
  <c r="J328" i="1"/>
  <c r="J326" i="1"/>
  <c r="J324" i="1"/>
  <c r="J322" i="1"/>
  <c r="J320" i="1"/>
  <c r="J318" i="1"/>
  <c r="J316" i="1"/>
  <c r="J314" i="1"/>
  <c r="J312" i="1"/>
  <c r="J310" i="1"/>
  <c r="J308" i="1"/>
  <c r="L306" i="1"/>
  <c r="J306" i="1"/>
  <c r="L304" i="1"/>
  <c r="J304" i="1"/>
  <c r="L302" i="1"/>
  <c r="J302" i="1"/>
  <c r="L299" i="1"/>
  <c r="L298" i="1"/>
  <c r="J298" i="1"/>
  <c r="L295" i="1"/>
  <c r="L294" i="1"/>
  <c r="J294" i="1"/>
  <c r="L291" i="1"/>
  <c r="L290" i="1"/>
  <c r="J290" i="1"/>
  <c r="L287" i="1"/>
  <c r="L286" i="1"/>
  <c r="J286" i="1"/>
  <c r="L283" i="1"/>
  <c r="L282" i="1"/>
  <c r="J282" i="1"/>
  <c r="L279" i="1"/>
  <c r="L278" i="1"/>
  <c r="J278" i="1"/>
  <c r="L275" i="1"/>
  <c r="L274" i="1"/>
  <c r="J274" i="1"/>
  <c r="K273" i="1"/>
  <c r="K271" i="1"/>
  <c r="K269" i="1"/>
  <c r="K267" i="1"/>
  <c r="K265" i="1"/>
  <c r="K263" i="1"/>
  <c r="L259" i="1"/>
  <c r="K258" i="1"/>
  <c r="M257" i="1"/>
  <c r="L257" i="1"/>
  <c r="M253" i="1"/>
  <c r="L253" i="1"/>
  <c r="K249" i="1"/>
  <c r="K245" i="1"/>
  <c r="K241" i="1"/>
  <c r="K237" i="1"/>
  <c r="K233" i="1"/>
  <c r="K229" i="1"/>
  <c r="M155" i="1"/>
  <c r="L155" i="1"/>
  <c r="J106" i="1"/>
  <c r="K106" i="1"/>
  <c r="J98" i="1"/>
  <c r="K98" i="1"/>
  <c r="M87" i="1"/>
  <c r="L87" i="1"/>
  <c r="M72" i="1"/>
  <c r="L72" i="1"/>
  <c r="M182" i="1"/>
  <c r="L182" i="1"/>
  <c r="M158" i="1"/>
  <c r="L158" i="1"/>
  <c r="J156" i="1"/>
  <c r="J154" i="1"/>
  <c r="K147" i="1"/>
  <c r="J206" i="1"/>
  <c r="J202" i="1"/>
  <c r="J198" i="1"/>
  <c r="J194" i="1"/>
  <c r="J190" i="1"/>
  <c r="J186" i="1"/>
  <c r="L177" i="1"/>
  <c r="M176" i="1"/>
  <c r="L176" i="1"/>
  <c r="J175" i="1"/>
  <c r="K175" i="1"/>
  <c r="M170" i="1"/>
  <c r="L170" i="1"/>
  <c r="J168" i="1"/>
  <c r="J166" i="1"/>
  <c r="M154" i="1"/>
  <c r="L154" i="1"/>
  <c r="J152" i="1"/>
  <c r="J150" i="1"/>
  <c r="M146" i="1"/>
  <c r="L128" i="1"/>
  <c r="M128" i="1"/>
  <c r="J102" i="1"/>
  <c r="K102" i="1"/>
  <c r="J94" i="1"/>
  <c r="K94" i="1"/>
  <c r="J91" i="1"/>
  <c r="K91" i="1"/>
  <c r="J76" i="1"/>
  <c r="K76" i="1"/>
  <c r="K262" i="1"/>
  <c r="K254" i="1"/>
  <c r="K253" i="1"/>
  <c r="K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J195" i="1"/>
  <c r="J191" i="1"/>
  <c r="J187" i="1"/>
  <c r="L179" i="1"/>
  <c r="M178" i="1"/>
  <c r="L178" i="1"/>
  <c r="L174" i="1"/>
  <c r="L167" i="1"/>
  <c r="M166" i="1"/>
  <c r="L166" i="1"/>
  <c r="L165" i="1"/>
  <c r="J164" i="1"/>
  <c r="J162" i="1"/>
  <c r="M150" i="1"/>
  <c r="L150" i="1"/>
  <c r="J146" i="1"/>
  <c r="L83" i="1"/>
  <c r="M83" i="1"/>
  <c r="L55" i="1"/>
  <c r="M55" i="1"/>
  <c r="L54" i="1"/>
  <c r="M54" i="1"/>
  <c r="M76" i="1"/>
  <c r="L76" i="1"/>
  <c r="J69" i="1"/>
  <c r="K69" i="1"/>
  <c r="M47" i="1"/>
  <c r="L41" i="1"/>
  <c r="M41" i="1"/>
  <c r="J39" i="1"/>
  <c r="L3" i="1"/>
  <c r="M3" i="1"/>
  <c r="J183" i="1"/>
  <c r="J181" i="1"/>
  <c r="J179" i="1"/>
  <c r="J177" i="1"/>
  <c r="J173" i="1"/>
  <c r="J169" i="1"/>
  <c r="J165" i="1"/>
  <c r="J161" i="1"/>
  <c r="J157" i="1"/>
  <c r="J153" i="1"/>
  <c r="M129" i="1"/>
  <c r="J104" i="1"/>
  <c r="J100" i="1"/>
  <c r="J96" i="1"/>
  <c r="J92" i="1"/>
  <c r="J88" i="1"/>
  <c r="K88" i="1"/>
  <c r="L81" i="1"/>
  <c r="M81" i="1"/>
  <c r="K73" i="1"/>
  <c r="M68" i="1"/>
  <c r="L68" i="1"/>
  <c r="J65" i="1"/>
  <c r="K65" i="1"/>
  <c r="J40" i="1"/>
  <c r="L36" i="1"/>
  <c r="M36" i="1"/>
  <c r="L28" i="1"/>
  <c r="M28" i="1"/>
  <c r="L20" i="1"/>
  <c r="M20" i="1"/>
  <c r="J105" i="1"/>
  <c r="J101" i="1"/>
  <c r="J97" i="1"/>
  <c r="J93" i="1"/>
  <c r="J72" i="1"/>
  <c r="K72" i="1"/>
  <c r="M64" i="1"/>
  <c r="L64" i="1"/>
  <c r="L46" i="1"/>
  <c r="M46" i="1"/>
  <c r="L18" i="1"/>
  <c r="M18" i="1"/>
  <c r="L14" i="1"/>
  <c r="M14" i="1"/>
  <c r="L10" i="1"/>
  <c r="M10" i="1"/>
  <c r="L6" i="1"/>
  <c r="M6" i="1"/>
  <c r="J90" i="1"/>
  <c r="K79" i="1"/>
  <c r="J74" i="1"/>
  <c r="J70" i="1"/>
  <c r="J66" i="1"/>
  <c r="J62" i="1"/>
  <c r="J61" i="1"/>
  <c r="J60" i="1"/>
  <c r="J55" i="1"/>
  <c r="J47" i="1"/>
  <c r="K42" i="1"/>
  <c r="J87" i="1"/>
  <c r="J75" i="1"/>
  <c r="J71" i="1"/>
  <c r="K68" i="1"/>
  <c r="J67" i="1"/>
  <c r="K64" i="1"/>
  <c r="J63" i="1"/>
  <c r="J57" i="1"/>
  <c r="J49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69" i="1"/>
  <c r="J767" i="1"/>
  <c r="J765" i="1"/>
  <c r="J763" i="1"/>
  <c r="J761" i="1"/>
  <c r="J759" i="1"/>
  <c r="J757" i="1"/>
  <c r="J755" i="1"/>
  <c r="J753" i="1"/>
  <c r="J751" i="1"/>
  <c r="J749" i="1"/>
  <c r="J747" i="1"/>
  <c r="J677" i="1"/>
  <c r="J678" i="1"/>
  <c r="K678" i="1"/>
  <c r="J679" i="1"/>
  <c r="J676" i="1"/>
  <c r="K676" i="1"/>
  <c r="K674" i="1"/>
  <c r="K672" i="1"/>
  <c r="K670" i="1"/>
  <c r="K668" i="1"/>
  <c r="K666" i="1"/>
  <c r="K664" i="1"/>
  <c r="J611" i="1"/>
  <c r="J607" i="1"/>
  <c r="J603" i="1"/>
  <c r="J610" i="1"/>
  <c r="J606" i="1"/>
  <c r="J602" i="1"/>
  <c r="J600" i="1"/>
  <c r="J598" i="1"/>
  <c r="J596" i="1"/>
  <c r="J594" i="1"/>
  <c r="J592" i="1"/>
  <c r="J590" i="1"/>
  <c r="J588" i="1"/>
  <c r="J586" i="1"/>
  <c r="J584" i="1"/>
  <c r="J582" i="1"/>
  <c r="J580" i="1"/>
  <c r="J578" i="1"/>
  <c r="J576" i="1"/>
  <c r="J574" i="1"/>
  <c r="J572" i="1"/>
  <c r="J570" i="1"/>
  <c r="J568" i="1"/>
  <c r="J566" i="1"/>
  <c r="J564" i="1"/>
  <c r="J562" i="1"/>
  <c r="J560" i="1"/>
  <c r="J558" i="1"/>
  <c r="J556" i="1"/>
  <c r="J554" i="1"/>
  <c r="J552" i="1"/>
  <c r="J550" i="1"/>
  <c r="J548" i="1"/>
  <c r="J546" i="1"/>
  <c r="J544" i="1"/>
  <c r="J542" i="1"/>
  <c r="J540" i="1"/>
  <c r="J538" i="1"/>
  <c r="J536" i="1"/>
  <c r="J534" i="1"/>
  <c r="J532" i="1"/>
  <c r="J530" i="1"/>
  <c r="J528" i="1"/>
  <c r="J526" i="1"/>
  <c r="J524" i="1"/>
  <c r="J522" i="1"/>
  <c r="J520" i="1"/>
  <c r="J518" i="1"/>
  <c r="J516" i="1"/>
  <c r="J514" i="1"/>
  <c r="J512" i="1"/>
  <c r="J510" i="1"/>
  <c r="J508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K477" i="1"/>
  <c r="J477" i="1"/>
  <c r="K473" i="1"/>
  <c r="J473" i="1"/>
  <c r="K469" i="1"/>
  <c r="J469" i="1"/>
  <c r="K465" i="1"/>
  <c r="J465" i="1"/>
  <c r="K478" i="1"/>
  <c r="J478" i="1"/>
  <c r="K474" i="1"/>
  <c r="J474" i="1"/>
  <c r="K470" i="1"/>
  <c r="J470" i="1"/>
  <c r="K466" i="1"/>
  <c r="J466" i="1"/>
  <c r="K479" i="1"/>
  <c r="J479" i="1"/>
  <c r="K475" i="1"/>
  <c r="J475" i="1"/>
  <c r="K471" i="1"/>
  <c r="J471" i="1"/>
  <c r="K467" i="1"/>
  <c r="J467" i="1"/>
  <c r="K480" i="1"/>
  <c r="J480" i="1"/>
  <c r="K476" i="1"/>
  <c r="J476" i="1"/>
  <c r="K472" i="1"/>
  <c r="J472" i="1"/>
  <c r="K468" i="1"/>
  <c r="J468" i="1"/>
  <c r="K464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4" i="1"/>
  <c r="J200" i="1"/>
  <c r="J205" i="1"/>
  <c r="J201" i="1"/>
  <c r="J207" i="1"/>
  <c r="J203" i="1"/>
  <c r="J199" i="1"/>
  <c r="J128" i="1"/>
  <c r="K128" i="1"/>
  <c r="M124" i="1"/>
  <c r="L124" i="1"/>
  <c r="J129" i="1"/>
  <c r="K129" i="1"/>
  <c r="M125" i="1"/>
  <c r="L125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8" i="1"/>
  <c r="K146" i="1"/>
  <c r="J130" i="1"/>
  <c r="K130" i="1"/>
  <c r="J126" i="1"/>
  <c r="K126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27" i="1"/>
  <c r="K127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M85" i="1"/>
  <c r="J56" i="1"/>
  <c r="K56" i="1"/>
  <c r="J48" i="1"/>
  <c r="K48" i="1"/>
  <c r="J34" i="1"/>
  <c r="K34" i="1"/>
  <c r="J26" i="1"/>
  <c r="K26" i="1"/>
  <c r="K87" i="1"/>
  <c r="J86" i="1"/>
  <c r="J84" i="1"/>
  <c r="J82" i="1"/>
  <c r="J80" i="1"/>
  <c r="J78" i="1"/>
  <c r="J77" i="1"/>
  <c r="J58" i="1"/>
  <c r="K58" i="1"/>
  <c r="J50" i="1"/>
  <c r="K50" i="1"/>
  <c r="J16" i="1"/>
  <c r="K16" i="1"/>
  <c r="J12" i="1"/>
  <c r="K12" i="1"/>
  <c r="J8" i="1"/>
  <c r="K8" i="1"/>
  <c r="J4" i="1"/>
  <c r="K4" i="1"/>
  <c r="K85" i="1"/>
  <c r="K83" i="1"/>
  <c r="J52" i="1"/>
  <c r="K52" i="1"/>
  <c r="J44" i="1"/>
  <c r="K44" i="1"/>
  <c r="J30" i="1"/>
  <c r="K30" i="1"/>
  <c r="J22" i="1"/>
  <c r="K22" i="1"/>
  <c r="J81" i="1"/>
  <c r="J79" i="1"/>
  <c r="J54" i="1"/>
  <c r="K54" i="1"/>
  <c r="J46" i="1"/>
  <c r="K46" i="1"/>
  <c r="K41" i="1"/>
  <c r="J41" i="1"/>
  <c r="K40" i="1"/>
  <c r="J35" i="1"/>
  <c r="K35" i="1"/>
  <c r="J31" i="1"/>
  <c r="K31" i="1"/>
  <c r="J27" i="1"/>
  <c r="K27" i="1"/>
  <c r="J23" i="1"/>
  <c r="K23" i="1"/>
  <c r="J19" i="1"/>
  <c r="K19" i="1"/>
  <c r="J15" i="1"/>
  <c r="K15" i="1"/>
  <c r="J11" i="1"/>
  <c r="K11" i="1"/>
  <c r="J7" i="1"/>
  <c r="K7" i="1"/>
  <c r="J42" i="1"/>
  <c r="K39" i="1"/>
  <c r="J38" i="1"/>
  <c r="J36" i="1"/>
  <c r="K36" i="1"/>
  <c r="J32" i="1"/>
  <c r="K32" i="1"/>
  <c r="J28" i="1"/>
  <c r="K28" i="1"/>
  <c r="J24" i="1"/>
  <c r="K24" i="1"/>
  <c r="J20" i="1"/>
  <c r="K20" i="1"/>
  <c r="J18" i="1"/>
  <c r="K18" i="1"/>
  <c r="J14" i="1"/>
  <c r="K14" i="1"/>
  <c r="J10" i="1"/>
  <c r="K10" i="1"/>
  <c r="J6" i="1"/>
  <c r="K6" i="1"/>
  <c r="J37" i="1"/>
  <c r="K37" i="1"/>
  <c r="J33" i="1"/>
  <c r="K33" i="1"/>
  <c r="J29" i="1"/>
  <c r="K29" i="1"/>
  <c r="J25" i="1"/>
  <c r="K25" i="1"/>
  <c r="J21" i="1"/>
  <c r="K21" i="1"/>
  <c r="J17" i="1"/>
  <c r="K17" i="1"/>
  <c r="J13" i="1"/>
  <c r="K13" i="1"/>
  <c r="J9" i="1"/>
  <c r="K9" i="1"/>
  <c r="J5" i="1"/>
  <c r="K5" i="1"/>
  <c r="J3" i="1"/>
  <c r="K3" i="1"/>
  <c r="M2" i="1"/>
  <c r="K2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<sst xmlns="http://schemas.openxmlformats.org/spreadsheetml/2006/main" count="9056" uniqueCount="2542">
  <si>
    <t>medication_id</t>
  </si>
  <si>
    <t>medication_name</t>
  </si>
  <si>
    <t>category</t>
  </si>
  <si>
    <t>supplier</t>
  </si>
  <si>
    <t>stock_quantity</t>
  </si>
  <si>
    <t>reorder_level</t>
  </si>
  <si>
    <t>unit_price</t>
  </si>
  <si>
    <t>expiry_date</t>
  </si>
  <si>
    <t>purchase_date</t>
  </si>
  <si>
    <t>sales_id</t>
  </si>
  <si>
    <t>quantity_sold</t>
  </si>
  <si>
    <t>sale_date</t>
  </si>
  <si>
    <t>Paracetamol</t>
  </si>
  <si>
    <t>Painkiller</t>
  </si>
  <si>
    <t>Amoxicillin</t>
  </si>
  <si>
    <t>Antibiotic</t>
  </si>
  <si>
    <t>Ibuprofen</t>
  </si>
  <si>
    <t>Cetirizine</t>
  </si>
  <si>
    <t>Antihistamine</t>
  </si>
  <si>
    <t>Metformin</t>
  </si>
  <si>
    <t>Diabetes</t>
  </si>
  <si>
    <t>Amlodipine</t>
  </si>
  <si>
    <t>Hypertension</t>
  </si>
  <si>
    <t>Omeprazole</t>
  </si>
  <si>
    <t>Antacid</t>
  </si>
  <si>
    <t>Azithromycin</t>
  </si>
  <si>
    <t>Losartan</t>
  </si>
  <si>
    <t>Vitamin C</t>
  </si>
  <si>
    <t>Supplement</t>
  </si>
  <si>
    <t>inventory_value</t>
  </si>
  <si>
    <t>stock_status</t>
  </si>
  <si>
    <t>days_to_expire</t>
  </si>
  <si>
    <t>expiry_status</t>
  </si>
  <si>
    <t>M001</t>
  </si>
  <si>
    <t>PharmaPlus</t>
  </si>
  <si>
    <t>In Stock</t>
  </si>
  <si>
    <t>Safe</t>
  </si>
  <si>
    <t>M002</t>
  </si>
  <si>
    <t>HealthCorp</t>
  </si>
  <si>
    <t>M003</t>
  </si>
  <si>
    <t>MedSupply Co</t>
  </si>
  <si>
    <t>M004</t>
  </si>
  <si>
    <t>M005</t>
  </si>
  <si>
    <t>M006</t>
  </si>
  <si>
    <t>Low Stock</t>
  </si>
  <si>
    <t>M007</t>
  </si>
  <si>
    <t>M008</t>
  </si>
  <si>
    <t>M009</t>
  </si>
  <si>
    <t>M010</t>
  </si>
  <si>
    <t>GlobalMed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</si>
  <si>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</si>
  <si>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</si>
  <si>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</si>
  <si>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</si>
  <si>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</si>
  <si>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</si>
  <si>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</si>
  <si>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</si>
  <si>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</si>
  <si>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</si>
  <si>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</si>
  <si>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</si>
  <si>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</si>
  <si>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</si>
  <si>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</si>
  <si>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</si>
  <si>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</si>
  <si>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</si>
  <si>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</si>
  <si>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</si>
  <si>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</si>
  <si>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</si>
  <si>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</si>
  <si>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</si>
  <si>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</si>
  <si>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</si>
  <si>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</si>
  <si>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</si>
  <si>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</si>
  <si>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</si>
  <si>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</si>
  <si>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</si>
  <si>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</si>
  <si>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</si>
  <si>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</si>
  <si>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</si>
  <si>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</si>
  <si>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</si>
  <si>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</si>
  <si>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</si>
  <si>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</si>
  <si>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</si>
  <si>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</si>
  <si>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</si>
  <si>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</si>
  <si>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</si>
  <si>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</si>
  <si>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</si>
  <si>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</si>
  <si>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</si>
  <si>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</si>
  <si>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</si>
  <si>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</si>
  <si>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</si>
  <si>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</si>
  <si>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</si>
  <si>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</si>
  <si>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</si>
  <si>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</si>
  <si>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</si>
  <si>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</si>
  <si>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</si>
  <si>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</si>
  <si>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</si>
  <si>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</si>
  <si>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</si>
  <si>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</si>
  <si>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</si>
  <si>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</si>
  <si>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</si>
  <si>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</si>
  <si>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</si>
  <si>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</si>
  <si>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</si>
  <si>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</si>
  <si>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</si>
  <si>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</si>
  <si>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</si>
  <si>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</si>
  <si>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</si>
  <si>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</si>
  <si>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</si>
  <si>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</si>
  <si>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</si>
  <si>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</si>
  <si>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</si>
  <si>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</si>
  <si>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</si>
  <si>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</si>
  <si>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</si>
  <si>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</si>
  <si>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</si>
  <si>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</si>
  <si>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</si>
  <si>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</si>
  <si>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</si>
  <si>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</si>
  <si>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</si>
  <si>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</si>
  <si>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</si>
  <si>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</si>
  <si>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</si>
  <si>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</si>
  <si>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</si>
  <si>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</si>
  <si>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</si>
  <si>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</si>
  <si>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</si>
  <si>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</si>
  <si>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</si>
  <si>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</si>
  <si>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</si>
  <si>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</si>
  <si>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</si>
  <si>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</si>
  <si>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</si>
  <si>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</si>
  <si>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</si>
  <si>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</si>
  <si>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</si>
  <si>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</si>
  <si>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</si>
  <si>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</si>
  <si>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</si>
  <si>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</si>
  <si>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</si>
  <si>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</si>
  <si>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</si>
  <si>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</si>
  <si>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</si>
  <si>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</si>
  <si>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</si>
  <si>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</si>
  <si>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</si>
  <si>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</si>
  <si>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</si>
  <si>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</si>
  <si>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</si>
  <si>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</si>
  <si>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</si>
  <si>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</si>
  <si>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</si>
  <si>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</si>
  <si>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</si>
  <si>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</si>
  <si>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</si>
  <si>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</si>
  <si>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</si>
  <si>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</si>
  <si>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</si>
  <si>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</si>
  <si>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</si>
  <si>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</si>
  <si>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</si>
  <si>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</si>
  <si>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</si>
  <si>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</si>
  <si>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</si>
  <si>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</si>
  <si>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</si>
  <si>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</si>
  <si>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</si>
  <si>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</si>
  <si>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</si>
  <si>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</si>
  <si>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</si>
  <si>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</si>
  <si>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</si>
  <si>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</si>
  <si>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</si>
  <si>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</si>
  <si>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</si>
  <si>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</si>
  <si>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</si>
  <si>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</si>
  <si>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</si>
  <si>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</si>
  <si>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</si>
  <si>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</si>
  <si>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</si>
  <si>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</si>
  <si>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</si>
  <si>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</si>
  <si>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</si>
  <si>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</si>
  <si>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</si>
  <si>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</si>
  <si>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</si>
  <si>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</si>
  <si>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</si>
  <si>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</si>
  <si>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</si>
  <si>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</si>
  <si>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</si>
  <si>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</si>
  <si>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</si>
  <si>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</si>
  <si>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</si>
  <si>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</si>
  <si>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</si>
  <si>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</si>
  <si>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</si>
  <si>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</si>
  <si>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</si>
  <si>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</si>
  <si>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</si>
  <si>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</si>
  <si>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</si>
  <si>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</si>
  <si>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</si>
  <si>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</si>
  <si>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</si>
  <si>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</si>
  <si>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</si>
  <si>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</si>
  <si>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</si>
  <si>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</si>
  <si>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</si>
  <si>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</si>
  <si>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</si>
  <si>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</si>
  <si>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</si>
  <si>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</si>
  <si>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</si>
  <si>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</si>
  <si>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</si>
  <si>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</si>
  <si>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</si>
  <si>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</si>
  <si>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</si>
  <si>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</si>
  <si>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</si>
  <si>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</si>
  <si>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</si>
  <si>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</si>
  <si>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</si>
  <si>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</si>
  <si>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</si>
  <si>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</si>
  <si>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</si>
  <si>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</si>
  <si>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</si>
  <si>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</si>
  <si>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</si>
  <si>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</si>
  <si>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</si>
  <si>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</si>
  <si>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</si>
  <si>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</si>
  <si>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</si>
  <si>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</si>
  <si>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</si>
  <si>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</si>
  <si>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</si>
  <si>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</si>
  <si>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</si>
  <si>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</si>
  <si>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</si>
  <si>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</si>
  <si>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</si>
  <si>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</si>
  <si>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</si>
  <si>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</si>
  <si>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</si>
  <si>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</si>
  <si>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</si>
  <si>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</si>
  <si>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</si>
  <si>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</si>
  <si>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</si>
  <si>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</si>
  <si>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</si>
  <si>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</si>
  <si>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</si>
  <si>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</si>
  <si>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</si>
  <si>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</si>
  <si>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</si>
  <si>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</si>
  <si>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</si>
  <si>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</si>
  <si>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</si>
  <si>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</si>
  <si>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</si>
  <si>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</si>
  <si>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</si>
  <si>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</si>
  <si>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</si>
  <si>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</si>
  <si>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</si>
  <si>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</si>
  <si>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</si>
  <si>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</si>
  <si>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</si>
  <si>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</si>
  <si>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</si>
  <si>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</si>
  <si>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</si>
  <si>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</si>
  <si>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</si>
  <si>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</si>
  <si>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</si>
  <si>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</si>
  <si>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</si>
  <si>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</si>
  <si>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</si>
  <si>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</si>
  <si>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</si>
  <si>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</si>
  <si>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</si>
  <si>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</si>
  <si>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</si>
  <si>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</si>
  <si>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</si>
  <si>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</si>
  <si>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</si>
  <si>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</si>
  <si>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</si>
  <si>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</si>
  <si>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</si>
  <si>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</si>
  <si>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</si>
  <si>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</si>
  <si>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</si>
  <si>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</si>
  <si>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</si>
  <si>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</si>
  <si>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</si>
  <si>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</si>
  <si>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</si>
  <si>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</si>
  <si>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</si>
  <si>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</si>
  <si>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</si>
  <si>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</si>
  <si>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</si>
  <si>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</si>
  <si>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</si>
  <si>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</si>
  <si>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</si>
  <si>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</si>
  <si>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</si>
  <si>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</si>
  <si>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</si>
  <si>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</si>
  <si>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</si>
  <si>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</si>
  <si>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</si>
  <si>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</si>
  <si>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</si>
  <si>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</si>
  <si>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</si>
  <si>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</si>
  <si>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</si>
  <si>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</si>
  <si>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</si>
  <si>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</si>
  <si>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</si>
  <si>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</si>
  <si>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</si>
  <si>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</si>
  <si>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</si>
  <si>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</si>
  <si>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</si>
  <si>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</si>
  <si>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</si>
  <si>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</si>
  <si>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</si>
  <si>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</si>
  <si>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</si>
  <si>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</si>
  <si>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</si>
  <si>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</si>
  <si>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</si>
  <si>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</si>
  <si>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</si>
  <si>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</si>
  <si>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</si>
  <si>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</si>
  <si>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</si>
  <si>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</si>
  <si>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</si>
  <si>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</si>
  <si>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</si>
  <si>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</si>
  <si>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</si>
  <si>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</si>
  <si>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</si>
  <si>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</si>
  <si>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</si>
  <si>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</si>
  <si>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</si>
  <si>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</si>
  <si>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</si>
  <si>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</si>
  <si>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</si>
  <si>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</si>
  <si>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</si>
  <si>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</si>
  <si>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</si>
  <si>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</si>
  <si>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</si>
  <si>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</si>
  <si>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</si>
  <si>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</si>
  <si>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</si>
  <si>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</si>
  <si>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</si>
  <si>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</si>
  <si>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</si>
  <si>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</si>
  <si>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</si>
  <si>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</si>
  <si>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</si>
  <si>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</si>
  <si>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</si>
  <si>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</si>
  <si>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</si>
  <si>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</si>
  <si>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</si>
  <si>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</si>
  <si>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</si>
  <si>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</si>
  <si>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</si>
  <si>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</si>
  <si>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</si>
  <si>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</si>
  <si>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</si>
  <si>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</si>
  <si>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</si>
  <si>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</si>
  <si>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</si>
  <si>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Expiring Soon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</si>
  <si>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</si>
  <si>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</si>
  <si>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</si>
  <si>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</si>
  <si>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</si>
  <si>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</si>
  <si>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</si>
  <si>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</si>
  <si>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</si>
  <si>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</si>
  <si>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</si>
  <si>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</si>
  <si>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</si>
  <si>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</si>
  <si>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</si>
  <si>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</si>
  <si>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</si>
  <si>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</si>
  <si>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</si>
  <si>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</si>
  <si>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</si>
  <si>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</si>
  <si>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</si>
  <si>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</si>
  <si>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</si>
  <si>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</si>
  <si>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</si>
  <si>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</si>
  <si>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</si>
  <si>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</si>
  <si>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</si>
  <si>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</si>
  <si>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</si>
  <si>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</si>
  <si>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</si>
  <si>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</si>
  <si>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</si>
  <si>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</si>
  <si>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</si>
  <si>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</si>
  <si>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</si>
  <si>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</si>
  <si>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</si>
  <si>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</si>
  <si>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</si>
  <si>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</si>
  <si>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</si>
  <si>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</si>
  <si>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</si>
  <si>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</si>
  <si>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</si>
  <si>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</si>
  <si>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</si>
  <si>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</si>
  <si>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</si>
  <si>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</si>
  <si>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</si>
  <si>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</si>
  <si>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</si>
  <si>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</si>
  <si>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</si>
  <si>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</si>
  <si>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</si>
  <si>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</si>
  <si>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</si>
  <si>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</si>
  <si>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</si>
  <si>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</si>
  <si>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</si>
  <si>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</si>
  <si>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</si>
  <si>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</si>
  <si>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</si>
  <si>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</si>
  <si>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</si>
  <si>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</si>
  <si>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</si>
  <si>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</si>
  <si>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</si>
  <si>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</si>
  <si>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</si>
  <si>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</si>
  <si>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</si>
  <si>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</si>
  <si>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</si>
  <si>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</si>
  <si>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</si>
  <si>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</si>
  <si>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</si>
  <si>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</si>
  <si>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</si>
  <si>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</si>
  <si>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</si>
  <si>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</si>
  <si>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</si>
  <si>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</si>
  <si>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</si>
  <si>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</si>
  <si>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</si>
  <si>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</si>
  <si>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</si>
  <si>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</si>
  <si>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</si>
  <si>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</si>
  <si>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</si>
  <si>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</si>
  <si>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</si>
  <si>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</si>
  <si>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</si>
  <si>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</si>
  <si>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</si>
  <si>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</si>
  <si>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</si>
  <si>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</si>
  <si>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</si>
  <si>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</si>
  <si>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</si>
  <si>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</si>
  <si>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</si>
  <si>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</si>
  <si>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</si>
  <si>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</si>
  <si>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</si>
  <si>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</si>
  <si>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</si>
  <si>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</si>
  <si>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</si>
  <si>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</si>
  <si>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</si>
  <si>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</si>
  <si>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</si>
  <si>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</si>
  <si>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</si>
  <si>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</si>
  <si>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</si>
  <si>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</si>
  <si>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</si>
  <si>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</si>
  <si>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</si>
  <si>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</si>
  <si>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</si>
  <si>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</si>
  <si>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</si>
  <si>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</si>
  <si>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</si>
  <si>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</si>
  <si>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</si>
  <si>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</si>
  <si>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</si>
  <si>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</si>
  <si>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</si>
  <si>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</si>
  <si>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</si>
  <si>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</si>
  <si>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</si>
  <si>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</si>
  <si>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</si>
  <si>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</si>
  <si>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</si>
  <si>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</si>
  <si>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</si>
  <si>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</si>
  <si>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</si>
  <si>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</si>
  <si>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</si>
  <si>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</si>
  <si>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</si>
  <si>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</si>
  <si>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</si>
  <si>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</si>
  <si>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</si>
  <si>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</si>
  <si>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</si>
  <si>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</si>
  <si>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</si>
  <si>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</si>
  <si>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</si>
  <si>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</si>
  <si>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</si>
  <si>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</si>
  <si>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</si>
  <si>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</si>
  <si>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</si>
  <si>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</si>
  <si>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</si>
  <si>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</si>
  <si>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</si>
  <si>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</si>
  <si>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</si>
  <si>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</si>
  <si>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</si>
  <si>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</si>
  <si>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</si>
  <si>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</si>
  <si>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</si>
  <si>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</si>
  <si>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</si>
  <si>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</si>
  <si>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</si>
  <si>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</si>
  <si>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</si>
  <si>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</si>
  <si>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</si>
  <si>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</si>
  <si>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</si>
  <si>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</si>
  <si>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</si>
  <si>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</si>
  <si>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</si>
  <si>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</si>
  <si>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</si>
  <si>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</si>
  <si>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</si>
  <si>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</si>
  <si>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</si>
  <si>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</si>
  <si>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</si>
  <si>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</si>
  <si>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</si>
  <si>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</si>
  <si>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</si>
  <si>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</si>
  <si>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</si>
  <si>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</si>
  <si>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</si>
  <si>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</si>
  <si>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</si>
  <si>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</si>
  <si>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</si>
  <si>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</si>
  <si>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</si>
  <si>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</si>
  <si>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</si>
  <si>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</si>
  <si>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</si>
  <si>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</si>
  <si>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</si>
  <si>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</si>
  <si>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</si>
  <si>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</si>
  <si>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</si>
  <si>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</si>
  <si>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</si>
  <si>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</si>
  <si>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</si>
  <si>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Out of Stock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</si>
  <si>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</si>
  <si>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</si>
  <si>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</si>
  <si>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</si>
  <si>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</si>
  <si>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</si>
  <si>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</si>
  <si>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</si>
  <si>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</si>
  <si>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</si>
  <si>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</si>
  <si>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</si>
  <si>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</si>
  <si>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</si>
  <si>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</si>
  <si>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</si>
  <si>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</si>
  <si>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</si>
  <si>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</si>
  <si>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</si>
  <si>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</si>
  <si>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</si>
  <si>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</si>
  <si>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</si>
  <si>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</si>
  <si>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</si>
  <si>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</si>
  <si>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</si>
  <si>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</si>
  <si>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</si>
  <si>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</si>
  <si>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</si>
  <si>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</si>
  <si>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</si>
  <si>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</si>
  <si>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</si>
  <si>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</si>
  <si>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</si>
  <si>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</si>
  <si>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</si>
  <si>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</si>
  <si>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</si>
  <si>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</si>
  <si>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</si>
  <si>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</si>
  <si>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</si>
  <si>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</si>
  <si>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</si>
  <si>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</si>
  <si>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</si>
  <si>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</si>
  <si>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</si>
  <si>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</si>
  <si>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</si>
  <si>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</si>
  <si>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</si>
  <si>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</si>
  <si>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</si>
  <si>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</si>
  <si>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</si>
  <si>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</si>
  <si>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</si>
  <si>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</si>
  <si>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</si>
  <si>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</si>
  <si>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</si>
  <si>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</si>
  <si>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</si>
  <si>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</si>
  <si>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</si>
  <si>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</si>
  <si>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</si>
  <si>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</si>
  <si>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</si>
  <si>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</si>
  <si>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</si>
  <si>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</si>
  <si>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</si>
  <si>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</si>
  <si>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</si>
  <si>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</si>
  <si>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</si>
  <si>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</si>
  <si>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</si>
  <si>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</si>
  <si>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</si>
  <si>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</si>
  <si>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</si>
  <si>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</si>
  <si>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</si>
  <si>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</si>
  <si>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</si>
  <si>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</si>
  <si>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</si>
  <si>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</si>
  <si>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</si>
  <si>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</si>
  <si>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</si>
  <si>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</si>
  <si>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</si>
  <si>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</si>
  <si>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</si>
  <si>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</si>
  <si>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</si>
  <si>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</si>
  <si>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</si>
  <si>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</si>
  <si>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</si>
  <si>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</si>
  <si>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</si>
  <si>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</si>
  <si>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</si>
  <si>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</si>
  <si>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</si>
  <si>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</si>
  <si>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</si>
  <si>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</si>
  <si>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</si>
  <si>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</si>
  <si>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</si>
  <si>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</si>
  <si>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</si>
  <si>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</si>
  <si>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</si>
  <si>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</si>
  <si>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</si>
  <si>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</si>
  <si>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</si>
  <si>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</si>
  <si>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</si>
  <si>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</si>
  <si>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</si>
  <si>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</si>
  <si>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</si>
  <si>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</si>
  <si>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</si>
  <si>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</si>
  <si>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</si>
  <si>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</si>
  <si>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</si>
  <si>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</si>
  <si>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</si>
  <si>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</si>
  <si>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</si>
  <si>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</si>
  <si>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</si>
  <si>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</si>
  <si>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</si>
  <si>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</si>
  <si>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</si>
  <si>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</si>
  <si>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</si>
  <si>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</si>
  <si>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</si>
  <si>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</si>
  <si>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</si>
  <si>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</si>
  <si>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</si>
  <si>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</si>
  <si>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</si>
  <si>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</si>
  <si>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</si>
  <si>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</si>
  <si>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</si>
  <si>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</si>
  <si>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</si>
  <si>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</si>
  <si>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</si>
  <si>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</si>
  <si>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</si>
  <si>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</si>
  <si>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</si>
  <si>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</si>
  <si>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</si>
  <si>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</si>
  <si>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</si>
  <si>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</si>
  <si>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</si>
  <si>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</si>
  <si>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</si>
  <si>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</si>
  <si>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</si>
  <si>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</si>
  <si>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</si>
  <si>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</si>
  <si>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</si>
  <si>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</si>
  <si>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</si>
  <si>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</si>
  <si>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</si>
  <si>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</si>
  <si>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</si>
  <si>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</si>
  <si>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</si>
  <si>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</si>
  <si>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</si>
  <si>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</si>
  <si>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</si>
  <si>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</si>
  <si>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</si>
  <si>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</si>
  <si>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</si>
  <si>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</si>
  <si>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</si>
  <si>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</si>
  <si>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</si>
  <si>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</si>
  <si>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</si>
  <si>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</si>
  <si>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</si>
  <si>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</si>
  <si>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</si>
  <si>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</si>
  <si>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</si>
  <si>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</si>
  <si>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</si>
  <si>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</si>
  <si>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</si>
  <si>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</si>
  <si>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</si>
  <si>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</si>
  <si>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</si>
  <si>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</si>
  <si>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</si>
  <si>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</si>
  <si>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</si>
  <si>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</si>
  <si>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</si>
  <si>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</si>
  <si>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</si>
  <si>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</si>
  <si>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</si>
  <si>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</si>
  <si>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</si>
  <si>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</si>
  <si>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</si>
  <si>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</si>
  <si>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</si>
  <si>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</si>
  <si>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</si>
  <si>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</si>
  <si>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</si>
  <si>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</si>
  <si>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</si>
  <si>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</si>
  <si>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</si>
  <si>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</si>
  <si>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</si>
  <si>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</si>
  <si>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</si>
  <si>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</si>
  <si>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</si>
  <si>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</si>
  <si>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</si>
  <si>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</si>
  <si>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</si>
  <si>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</si>
  <si>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</si>
  <si>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</si>
  <si>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</si>
  <si>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</si>
  <si>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</si>
  <si>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</si>
  <si>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</si>
  <si>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</si>
  <si>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</si>
  <si>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</si>
  <si>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</si>
  <si>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</si>
  <si>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</si>
  <si>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</si>
  <si>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</si>
  <si>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</si>
  <si>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</si>
  <si>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</si>
  <si>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</si>
  <si>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</si>
  <si>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</si>
  <si>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</si>
  <si>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</si>
  <si>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</si>
  <si>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</si>
  <si>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</si>
  <si>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</si>
  <si>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</si>
  <si>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</si>
  <si>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</si>
  <si>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</si>
  <si>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</si>
  <si>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</si>
  <si>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</si>
  <si>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</si>
  <si>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</si>
  <si>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</si>
  <si>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</si>
  <si>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</si>
  <si>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</si>
  <si>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</si>
  <si>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</si>
  <si>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</si>
  <si>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</si>
  <si>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</si>
  <si>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</si>
  <si>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</si>
  <si>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</si>
  <si>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</si>
  <si>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</si>
  <si>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</si>
  <si>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</si>
  <si>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</si>
  <si>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</si>
  <si>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</si>
  <si>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M1000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</si>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</sst>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CDDD-1AD8-464A-8331-1FE948974F02}">
  <dimension ref="A1:N1001"/>
  <sheetViews>
    <sheetView tabSelected="1" workbookViewId="0">
      <selection activeCell="B6" sqref="B6"/>
    </sheetView>
  </sheetViews>
  <sheetFormatPr defaultRowHeight="15" x14ac:dyDescent="0.25"/>
  <cols>
    <col min="1" max="1" width="13.85546875" bestFit="1" customWidth="1"/>
    <col min="2" max="2" width="17.28515625" bestFit="1" customWidth="1"/>
    <col min="3" max="3" width="13.140625" bestFit="1" customWidth="1"/>
    <col min="4" max="4" width="11" bestFit="1" customWidth="1"/>
    <col min="5" max="5" width="14.140625" bestFit="1" customWidth="1"/>
    <col min="6" max="6" width="13.28515625" bestFit="1" customWidth="1"/>
    <col min="7" max="7" width="10" bestFit="1" customWidth="1"/>
    <col min="8" max="8" width="11.5703125" style="1" bestFit="1" customWidth="1"/>
    <col min="9" max="9" width="14.140625" style="1" bestFit="1" customWidth="1"/>
    <col min="10" max="10" width="15.5703125" bestFit="1" customWidth="1"/>
    <col min="11" max="11" width="11.85546875" bestFit="1" customWidth="1"/>
    <col min="12" max="12" width="14.7109375" style="2" bestFit="1" customWidth="1"/>
    <col min="13" max="13" width="12.85546875" bestFit="1" customWidth="1"/>
    <col min="14" max="14" width="1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29</v>
      </c>
      <c r="K1" t="s">
        <v>30</v>
      </c>
      <c r="L1" s="2" t="s">
        <v>31</v>
      </c>
      <c r="M1" t="s">
        <v>32</v>
      </c>
      <c r="N1" s="2"/>
    </row>
    <row r="2" spans="1:14" x14ac:dyDescent="0.25">
      <c r="A2" t="str">
        <f>"M"&amp;TEXT(ROW(A1),"000")</f>
        <v>M001</v>
      </c>
      <c r="B2" t="str" cm="1">
        <f t="array" aca="1" ref="B2" ca="1">INDEX({"Paracetamol","Amoxicillin","Ibuprofen","Cetirizine","Metformin","Amlodipine","Omeprazole","Azithromycin","Losartan","Vitamin C"}, RANDBETWEEN(1,10))</f>
        <v>Amoxicillin</v>
      </c>
      <c r="C2" t="str" cm="1">
        <f t="array" aca="1" ref="C2" ca="1">INDEX({"Painkiller","Antibiotic","Painkiller","Antihistamine","Diabetes","Hypertension","Antacid","Antibiotic","Hypertension","Supplement"},
MATCH(B2,{"Paracetamol","Amoxicillin","Ibuprofen","Cetirizine","Metformin","Amlodipine","Omeprazole","Azithromycin","Losartan","Vitamin C"},0))</f>
        <v>Antibiotic</v>
      </c>
      <c r="D2" t="str" cm="1">
        <f t="array" aca="1" ref="D2" ca="1">INDEX({"MedSupply Co","HealthCorp","PharmaPlus","GlobalMed"}, RANDBETWEEN(1,4))</f>
        <v>PharmaPlus</v>
      </c>
      <c r="E2">
        <f ca="1">RANDBETWEEN(0,200)</f>
        <v>125</v>
      </c>
      <c r="F2">
        <f ca="1">RANDBETWEEN(20,100)</f>
        <v>58</v>
      </c>
      <c r="G2">
        <f ca="1">ROUND(RANDBETWEEN(50,200)/100,2)</f>
        <v>0.53</v>
      </c>
      <c r="H2" s="1">
        <f ca="1">TODAY()+RANDBETWEEN(30,365)</f>
        <v>46439</v>
      </c>
      <c r="I2" s="1">
        <f ca="1">TODAY()-RANDBETWEEN(1,180)</f>
        <v>46052</v>
      </c>
      <c r="J2">
        <f ca="1">E2*G2</f>
        <v>66.25</v>
      </c>
      <c r="K2" t="str">
        <f ca="1">IF(E2=0,"Out of Stock",IF(E2&lt;F2,"Low Stock","In Stock"))</f>
        <v>In Stock</v>
      </c>
      <c r="L2" s="2">
        <f ca="1">H2-TODAY()</f>
        <v>320</v>
      </c>
      <c r="M2" t="str">
        <f ca="1">IF(H2&lt;=TODAY()+30,"Expiring Soon","Safe")</f>
        <v>Safe</v>
      </c>
    </row>
    <row r="3" spans="1:14" x14ac:dyDescent="0.25">
      <c r="A3" t="str">
        <f t="shared" ref="A3:A66" si="0">"M"&amp;TEXT(ROW(A2),"000")</f>
        <v>M002</v>
      </c>
      <c r="B3" t="str" cm="1">
        <f t="array" aca="1" ref="B3" ca="1">INDEX({"Paracetamol","Amoxicillin","Ibuprofen","Cetirizine","Metformin","Amlodipine","Omeprazole","Azithromycin","Losartan","Vitamin C"}, RANDBETWEEN(1,10))</f>
        <v>Cetirizine</v>
      </c>
      <c r="C3" t="str" cm="1">
        <f t="array" aca="1" ref="C3" ca="1">INDEX({"Painkiller","Antibiotic","Painkiller","Antihistamine","Diabetes","Hypertension","Antacid","Antibiotic","Hypertension","Supplement"},
MATCH(B3,{"Paracetamol","Amoxicillin","Ibuprofen","Cetirizine","Metformin","Amlodipine","Omeprazole","Azithromycin","Losartan","Vitamin C"},0))</f>
        <v>Antihistamine</v>
      </c>
      <c r="D3" t="str" cm="1">
        <f t="array" aca="1" ref="D3" ca="1">INDEX({"MedSupply Co","HealthCorp","PharmaPlus","GlobalMed"}, RANDBETWEEN(1,4))</f>
        <v>MedSupply Co</v>
      </c>
      <c r="E3">
        <f t="shared" ref="E3:E66" ca="1" si="1">RANDBETWEEN(0,200)</f>
        <v>16</v>
      </c>
      <c r="F3">
        <f t="shared" ref="F3:F66" ca="1" si="2">RANDBETWEEN(20,100)</f>
        <v>83</v>
      </c>
      <c r="G3">
        <f t="shared" ref="G3:G66" ca="1" si="3">ROUND(RANDBETWEEN(50,200)/100,2)</f>
        <v>1.82</v>
      </c>
      <c r="H3" s="1">
        <f t="shared" ref="H3:H66" ca="1" si="4">TODAY()+RANDBETWEEN(30,365)</f>
        <v>46272</v>
      </c>
      <c r="I3" s="1">
        <f t="shared" ref="I3:I66" ca="1" si="5">TODAY()-RANDBETWEEN(1,180)</f>
        <v>46106</v>
      </c>
      <c r="J3">
        <f t="shared" ref="J3:J66" ca="1" si="6">E3*G3</f>
        <v>29.12</v>
      </c>
      <c r="K3" t="str">
        <f t="shared" ref="K3:K66" ca="1" si="7">IF(E3=0,"Out of Stock",IF(E3&lt;F3,"Low Stock","In Stock"))</f>
        <v>Low Stock</v>
      </c>
      <c r="L3" s="2">
        <f t="shared" ref="L3:L66" ca="1" si="8">H3-TODAY()</f>
        <v>153</v>
      </c>
      <c r="M3" t="str">
        <f t="shared" ref="M3:M66" ca="1" si="9">IF(H3&lt;=TODAY()+30,"Expiring Soon","Safe")</f>
        <v>Safe</v>
      </c>
    </row>
    <row r="4" spans="1:14" x14ac:dyDescent="0.25">
      <c r="A4" t="str">
        <f t="shared" si="0"/>
        <v>M003</v>
      </c>
      <c r="B4" t="str" cm="1">
        <f t="array" aca="1" ref="B4" ca="1">INDEX({"Paracetamol","Amoxicillin","Ibuprofen","Cetirizine","Metformin","Amlodipine","Omeprazole","Azithromycin","Losartan","Vitamin C"}, RANDBETWEEN(1,10))</f>
        <v>Vitamin C</v>
      </c>
      <c r="C4" t="str" cm="1">
        <f t="array" aca="1" ref="C4" ca="1">INDEX({"Painkiller","Antibiotic","Painkiller","Antihistamine","Diabetes","Hypertension","Antacid","Antibiotic","Hypertension","Supplement"},
MATCH(B4,{"Paracetamol","Amoxicillin","Ibuprofen","Cetirizine","Metformin","Amlodipine","Omeprazole","Azithromycin","Losartan","Vitamin C"},0))</f>
        <v>Supplement</v>
      </c>
      <c r="D4" t="str" cm="1">
        <f t="array" aca="1" ref="D4" ca="1">INDEX({"MedSupply Co","HealthCorp","PharmaPlus","GlobalMed"}, RANDBETWEEN(1,4))</f>
        <v>HealthCorp</v>
      </c>
      <c r="E4">
        <f t="shared" ca="1" si="1"/>
        <v>125</v>
      </c>
      <c r="F4">
        <f t="shared" ca="1" si="2"/>
        <v>61</v>
      </c>
      <c r="G4">
        <f t="shared" ca="1" si="3"/>
        <v>1.32</v>
      </c>
      <c r="H4" s="1">
        <f t="shared" ca="1" si="4"/>
        <v>46410</v>
      </c>
      <c r="I4" s="1">
        <f t="shared" ca="1" si="5"/>
        <v>45961</v>
      </c>
      <c r="J4">
        <f t="shared" ca="1" si="6"/>
        <v>165</v>
      </c>
      <c r="K4" t="str">
        <f t="shared" ca="1" si="7"/>
        <v>In Stock</v>
      </c>
      <c r="L4" s="2">
        <f t="shared" ca="1" si="8"/>
        <v>291</v>
      </c>
      <c r="M4" t="str">
        <f t="shared" ca="1" si="9"/>
        <v>Safe</v>
      </c>
    </row>
    <row r="5" spans="1:14" x14ac:dyDescent="0.25">
      <c r="A5" t="str">
        <f t="shared" si="0"/>
        <v>M004</v>
      </c>
      <c r="B5" t="str" cm="1">
        <f t="array" aca="1" ref="B5" ca="1">INDEX({"Paracetamol","Amoxicillin","Ibuprofen","Cetirizine","Metformin","Amlodipine","Omeprazole","Azithromycin","Losartan","Vitamin C"}, RANDBETWEEN(1,10))</f>
        <v>Amoxicillin</v>
      </c>
      <c r="C5" t="str" cm="1">
        <f t="array" aca="1" ref="C5" ca="1">INDEX({"Painkiller","Antibiotic","Painkiller","Antihistamine","Diabetes","Hypertension","Antacid","Antibiotic","Hypertension","Supplement"},
MATCH(B5,{"Paracetamol","Amoxicillin","Ibuprofen","Cetirizine","Metformin","Amlodipine","Omeprazole","Azithromycin","Losartan","Vitamin C"},0))</f>
        <v>Antibiotic</v>
      </c>
      <c r="D5" t="str" cm="1">
        <f t="array" aca="1" ref="D5" ca="1">INDEX({"MedSupply Co","HealthCorp","PharmaPlus","GlobalMed"}, RANDBETWEEN(1,4))</f>
        <v>GlobalMed</v>
      </c>
      <c r="E5">
        <f t="shared" ca="1" si="1"/>
        <v>181</v>
      </c>
      <c r="F5">
        <f t="shared" ca="1" si="2"/>
        <v>89</v>
      </c>
      <c r="G5">
        <f t="shared" ca="1" si="3"/>
        <v>0.56999999999999995</v>
      </c>
      <c r="H5" s="1">
        <f t="shared" ca="1" si="4"/>
        <v>46226</v>
      </c>
      <c r="I5" s="1">
        <f t="shared" ca="1" si="5"/>
        <v>46001</v>
      </c>
      <c r="J5">
        <f t="shared" ca="1" si="6"/>
        <v>103.16999999999999</v>
      </c>
      <c r="K5" t="str">
        <f t="shared" ca="1" si="7"/>
        <v>In Stock</v>
      </c>
      <c r="L5" s="2">
        <f t="shared" ca="1" si="8"/>
        <v>107</v>
      </c>
      <c r="M5" t="str">
        <f t="shared" ca="1" si="9"/>
        <v>Safe</v>
      </c>
    </row>
    <row r="6" spans="1:14" x14ac:dyDescent="0.25">
      <c r="A6" t="str">
        <f t="shared" si="0"/>
        <v>M005</v>
      </c>
      <c r="B6" t="str" cm="1">
        <f t="array" aca="1" ref="B6" ca="1">INDEX({"Paracetamol","Amoxicillin","Ibuprofen","Cetirizine","Metformin","Amlodipine","Omeprazole","Azithromycin","Losartan","Vitamin C"}, RANDBETWEEN(1,10))</f>
        <v>Cetirizine</v>
      </c>
      <c r="C6" t="str" cm="1">
        <f t="array" aca="1" ref="C6" ca="1">INDEX({"Painkiller","Antibiotic","Painkiller","Antihistamine","Diabetes","Hypertension","Antacid","Antibiotic","Hypertension","Supplement"},
MATCH(B6,{"Paracetamol","Amoxicillin","Ibuprofen","Cetirizine","Metformin","Amlodipine","Omeprazole","Azithromycin","Losartan","Vitamin C"},0))</f>
        <v>Antihistamine</v>
      </c>
      <c r="D6" t="str" cm="1">
        <f t="array" aca="1" ref="D6" ca="1">INDEX({"MedSupply Co","HealthCorp","PharmaPlus","GlobalMed"}, RANDBETWEEN(1,4))</f>
        <v>HealthCorp</v>
      </c>
      <c r="E6">
        <f t="shared" ca="1" si="1"/>
        <v>83</v>
      </c>
      <c r="F6">
        <f t="shared" ca="1" si="2"/>
        <v>40</v>
      </c>
      <c r="G6">
        <f t="shared" ca="1" si="3"/>
        <v>1.03</v>
      </c>
      <c r="H6" s="1">
        <f t="shared" ca="1" si="4"/>
        <v>46480</v>
      </c>
      <c r="I6" s="1">
        <f t="shared" ca="1" si="5"/>
        <v>45963</v>
      </c>
      <c r="J6">
        <f t="shared" ca="1" si="6"/>
        <v>85.490000000000009</v>
      </c>
      <c r="K6" t="str">
        <f t="shared" ca="1" si="7"/>
        <v>In Stock</v>
      </c>
      <c r="L6" s="2">
        <f t="shared" ca="1" si="8"/>
        <v>361</v>
      </c>
      <c r="M6" t="str">
        <f t="shared" ca="1" si="9"/>
        <v>Safe</v>
      </c>
    </row>
    <row r="7" spans="1:14" x14ac:dyDescent="0.25">
      <c r="A7" t="str">
        <f t="shared" si="0"/>
        <v>M006</v>
      </c>
      <c r="B7" t="str" cm="1">
        <f t="array" aca="1" ref="B7" ca="1">INDEX({"Paracetamol","Amoxicillin","Ibuprofen","Cetirizine","Metformin","Amlodipine","Omeprazole","Azithromycin","Losartan","Vitamin C"}, RANDBETWEEN(1,10))</f>
        <v>Cetirizine</v>
      </c>
      <c r="C7" t="str" cm="1">
        <f t="array" aca="1" ref="C7" ca="1">INDEX({"Painkiller","Antibiotic","Painkiller","Antihistamine","Diabetes","Hypertension","Antacid","Antibiotic","Hypertension","Supplement"},
MATCH(B7,{"Paracetamol","Amoxicillin","Ibuprofen","Cetirizine","Metformin","Amlodipine","Omeprazole","Azithromycin","Losartan","Vitamin C"},0))</f>
        <v>Antihistamine</v>
      </c>
      <c r="D7" t="str" cm="1">
        <f t="array" aca="1" ref="D7" ca="1">INDEX({"MedSupply Co","HealthCorp","PharmaPlus","GlobalMed"}, RANDBETWEEN(1,4))</f>
        <v>GlobalMed</v>
      </c>
      <c r="E7">
        <f t="shared" ca="1" si="1"/>
        <v>95</v>
      </c>
      <c r="F7">
        <f t="shared" ca="1" si="2"/>
        <v>71</v>
      </c>
      <c r="G7">
        <f t="shared" ca="1" si="3"/>
        <v>1.87</v>
      </c>
      <c r="H7" s="1">
        <f t="shared" ca="1" si="4"/>
        <v>46200</v>
      </c>
      <c r="I7" s="1">
        <f t="shared" ca="1" si="5"/>
        <v>46076</v>
      </c>
      <c r="J7">
        <f t="shared" ca="1" si="6"/>
        <v>177.65</v>
      </c>
      <c r="K7" t="str">
        <f t="shared" ca="1" si="7"/>
        <v>In Stock</v>
      </c>
      <c r="L7" s="2">
        <f t="shared" ca="1" si="8"/>
        <v>81</v>
      </c>
      <c r="M7" t="str">
        <f t="shared" ca="1" si="9"/>
        <v>Safe</v>
      </c>
    </row>
    <row r="8" spans="1:14" x14ac:dyDescent="0.25">
      <c r="A8" t="str">
        <f t="shared" si="0"/>
        <v>M007</v>
      </c>
      <c r="B8" t="str" cm="1">
        <f t="array" aca="1" ref="B8" ca="1">INDEX({"Paracetamol","Amoxicillin","Ibuprofen","Cetirizine","Metformin","Amlodipine","Omeprazole","Azithromycin","Losartan","Vitamin C"}, RANDBETWEEN(1,10))</f>
        <v>Losartan</v>
      </c>
      <c r="C8" t="str" cm="1">
        <f t="array" aca="1" ref="C8" ca="1">INDEX({"Painkiller","Antibiotic","Painkiller","Antihistamine","Diabetes","Hypertension","Antacid","Antibiotic","Hypertension","Supplement"},
MATCH(B8,{"Paracetamol","Amoxicillin","Ibuprofen","Cetirizine","Metformin","Amlodipine","Omeprazole","Azithromycin","Losartan","Vitamin C"},0))</f>
        <v>Hypertension</v>
      </c>
      <c r="D8" t="str" cm="1">
        <f t="array" aca="1" ref="D8" ca="1">INDEX({"MedSupply Co","HealthCorp","PharmaPlus","GlobalMed"}, RANDBETWEEN(1,4))</f>
        <v>PharmaPlus</v>
      </c>
      <c r="E8">
        <f t="shared" ca="1" si="1"/>
        <v>11</v>
      </c>
      <c r="F8">
        <f t="shared" ca="1" si="2"/>
        <v>64</v>
      </c>
      <c r="G8">
        <f t="shared" ca="1" si="3"/>
        <v>1.61</v>
      </c>
      <c r="H8" s="1">
        <f t="shared" ca="1" si="4"/>
        <v>46166</v>
      </c>
      <c r="I8" s="1">
        <f t="shared" ca="1" si="5"/>
        <v>45984</v>
      </c>
      <c r="J8">
        <f t="shared" ca="1" si="6"/>
        <v>17.71</v>
      </c>
      <c r="K8" t="str">
        <f t="shared" ca="1" si="7"/>
        <v>Low Stock</v>
      </c>
      <c r="L8" s="2">
        <f t="shared" ca="1" si="8"/>
        <v>47</v>
      </c>
      <c r="M8" t="str">
        <f t="shared" ca="1" si="9"/>
        <v>Safe</v>
      </c>
    </row>
    <row r="9" spans="1:14" x14ac:dyDescent="0.25">
      <c r="A9" t="str">
        <f t="shared" si="0"/>
        <v>M008</v>
      </c>
      <c r="B9" t="str" cm="1">
        <f t="array" aca="1" ref="B9" ca="1">INDEX({"Paracetamol","Amoxicillin","Ibuprofen","Cetirizine","Metformin","Amlodipine","Omeprazole","Azithromycin","Losartan","Vitamin C"}, RANDBETWEEN(1,10))</f>
        <v>Amlodipine</v>
      </c>
      <c r="C9" t="str" cm="1">
        <f t="array" aca="1" ref="C9" ca="1">INDEX({"Painkiller","Antibiotic","Painkiller","Antihistamine","Diabetes","Hypertension","Antacid","Antibiotic","Hypertension","Supplement"},
MATCH(B9,{"Paracetamol","Amoxicillin","Ibuprofen","Cetirizine","Metformin","Amlodipine","Omeprazole","Azithromycin","Losartan","Vitamin C"},0))</f>
        <v>Hypertension</v>
      </c>
      <c r="D9" t="str" cm="1">
        <f t="array" aca="1" ref="D9" ca="1">INDEX({"MedSupply Co","HealthCorp","PharmaPlus","GlobalMed"}, RANDBETWEEN(1,4))</f>
        <v>GlobalMed</v>
      </c>
      <c r="E9">
        <f t="shared" ca="1" si="1"/>
        <v>77</v>
      </c>
      <c r="F9">
        <f t="shared" ca="1" si="2"/>
        <v>22</v>
      </c>
      <c r="G9">
        <f t="shared" ca="1" si="3"/>
        <v>1.55</v>
      </c>
      <c r="H9" s="1">
        <f t="shared" ca="1" si="4"/>
        <v>46173</v>
      </c>
      <c r="I9" s="1">
        <f t="shared" ca="1" si="5"/>
        <v>46053</v>
      </c>
      <c r="J9">
        <f t="shared" ca="1" si="6"/>
        <v>119.35000000000001</v>
      </c>
      <c r="K9" t="str">
        <f t="shared" ca="1" si="7"/>
        <v>In Stock</v>
      </c>
      <c r="L9" s="2">
        <f t="shared" ca="1" si="8"/>
        <v>54</v>
      </c>
      <c r="M9" t="str">
        <f t="shared" ca="1" si="9"/>
        <v>Safe</v>
      </c>
    </row>
    <row r="10" spans="1:14" x14ac:dyDescent="0.25">
      <c r="A10" t="str">
        <f t="shared" si="0"/>
        <v>M009</v>
      </c>
      <c r="B10" t="str" cm="1">
        <f t="array" aca="1" ref="B10" ca="1">INDEX({"Paracetamol","Amoxicillin","Ibuprofen","Cetirizine","Metformin","Amlodipine","Omeprazole","Azithromycin","Losartan","Vitamin C"}, RANDBETWEEN(1,10))</f>
        <v>Metformin</v>
      </c>
      <c r="C10" t="str" cm="1">
        <f t="array" aca="1" ref="C10" ca="1">INDEX({"Painkiller","Antibiotic","Painkiller","Antihistamine","Diabetes","Hypertension","Antacid","Antibiotic","Hypertension","Supplement"},
MATCH(B10,{"Paracetamol","Amoxicillin","Ibuprofen","Cetirizine","Metformin","Amlodipine","Omeprazole","Azithromycin","Losartan","Vitamin C"},0))</f>
        <v>Diabetes</v>
      </c>
      <c r="D10" t="str" cm="1">
        <f t="array" aca="1" ref="D10" ca="1">INDEX({"MedSupply Co","HealthCorp","PharmaPlus","GlobalMed"}, RANDBETWEEN(1,4))</f>
        <v>HealthCorp</v>
      </c>
      <c r="E10">
        <f t="shared" ca="1" si="1"/>
        <v>164</v>
      </c>
      <c r="F10">
        <f t="shared" ca="1" si="2"/>
        <v>26</v>
      </c>
      <c r="G10">
        <f t="shared" ca="1" si="3"/>
        <v>1.28</v>
      </c>
      <c r="H10" s="1">
        <f t="shared" ca="1" si="4"/>
        <v>46242</v>
      </c>
      <c r="I10" s="1">
        <f t="shared" ca="1" si="5"/>
        <v>45974</v>
      </c>
      <c r="J10">
        <f t="shared" ca="1" si="6"/>
        <v>209.92000000000002</v>
      </c>
      <c r="K10" t="str">
        <f t="shared" ca="1" si="7"/>
        <v>In Stock</v>
      </c>
      <c r="L10" s="2">
        <f t="shared" ca="1" si="8"/>
        <v>123</v>
      </c>
      <c r="M10" t="str">
        <f t="shared" ca="1" si="9"/>
        <v>Safe</v>
      </c>
    </row>
    <row r="11" spans="1:14" x14ac:dyDescent="0.25">
      <c r="A11" t="str">
        <f t="shared" si="0"/>
        <v>M010</v>
      </c>
      <c r="B11" t="str" cm="1">
        <f t="array" aca="1" ref="B11" ca="1">INDEX({"Paracetamol","Amoxicillin","Ibuprofen","Cetirizine","Metformin","Amlodipine","Omeprazole","Azithromycin","Losartan","Vitamin C"}, RANDBETWEEN(1,10))</f>
        <v>Paracetamol</v>
      </c>
      <c r="C11" t="str" cm="1">
        <f t="array" aca="1" ref="C11" ca="1">INDEX({"Painkiller","Antibiotic","Painkiller","Antihistamine","Diabetes","Hypertension","Antacid","Antibiotic","Hypertension","Supplement"},
MATCH(B11,{"Paracetamol","Amoxicillin","Ibuprofen","Cetirizine","Metformin","Amlodipine","Omeprazole","Azithromycin","Losartan","Vitamin C"},0))</f>
        <v>Painkiller</v>
      </c>
      <c r="D11" t="str" cm="1">
        <f t="array" aca="1" ref="D11" ca="1">INDEX({"MedSupply Co","HealthCorp","PharmaPlus","GlobalMed"}, RANDBETWEEN(1,4))</f>
        <v>HealthCorp</v>
      </c>
      <c r="E11">
        <f t="shared" ca="1" si="1"/>
        <v>57</v>
      </c>
      <c r="F11">
        <f t="shared" ca="1" si="2"/>
        <v>43</v>
      </c>
      <c r="G11">
        <f t="shared" ca="1" si="3"/>
        <v>0.78</v>
      </c>
      <c r="H11" s="1">
        <f t="shared" ca="1" si="4"/>
        <v>46208</v>
      </c>
      <c r="I11" s="1">
        <f t="shared" ca="1" si="5"/>
        <v>45952</v>
      </c>
      <c r="J11">
        <f t="shared" ca="1" si="6"/>
        <v>44.46</v>
      </c>
      <c r="K11" t="str">
        <f t="shared" ca="1" si="7"/>
        <v>In Stock</v>
      </c>
      <c r="L11" s="2">
        <f t="shared" ca="1" si="8"/>
        <v>89</v>
      </c>
      <c r="M11" t="str">
        <f t="shared" ca="1" si="9"/>
        <v>Safe</v>
      </c>
    </row>
    <row r="12" spans="1:14" x14ac:dyDescent="0.25">
      <c r="A12" t="str">
        <f t="shared" si="0"/>
        <v>M011</v>
      </c>
      <c r="B12" t="str" cm="1">
        <f t="array" aca="1" ref="B12" ca="1">INDEX({"Paracetamol","Amoxicillin","Ibuprofen","Cetirizine","Metformin","Amlodipine","Omeprazole","Azithromycin","Losartan","Vitamin C"}, RANDBETWEEN(1,10))</f>
        <v>Cetirizine</v>
      </c>
      <c r="C12" t="str" cm="1">
        <f t="array" aca="1" ref="C12" ca="1">INDEX({"Painkiller","Antibiotic","Painkiller","Antihistamine","Diabetes","Hypertension","Antacid","Antibiotic","Hypertension","Supplement"},
MATCH(B12,{"Paracetamol","Amoxicillin","Ibuprofen","Cetirizine","Metformin","Amlodipine","Omeprazole","Azithromycin","Losartan","Vitamin C"},0))</f>
        <v>Antihistamine</v>
      </c>
      <c r="D12" t="str" cm="1">
        <f t="array" aca="1" ref="D12" ca="1">INDEX({"MedSupply Co","HealthCorp","PharmaPlus","GlobalMed"}, RANDBETWEEN(1,4))</f>
        <v>PharmaPlus</v>
      </c>
      <c r="E12">
        <f t="shared" ca="1" si="1"/>
        <v>130</v>
      </c>
      <c r="F12">
        <f t="shared" ca="1" si="2"/>
        <v>23</v>
      </c>
      <c r="G12">
        <f t="shared" ca="1" si="3"/>
        <v>1.36</v>
      </c>
      <c r="H12" s="1">
        <f t="shared" ca="1" si="4"/>
        <v>46438</v>
      </c>
      <c r="I12" s="1">
        <f t="shared" ca="1" si="5"/>
        <v>46111</v>
      </c>
      <c r="J12">
        <f t="shared" ca="1" si="6"/>
        <v>176.8</v>
      </c>
      <c r="K12" t="str">
        <f t="shared" ca="1" si="7"/>
        <v>In Stock</v>
      </c>
      <c r="L12" s="2">
        <f t="shared" ca="1" si="8"/>
        <v>319</v>
      </c>
      <c r="M12" t="str">
        <f t="shared" ca="1" si="9"/>
        <v>Safe</v>
      </c>
    </row>
    <row r="13" spans="1:14" x14ac:dyDescent="0.25">
      <c r="A13" t="str">
        <f t="shared" si="0"/>
        <v>M012</v>
      </c>
      <c r="B13" t="str" cm="1">
        <f t="array" aca="1" ref="B13" ca="1">INDEX({"Paracetamol","Amoxicillin","Ibuprofen","Cetirizine","Metformin","Amlodipine","Omeprazole","Azithromycin","Losartan","Vitamin C"}, RANDBETWEEN(1,10))</f>
        <v>Losartan</v>
      </c>
      <c r="C13" t="str" cm="1">
        <f t="array" aca="1" ref="C13" ca="1">INDEX({"Painkiller","Antibiotic","Painkiller","Antihistamine","Diabetes","Hypertension","Antacid","Antibiotic","Hypertension","Supplement"},
MATCH(B13,{"Paracetamol","Amoxicillin","Ibuprofen","Cetirizine","Metformin","Amlodipine","Omeprazole","Azithromycin","Losartan","Vitamin C"},0))</f>
        <v>Hypertension</v>
      </c>
      <c r="D13" t="str" cm="1">
        <f t="array" aca="1" ref="D13" ca="1">INDEX({"MedSupply Co","HealthCorp","PharmaPlus","GlobalMed"}, RANDBETWEEN(1,4))</f>
        <v>GlobalMed</v>
      </c>
      <c r="E13">
        <f t="shared" ca="1" si="1"/>
        <v>137</v>
      </c>
      <c r="F13">
        <f t="shared" ca="1" si="2"/>
        <v>21</v>
      </c>
      <c r="G13">
        <f t="shared" ca="1" si="3"/>
        <v>0.65</v>
      </c>
      <c r="H13" s="1">
        <f t="shared" ca="1" si="4"/>
        <v>46177</v>
      </c>
      <c r="I13" s="1">
        <f t="shared" ca="1" si="5"/>
        <v>46013</v>
      </c>
      <c r="J13">
        <f t="shared" ca="1" si="6"/>
        <v>89.05</v>
      </c>
      <c r="K13" t="str">
        <f t="shared" ca="1" si="7"/>
        <v>In Stock</v>
      </c>
      <c r="L13" s="2">
        <f t="shared" ca="1" si="8"/>
        <v>58</v>
      </c>
      <c r="M13" t="str">
        <f t="shared" ca="1" si="9"/>
        <v>Safe</v>
      </c>
    </row>
    <row r="14" spans="1:14" x14ac:dyDescent="0.25">
      <c r="A14" t="str">
        <f t="shared" si="0"/>
        <v>M013</v>
      </c>
      <c r="B14" t="str" cm="1">
        <f t="array" aca="1" ref="B14" ca="1">INDEX({"Paracetamol","Amoxicillin","Ibuprofen","Cetirizine","Metformin","Amlodipine","Omeprazole","Azithromycin","Losartan","Vitamin C"}, RANDBETWEEN(1,10))</f>
        <v>Ibuprofen</v>
      </c>
      <c r="C14" t="str" cm="1">
        <f t="array" aca="1" ref="C14" ca="1">INDEX({"Painkiller","Antibiotic","Painkiller","Antihistamine","Diabetes","Hypertension","Antacid","Antibiotic","Hypertension","Supplement"},
MATCH(B14,{"Paracetamol","Amoxicillin","Ibuprofen","Cetirizine","Metformin","Amlodipine","Omeprazole","Azithromycin","Losartan","Vitamin C"},0))</f>
        <v>Painkiller</v>
      </c>
      <c r="D14" t="str" cm="1">
        <f t="array" aca="1" ref="D14" ca="1">INDEX({"MedSupply Co","HealthCorp","PharmaPlus","GlobalMed"}, RANDBETWEEN(1,4))</f>
        <v>GlobalMed</v>
      </c>
      <c r="E14">
        <f t="shared" ca="1" si="1"/>
        <v>65</v>
      </c>
      <c r="F14">
        <f t="shared" ca="1" si="2"/>
        <v>67</v>
      </c>
      <c r="G14">
        <f t="shared" ca="1" si="3"/>
        <v>0.87</v>
      </c>
      <c r="H14" s="1">
        <f t="shared" ca="1" si="4"/>
        <v>46225</v>
      </c>
      <c r="I14" s="1">
        <f t="shared" ca="1" si="5"/>
        <v>46059</v>
      </c>
      <c r="J14">
        <f t="shared" ca="1" si="6"/>
        <v>56.55</v>
      </c>
      <c r="K14" t="str">
        <f t="shared" ca="1" si="7"/>
        <v>Low Stock</v>
      </c>
      <c r="L14" s="2">
        <f t="shared" ca="1" si="8"/>
        <v>106</v>
      </c>
      <c r="M14" t="str">
        <f t="shared" ca="1" si="9"/>
        <v>Safe</v>
      </c>
    </row>
    <row r="15" spans="1:14" x14ac:dyDescent="0.25">
      <c r="A15" t="str">
        <f t="shared" si="0"/>
        <v>M014</v>
      </c>
      <c r="B15" t="str" cm="1">
        <f t="array" aca="1" ref="B15" ca="1">INDEX({"Paracetamol","Amoxicillin","Ibuprofen","Cetirizine","Metformin","Amlodipine","Omeprazole","Azithromycin","Losartan","Vitamin C"}, RANDBETWEEN(1,10))</f>
        <v>Vitamin C</v>
      </c>
      <c r="C15" t="str" cm="1">
        <f t="array" aca="1" ref="C15" ca="1">INDEX({"Painkiller","Antibiotic","Painkiller","Antihistamine","Diabetes","Hypertension","Antacid","Antibiotic","Hypertension","Supplement"},
MATCH(B15,{"Paracetamol","Amoxicillin","Ibuprofen","Cetirizine","Metformin","Amlodipine","Omeprazole","Azithromycin","Losartan","Vitamin C"},0))</f>
        <v>Supplement</v>
      </c>
      <c r="D15" t="str" cm="1">
        <f t="array" aca="1" ref="D15" ca="1">INDEX({"MedSupply Co","HealthCorp","PharmaPlus","GlobalMed"}, RANDBETWEEN(1,4))</f>
        <v>HealthCorp</v>
      </c>
      <c r="E15">
        <f t="shared" ca="1" si="1"/>
        <v>146</v>
      </c>
      <c r="F15">
        <f t="shared" ca="1" si="2"/>
        <v>89</v>
      </c>
      <c r="G15">
        <f t="shared" ca="1" si="3"/>
        <v>0.98</v>
      </c>
      <c r="H15" s="1">
        <f t="shared" ca="1" si="4"/>
        <v>46329</v>
      </c>
      <c r="I15" s="1">
        <f t="shared" ca="1" si="5"/>
        <v>46099</v>
      </c>
      <c r="J15">
        <f t="shared" ca="1" si="6"/>
        <v>143.07999999999998</v>
      </c>
      <c r="K15" t="str">
        <f t="shared" ca="1" si="7"/>
        <v>In Stock</v>
      </c>
      <c r="L15" s="2">
        <f t="shared" ca="1" si="8"/>
        <v>210</v>
      </c>
      <c r="M15" t="str">
        <f t="shared" ca="1" si="9"/>
        <v>Safe</v>
      </c>
    </row>
    <row r="16" spans="1:14" x14ac:dyDescent="0.25">
      <c r="A16" t="str">
        <f t="shared" si="0"/>
        <v>M015</v>
      </c>
      <c r="B16" t="str" cm="1">
        <f t="array" aca="1" ref="B16" ca="1">INDEX({"Paracetamol","Amoxicillin","Ibuprofen","Cetirizine","Metformin","Amlodipine","Omeprazole","Azithromycin","Losartan","Vitamin C"}, RANDBETWEEN(1,10))</f>
        <v>Omeprazole</v>
      </c>
      <c r="C16" t="str" cm="1">
        <f t="array" aca="1" ref="C16" ca="1">INDEX({"Painkiller","Antibiotic","Painkiller","Antihistamine","Diabetes","Hypertension","Antacid","Antibiotic","Hypertension","Supplement"},
MATCH(B16,{"Paracetamol","Amoxicillin","Ibuprofen","Cetirizine","Metformin","Amlodipine","Omeprazole","Azithromycin","Losartan","Vitamin C"},0))</f>
        <v>Antacid</v>
      </c>
      <c r="D16" t="str" cm="1">
        <f t="array" aca="1" ref="D16" ca="1">INDEX({"MedSupply Co","HealthCorp","PharmaPlus","GlobalMed"}, RANDBETWEEN(1,4))</f>
        <v>HealthCorp</v>
      </c>
      <c r="E16">
        <f t="shared" ca="1" si="1"/>
        <v>196</v>
      </c>
      <c r="F16">
        <f t="shared" ca="1" si="2"/>
        <v>96</v>
      </c>
      <c r="G16">
        <f t="shared" ca="1" si="3"/>
        <v>0.54</v>
      </c>
      <c r="H16" s="1">
        <f t="shared" ca="1" si="4"/>
        <v>46352</v>
      </c>
      <c r="I16" s="1">
        <f t="shared" ca="1" si="5"/>
        <v>46067</v>
      </c>
      <c r="J16">
        <f t="shared" ca="1" si="6"/>
        <v>105.84</v>
      </c>
      <c r="K16" t="str">
        <f t="shared" ca="1" si="7"/>
        <v>In Stock</v>
      </c>
      <c r="L16" s="2">
        <f t="shared" ca="1" si="8"/>
        <v>233</v>
      </c>
      <c r="M16" t="str">
        <f t="shared" ca="1" si="9"/>
        <v>Safe</v>
      </c>
    </row>
    <row r="17" spans="1:13" x14ac:dyDescent="0.25">
      <c r="A17" t="str">
        <f t="shared" si="0"/>
        <v>M016</v>
      </c>
      <c r="B17" t="str" cm="1">
        <f t="array" aca="1" ref="B17" ca="1">INDEX({"Paracetamol","Amoxicillin","Ibuprofen","Cetirizine","Metformin","Amlodipine","Omeprazole","Azithromycin","Losartan","Vitamin C"}, RANDBETWEEN(1,10))</f>
        <v>Amlodipine</v>
      </c>
      <c r="C17" t="str" cm="1">
        <f t="array" aca="1" ref="C17" ca="1">INDEX({"Painkiller","Antibiotic","Painkiller","Antihistamine","Diabetes","Hypertension","Antacid","Antibiotic","Hypertension","Supplement"},
MATCH(B17,{"Paracetamol","Amoxicillin","Ibuprofen","Cetirizine","Metformin","Amlodipine","Omeprazole","Azithromycin","Losartan","Vitamin C"},0))</f>
        <v>Hypertension</v>
      </c>
      <c r="D17" t="str" cm="1">
        <f t="array" aca="1" ref="D17" ca="1">INDEX({"MedSupply Co","HealthCorp","PharmaPlus","GlobalMed"}, RANDBETWEEN(1,4))</f>
        <v>GlobalMed</v>
      </c>
      <c r="E17">
        <f t="shared" ca="1" si="1"/>
        <v>173</v>
      </c>
      <c r="F17">
        <f t="shared" ca="1" si="2"/>
        <v>23</v>
      </c>
      <c r="G17">
        <f t="shared" ca="1" si="3"/>
        <v>0.92</v>
      </c>
      <c r="H17" s="1">
        <f t="shared" ca="1" si="4"/>
        <v>46300</v>
      </c>
      <c r="I17" s="1">
        <f t="shared" ca="1" si="5"/>
        <v>46046</v>
      </c>
      <c r="J17">
        <f t="shared" ca="1" si="6"/>
        <v>159.16</v>
      </c>
      <c r="K17" t="str">
        <f t="shared" ca="1" si="7"/>
        <v>In Stock</v>
      </c>
      <c r="L17" s="2">
        <f t="shared" ca="1" si="8"/>
        <v>181</v>
      </c>
      <c r="M17" t="str">
        <f t="shared" ca="1" si="9"/>
        <v>Safe</v>
      </c>
    </row>
    <row r="18" spans="1:13" x14ac:dyDescent="0.25">
      <c r="A18" t="str">
        <f t="shared" si="0"/>
        <v>M017</v>
      </c>
      <c r="B18" t="str" cm="1">
        <f t="array" aca="1" ref="B18" ca="1">INDEX({"Paracetamol","Amoxicillin","Ibuprofen","Cetirizine","Metformin","Amlodipine","Omeprazole","Azithromycin","Losartan","Vitamin C"}, RANDBETWEEN(1,10))</f>
        <v>Amoxicillin</v>
      </c>
      <c r="C18" t="str" cm="1">
        <f t="array" aca="1" ref="C18" ca="1">INDEX({"Painkiller","Antibiotic","Painkiller","Antihistamine","Diabetes","Hypertension","Antacid","Antibiotic","Hypertension","Supplement"},
MATCH(B18,{"Paracetamol","Amoxicillin","Ibuprofen","Cetirizine","Metformin","Amlodipine","Omeprazole","Azithromycin","Losartan","Vitamin C"},0))</f>
        <v>Antibiotic</v>
      </c>
      <c r="D18" t="str" cm="1">
        <f t="array" aca="1" ref="D18" ca="1">INDEX({"MedSupply Co","HealthCorp","PharmaPlus","GlobalMed"}, RANDBETWEEN(1,4))</f>
        <v>HealthCorp</v>
      </c>
      <c r="E18">
        <f t="shared" ca="1" si="1"/>
        <v>20</v>
      </c>
      <c r="F18">
        <f t="shared" ca="1" si="2"/>
        <v>57</v>
      </c>
      <c r="G18">
        <f t="shared" ca="1" si="3"/>
        <v>1.36</v>
      </c>
      <c r="H18" s="1">
        <f t="shared" ca="1" si="4"/>
        <v>46234</v>
      </c>
      <c r="I18" s="1">
        <f t="shared" ca="1" si="5"/>
        <v>45954</v>
      </c>
      <c r="J18">
        <f t="shared" ca="1" si="6"/>
        <v>27.200000000000003</v>
      </c>
      <c r="K18" t="str">
        <f t="shared" ca="1" si="7"/>
        <v>Low Stock</v>
      </c>
      <c r="L18" s="2">
        <f t="shared" ca="1" si="8"/>
        <v>115</v>
      </c>
      <c r="M18" t="str">
        <f t="shared" ca="1" si="9"/>
        <v>Safe</v>
      </c>
    </row>
    <row r="19" spans="1:13" x14ac:dyDescent="0.25">
      <c r="A19" t="str">
        <f t="shared" si="0"/>
        <v>M018</v>
      </c>
      <c r="B19" t="str" cm="1">
        <f t="array" aca="1" ref="B19" ca="1">INDEX({"Paracetamol","Amoxicillin","Ibuprofen","Cetirizine","Metformin","Amlodipine","Omeprazole","Azithromycin","Losartan","Vitamin C"}, RANDBETWEEN(1,10))</f>
        <v>Vitamin C</v>
      </c>
      <c r="C19" t="str" cm="1">
        <f t="array" aca="1" ref="C19" ca="1">INDEX({"Painkiller","Antibiotic","Painkiller","Antihistamine","Diabetes","Hypertension","Antacid","Antibiotic","Hypertension","Supplement"},
MATCH(B19,{"Paracetamol","Amoxicillin","Ibuprofen","Cetirizine","Metformin","Amlodipine","Omeprazole","Azithromycin","Losartan","Vitamin C"},0))</f>
        <v>Supplement</v>
      </c>
      <c r="D19" t="str" cm="1">
        <f t="array" aca="1" ref="D19" ca="1">INDEX({"MedSupply Co","HealthCorp","PharmaPlus","GlobalMed"}, RANDBETWEEN(1,4))</f>
        <v>MedSupply Co</v>
      </c>
      <c r="E19">
        <f t="shared" ca="1" si="1"/>
        <v>67</v>
      </c>
      <c r="F19">
        <f t="shared" ca="1" si="2"/>
        <v>46</v>
      </c>
      <c r="G19">
        <f t="shared" ca="1" si="3"/>
        <v>1.41</v>
      </c>
      <c r="H19" s="1">
        <f t="shared" ca="1" si="4"/>
        <v>46332</v>
      </c>
      <c r="I19" s="1">
        <f t="shared" ca="1" si="5"/>
        <v>46100</v>
      </c>
      <c r="J19">
        <f t="shared" ca="1" si="6"/>
        <v>94.47</v>
      </c>
      <c r="K19" t="str">
        <f t="shared" ca="1" si="7"/>
        <v>In Stock</v>
      </c>
      <c r="L19" s="2">
        <f t="shared" ca="1" si="8"/>
        <v>213</v>
      </c>
      <c r="M19" t="str">
        <f t="shared" ca="1" si="9"/>
        <v>Safe</v>
      </c>
    </row>
    <row r="20" spans="1:13" x14ac:dyDescent="0.25">
      <c r="A20" t="str">
        <f t="shared" si="0"/>
        <v>M019</v>
      </c>
      <c r="B20" t="str" cm="1">
        <f t="array" aca="1" ref="B20" ca="1">INDEX({"Paracetamol","Amoxicillin","Ibuprofen","Cetirizine","Metformin","Amlodipine","Omeprazole","Azithromycin","Losartan","Vitamin C"}, RANDBETWEEN(1,10))</f>
        <v>Paracetamol</v>
      </c>
      <c r="C20" t="str" cm="1">
        <f t="array" aca="1" ref="C20" ca="1">INDEX({"Painkiller","Antibiotic","Painkiller","Antihistamine","Diabetes","Hypertension","Antacid","Antibiotic","Hypertension","Supplement"},
MATCH(B20,{"Paracetamol","Amoxicillin","Ibuprofen","Cetirizine","Metformin","Amlodipine","Omeprazole","Azithromycin","Losartan","Vitamin C"},0))</f>
        <v>Painkiller</v>
      </c>
      <c r="D20" t="str" cm="1">
        <f t="array" aca="1" ref="D20" ca="1">INDEX({"MedSupply Co","HealthCorp","PharmaPlus","GlobalMed"}, RANDBETWEEN(1,4))</f>
        <v>PharmaPlus</v>
      </c>
      <c r="E20">
        <f t="shared" ca="1" si="1"/>
        <v>170</v>
      </c>
      <c r="F20">
        <f t="shared" ca="1" si="2"/>
        <v>81</v>
      </c>
      <c r="G20">
        <f t="shared" ca="1" si="3"/>
        <v>0.56999999999999995</v>
      </c>
      <c r="H20" s="1">
        <f t="shared" ca="1" si="4"/>
        <v>46185</v>
      </c>
      <c r="I20" s="1">
        <f t="shared" ca="1" si="5"/>
        <v>45999</v>
      </c>
      <c r="J20">
        <f t="shared" ca="1" si="6"/>
        <v>96.899999999999991</v>
      </c>
      <c r="K20" t="str">
        <f t="shared" ca="1" si="7"/>
        <v>In Stock</v>
      </c>
      <c r="L20" s="2">
        <f t="shared" ca="1" si="8"/>
        <v>66</v>
      </c>
      <c r="M20" t="str">
        <f t="shared" ca="1" si="9"/>
        <v>Safe</v>
      </c>
    </row>
    <row r="21" spans="1:13" x14ac:dyDescent="0.25">
      <c r="A21" t="str">
        <f t="shared" si="0"/>
        <v>M020</v>
      </c>
      <c r="B21" t="str" cm="1">
        <f t="array" aca="1" ref="B21" ca="1">INDEX({"Paracetamol","Amoxicillin","Ibuprofen","Cetirizine","Metformin","Amlodipine","Omeprazole","Azithromycin","Losartan","Vitamin C"}, RANDBETWEEN(1,10))</f>
        <v>Metformin</v>
      </c>
      <c r="C21" t="str" cm="1">
        <f t="array" aca="1" ref="C21" ca="1">INDEX({"Painkiller","Antibiotic","Painkiller","Antihistamine","Diabetes","Hypertension","Antacid","Antibiotic","Hypertension","Supplement"},
MATCH(B21,{"Paracetamol","Amoxicillin","Ibuprofen","Cetirizine","Metformin","Amlodipine","Omeprazole","Azithromycin","Losartan","Vitamin C"},0))</f>
        <v>Diabetes</v>
      </c>
      <c r="D21" t="str" cm="1">
        <f t="array" aca="1" ref="D21" ca="1">INDEX({"MedSupply Co","HealthCorp","PharmaPlus","GlobalMed"}, RANDBETWEEN(1,4))</f>
        <v>MedSupply Co</v>
      </c>
      <c r="E21">
        <f t="shared" ca="1" si="1"/>
        <v>9</v>
      </c>
      <c r="F21">
        <f t="shared" ca="1" si="2"/>
        <v>70</v>
      </c>
      <c r="G21">
        <f t="shared" ca="1" si="3"/>
        <v>1.21</v>
      </c>
      <c r="H21" s="1">
        <f t="shared" ca="1" si="4"/>
        <v>46345</v>
      </c>
      <c r="I21" s="1">
        <f t="shared" ca="1" si="5"/>
        <v>46027</v>
      </c>
      <c r="J21">
        <f t="shared" ca="1" si="6"/>
        <v>10.89</v>
      </c>
      <c r="K21" t="str">
        <f t="shared" ca="1" si="7"/>
        <v>Low Stock</v>
      </c>
      <c r="L21" s="2">
        <f t="shared" ca="1" si="8"/>
        <v>226</v>
      </c>
      <c r="M21" t="str">
        <f t="shared" ca="1" si="9"/>
        <v>Safe</v>
      </c>
    </row>
    <row r="22" spans="1:13" x14ac:dyDescent="0.25">
      <c r="A22" t="str">
        <f t="shared" si="0"/>
        <v>M021</v>
      </c>
      <c r="B22" t="str" cm="1">
        <f t="array" aca="1" ref="B22" ca="1">INDEX({"Paracetamol","Amoxicillin","Ibuprofen","Cetirizine","Metformin","Amlodipine","Omeprazole","Azithromycin","Losartan","Vitamin C"}, RANDBETWEEN(1,10))</f>
        <v>Metformin</v>
      </c>
      <c r="C22" t="str" cm="1">
        <f t="array" aca="1" ref="C22" ca="1">INDEX({"Painkiller","Antibiotic","Painkiller","Antihistamine","Diabetes","Hypertension","Antacid","Antibiotic","Hypertension","Supplement"},
MATCH(B22,{"Paracetamol","Amoxicillin","Ibuprofen","Cetirizine","Metformin","Amlodipine","Omeprazole","Azithromycin","Losartan","Vitamin C"},0))</f>
        <v>Diabetes</v>
      </c>
      <c r="D22" t="str" cm="1">
        <f t="array" aca="1" ref="D22" ca="1">INDEX({"MedSupply Co","HealthCorp","PharmaPlus","GlobalMed"}, RANDBETWEEN(1,4))</f>
        <v>HealthCorp</v>
      </c>
      <c r="E22">
        <f t="shared" ca="1" si="1"/>
        <v>114</v>
      </c>
      <c r="F22">
        <f t="shared" ca="1" si="2"/>
        <v>91</v>
      </c>
      <c r="G22">
        <f t="shared" ca="1" si="3"/>
        <v>1.88</v>
      </c>
      <c r="H22" s="1">
        <f t="shared" ca="1" si="4"/>
        <v>46395</v>
      </c>
      <c r="I22" s="1">
        <f t="shared" ca="1" si="5"/>
        <v>46024</v>
      </c>
      <c r="J22">
        <f t="shared" ca="1" si="6"/>
        <v>214.32</v>
      </c>
      <c r="K22" t="str">
        <f t="shared" ca="1" si="7"/>
        <v>In Stock</v>
      </c>
      <c r="L22" s="2">
        <f t="shared" ca="1" si="8"/>
        <v>276</v>
      </c>
      <c r="M22" t="str">
        <f t="shared" ca="1" si="9"/>
        <v>Safe</v>
      </c>
    </row>
    <row r="23" spans="1:13" x14ac:dyDescent="0.25">
      <c r="A23" t="str">
        <f t="shared" si="0"/>
        <v>M022</v>
      </c>
      <c r="B23" t="str" cm="1">
        <f t="array" aca="1" ref="B23" ca="1">INDEX({"Paracetamol","Amoxicillin","Ibuprofen","Cetirizine","Metformin","Amlodipine","Omeprazole","Azithromycin","Losartan","Vitamin C"}, RANDBETWEEN(1,10))</f>
        <v>Ibuprofen</v>
      </c>
      <c r="C23" t="str" cm="1">
        <f t="array" aca="1" ref="C23" ca="1">INDEX({"Painkiller","Antibiotic","Painkiller","Antihistamine","Diabetes","Hypertension","Antacid","Antibiotic","Hypertension","Supplement"},
MATCH(B23,{"Paracetamol","Amoxicillin","Ibuprofen","Cetirizine","Metformin","Amlodipine","Omeprazole","Azithromycin","Losartan","Vitamin C"},0))</f>
        <v>Painkiller</v>
      </c>
      <c r="D23" t="str" cm="1">
        <f t="array" aca="1" ref="D23" ca="1">INDEX({"MedSupply Co","HealthCorp","PharmaPlus","GlobalMed"}, RANDBETWEEN(1,4))</f>
        <v>GlobalMed</v>
      </c>
      <c r="E23">
        <f t="shared" ca="1" si="1"/>
        <v>147</v>
      </c>
      <c r="F23">
        <f t="shared" ca="1" si="2"/>
        <v>71</v>
      </c>
      <c r="G23">
        <f t="shared" ca="1" si="3"/>
        <v>0.9</v>
      </c>
      <c r="H23" s="1">
        <f t="shared" ca="1" si="4"/>
        <v>46416</v>
      </c>
      <c r="I23" s="1">
        <f t="shared" ca="1" si="5"/>
        <v>46032</v>
      </c>
      <c r="J23">
        <f t="shared" ca="1" si="6"/>
        <v>132.30000000000001</v>
      </c>
      <c r="K23" t="str">
        <f t="shared" ca="1" si="7"/>
        <v>In Stock</v>
      </c>
      <c r="L23" s="2">
        <f t="shared" ca="1" si="8"/>
        <v>297</v>
      </c>
      <c r="M23" t="str">
        <f t="shared" ca="1" si="9"/>
        <v>Safe</v>
      </c>
    </row>
    <row r="24" spans="1:13" x14ac:dyDescent="0.25">
      <c r="A24" t="str">
        <f t="shared" si="0"/>
        <v>M023</v>
      </c>
      <c r="B24" t="str" cm="1">
        <f t="array" aca="1" ref="B24" ca="1">INDEX({"Paracetamol","Amoxicillin","Ibuprofen","Cetirizine","Metformin","Amlodipine","Omeprazole","Azithromycin","Losartan","Vitamin C"}, RANDBETWEEN(1,10))</f>
        <v>Ibuprofen</v>
      </c>
      <c r="C24" t="str" cm="1">
        <f t="array" aca="1" ref="C24" ca="1">INDEX({"Painkiller","Antibiotic","Painkiller","Antihistamine","Diabetes","Hypertension","Antacid","Antibiotic","Hypertension","Supplement"},
MATCH(B24,{"Paracetamol","Amoxicillin","Ibuprofen","Cetirizine","Metformin","Amlodipine","Omeprazole","Azithromycin","Losartan","Vitamin C"},0))</f>
        <v>Painkiller</v>
      </c>
      <c r="D24" t="str" cm="1">
        <f t="array" aca="1" ref="D24" ca="1">INDEX({"MedSupply Co","HealthCorp","PharmaPlus","GlobalMed"}, RANDBETWEEN(1,4))</f>
        <v>PharmaPlus</v>
      </c>
      <c r="E24">
        <f t="shared" ca="1" si="1"/>
        <v>111</v>
      </c>
      <c r="F24">
        <f t="shared" ca="1" si="2"/>
        <v>100</v>
      </c>
      <c r="G24">
        <f t="shared" ca="1" si="3"/>
        <v>0.99</v>
      </c>
      <c r="H24" s="1">
        <f t="shared" ca="1" si="4"/>
        <v>46465</v>
      </c>
      <c r="I24" s="1">
        <f t="shared" ca="1" si="5"/>
        <v>46097</v>
      </c>
      <c r="J24">
        <f t="shared" ca="1" si="6"/>
        <v>109.89</v>
      </c>
      <c r="K24" t="str">
        <f t="shared" ca="1" si="7"/>
        <v>In Stock</v>
      </c>
      <c r="L24" s="2">
        <f t="shared" ca="1" si="8"/>
        <v>346</v>
      </c>
      <c r="M24" t="str">
        <f t="shared" ca="1" si="9"/>
        <v>Safe</v>
      </c>
    </row>
    <row r="25" spans="1:13" x14ac:dyDescent="0.25">
      <c r="A25" t="str">
        <f t="shared" si="0"/>
        <v>M024</v>
      </c>
      <c r="B25" t="str" cm="1">
        <f t="array" aca="1" ref="B25" ca="1">INDEX({"Paracetamol","Amoxicillin","Ibuprofen","Cetirizine","Metformin","Amlodipine","Omeprazole","Azithromycin","Losartan","Vitamin C"}, RANDBETWEEN(1,10))</f>
        <v>Cetirizine</v>
      </c>
      <c r="C25" t="str" cm="1">
        <f t="array" aca="1" ref="C25" ca="1">INDEX({"Painkiller","Antibiotic","Painkiller","Antihistamine","Diabetes","Hypertension","Antacid","Antibiotic","Hypertension","Supplement"},
MATCH(B25,{"Paracetamol","Amoxicillin","Ibuprofen","Cetirizine","Metformin","Amlodipine","Omeprazole","Azithromycin","Losartan","Vitamin C"},0))</f>
        <v>Antihistamine</v>
      </c>
      <c r="D25" t="str" cm="1">
        <f t="array" aca="1" ref="D25" ca="1">INDEX({"MedSupply Co","HealthCorp","PharmaPlus","GlobalMed"}, RANDBETWEEN(1,4))</f>
        <v>GlobalMed</v>
      </c>
      <c r="E25">
        <f t="shared" ca="1" si="1"/>
        <v>171</v>
      </c>
      <c r="F25">
        <f t="shared" ca="1" si="2"/>
        <v>58</v>
      </c>
      <c r="G25">
        <f t="shared" ca="1" si="3"/>
        <v>0.71</v>
      </c>
      <c r="H25" s="1">
        <f t="shared" ca="1" si="4"/>
        <v>46248</v>
      </c>
      <c r="I25" s="1">
        <f t="shared" ca="1" si="5"/>
        <v>46001</v>
      </c>
      <c r="J25">
        <f t="shared" ca="1" si="6"/>
        <v>121.41</v>
      </c>
      <c r="K25" t="str">
        <f t="shared" ca="1" si="7"/>
        <v>In Stock</v>
      </c>
      <c r="L25" s="2">
        <f t="shared" ca="1" si="8"/>
        <v>129</v>
      </c>
      <c r="M25" t="str">
        <f t="shared" ca="1" si="9"/>
        <v>Safe</v>
      </c>
    </row>
    <row r="26" spans="1:13" x14ac:dyDescent="0.25">
      <c r="A26" t="str">
        <f t="shared" si="0"/>
        <v>M025</v>
      </c>
      <c r="B26" t="str" cm="1">
        <f t="array" aca="1" ref="B26" ca="1">INDEX({"Paracetamol","Amoxicillin","Ibuprofen","Cetirizine","Metformin","Amlodipine","Omeprazole","Azithromycin","Losartan","Vitamin C"}, RANDBETWEEN(1,10))</f>
        <v>Losartan</v>
      </c>
      <c r="C26" t="str" cm="1">
        <f t="array" aca="1" ref="C26" ca="1">INDEX({"Painkiller","Antibiotic","Painkiller","Antihistamine","Diabetes","Hypertension","Antacid","Antibiotic","Hypertension","Supplement"},
MATCH(B26,{"Paracetamol","Amoxicillin","Ibuprofen","Cetirizine","Metformin","Amlodipine","Omeprazole","Azithromycin","Losartan","Vitamin C"},0))</f>
        <v>Hypertension</v>
      </c>
      <c r="D26" t="str" cm="1">
        <f t="array" aca="1" ref="D26" ca="1">INDEX({"MedSupply Co","HealthCorp","PharmaPlus","GlobalMed"}, RANDBETWEEN(1,4))</f>
        <v>GlobalMed</v>
      </c>
      <c r="E26">
        <f t="shared" ca="1" si="1"/>
        <v>63</v>
      </c>
      <c r="F26">
        <f t="shared" ca="1" si="2"/>
        <v>82</v>
      </c>
      <c r="G26">
        <f t="shared" ca="1" si="3"/>
        <v>0.61</v>
      </c>
      <c r="H26" s="1">
        <f t="shared" ca="1" si="4"/>
        <v>46312</v>
      </c>
      <c r="I26" s="1">
        <f t="shared" ca="1" si="5"/>
        <v>46096</v>
      </c>
      <c r="J26">
        <f t="shared" ca="1" si="6"/>
        <v>38.43</v>
      </c>
      <c r="K26" t="str">
        <f t="shared" ca="1" si="7"/>
        <v>Low Stock</v>
      </c>
      <c r="L26" s="2">
        <f t="shared" ca="1" si="8"/>
        <v>193</v>
      </c>
      <c r="M26" t="str">
        <f t="shared" ca="1" si="9"/>
        <v>Safe</v>
      </c>
    </row>
    <row r="27" spans="1:13" x14ac:dyDescent="0.25">
      <c r="A27" t="str">
        <f t="shared" si="0"/>
        <v>M026</v>
      </c>
      <c r="B27" t="str" cm="1">
        <f t="array" aca="1" ref="B27" ca="1">INDEX({"Paracetamol","Amoxicillin","Ibuprofen","Cetirizine","Metformin","Amlodipine","Omeprazole","Azithromycin","Losartan","Vitamin C"}, RANDBETWEEN(1,10))</f>
        <v>Ibuprofen</v>
      </c>
      <c r="C27" t="str" cm="1">
        <f t="array" aca="1" ref="C27" ca="1">INDEX({"Painkiller","Antibiotic","Painkiller","Antihistamine","Diabetes","Hypertension","Antacid","Antibiotic","Hypertension","Supplement"},
MATCH(B27,{"Paracetamol","Amoxicillin","Ibuprofen","Cetirizine","Metformin","Amlodipine","Omeprazole","Azithromycin","Losartan","Vitamin C"},0))</f>
        <v>Painkiller</v>
      </c>
      <c r="D27" t="str" cm="1">
        <f t="array" aca="1" ref="D27" ca="1">INDEX({"MedSupply Co","HealthCorp","PharmaPlus","GlobalMed"}, RANDBETWEEN(1,4))</f>
        <v>GlobalMed</v>
      </c>
      <c r="E27">
        <f t="shared" ca="1" si="1"/>
        <v>185</v>
      </c>
      <c r="F27">
        <f t="shared" ca="1" si="2"/>
        <v>34</v>
      </c>
      <c r="G27">
        <f t="shared" ca="1" si="3"/>
        <v>0.92</v>
      </c>
      <c r="H27" s="1">
        <f t="shared" ca="1" si="4"/>
        <v>46318</v>
      </c>
      <c r="I27" s="1">
        <f t="shared" ca="1" si="5"/>
        <v>46099</v>
      </c>
      <c r="J27">
        <f t="shared" ca="1" si="6"/>
        <v>170.20000000000002</v>
      </c>
      <c r="K27" t="str">
        <f t="shared" ca="1" si="7"/>
        <v>In Stock</v>
      </c>
      <c r="L27" s="2">
        <f t="shared" ca="1" si="8"/>
        <v>199</v>
      </c>
      <c r="M27" t="str">
        <f t="shared" ca="1" si="9"/>
        <v>Safe</v>
      </c>
    </row>
    <row r="28" spans="1:13" x14ac:dyDescent="0.25">
      <c r="A28" t="str">
        <f t="shared" si="0"/>
        <v>M027</v>
      </c>
      <c r="B28" t="str" cm="1">
        <f t="array" aca="1" ref="B28" ca="1">INDEX({"Paracetamol","Amoxicillin","Ibuprofen","Cetirizine","Metformin","Amlodipine","Omeprazole","Azithromycin","Losartan","Vitamin C"}, RANDBETWEEN(1,10))</f>
        <v>Vitamin C</v>
      </c>
      <c r="C28" t="str" cm="1">
        <f t="array" aca="1" ref="C28" ca="1">INDEX({"Painkiller","Antibiotic","Painkiller","Antihistamine","Diabetes","Hypertension","Antacid","Antibiotic","Hypertension","Supplement"},
MATCH(B28,{"Paracetamol","Amoxicillin","Ibuprofen","Cetirizine","Metformin","Amlodipine","Omeprazole","Azithromycin","Losartan","Vitamin C"},0))</f>
        <v>Supplement</v>
      </c>
      <c r="D28" t="str" cm="1">
        <f t="array" aca="1" ref="D28" ca="1">INDEX({"MedSupply Co","HealthCorp","PharmaPlus","GlobalMed"}, RANDBETWEEN(1,4))</f>
        <v>GlobalMed</v>
      </c>
      <c r="E28">
        <f t="shared" ca="1" si="1"/>
        <v>157</v>
      </c>
      <c r="F28">
        <f t="shared" ca="1" si="2"/>
        <v>40</v>
      </c>
      <c r="G28">
        <f t="shared" ca="1" si="3"/>
        <v>1.95</v>
      </c>
      <c r="H28" s="1">
        <f t="shared" ca="1" si="4"/>
        <v>46200</v>
      </c>
      <c r="I28" s="1">
        <f t="shared" ca="1" si="5"/>
        <v>45984</v>
      </c>
      <c r="J28">
        <f t="shared" ca="1" si="6"/>
        <v>306.14999999999998</v>
      </c>
      <c r="K28" t="str">
        <f t="shared" ca="1" si="7"/>
        <v>In Stock</v>
      </c>
      <c r="L28" s="2">
        <f t="shared" ca="1" si="8"/>
        <v>81</v>
      </c>
      <c r="M28" t="str">
        <f t="shared" ca="1" si="9"/>
        <v>Safe</v>
      </c>
    </row>
    <row r="29" spans="1:13" x14ac:dyDescent="0.25">
      <c r="A29" t="str">
        <f t="shared" si="0"/>
        <v>M028</v>
      </c>
      <c r="B29" t="str" cm="1">
        <f t="array" aca="1" ref="B29" ca="1">INDEX({"Paracetamol","Amoxicillin","Ibuprofen","Cetirizine","Metformin","Amlodipine","Omeprazole","Azithromycin","Losartan","Vitamin C"}, RANDBETWEEN(1,10))</f>
        <v>Cetirizine</v>
      </c>
      <c r="C29" t="str" cm="1">
        <f t="array" aca="1" ref="C29" ca="1">INDEX({"Painkiller","Antibiotic","Painkiller","Antihistamine","Diabetes","Hypertension","Antacid","Antibiotic","Hypertension","Supplement"},
MATCH(B29,{"Paracetamol","Amoxicillin","Ibuprofen","Cetirizine","Metformin","Amlodipine","Omeprazole","Azithromycin","Losartan","Vitamin C"},0))</f>
        <v>Antihistamine</v>
      </c>
      <c r="D29" t="str" cm="1">
        <f t="array" aca="1" ref="D29" ca="1">INDEX({"MedSupply Co","HealthCorp","PharmaPlus","GlobalMed"}, RANDBETWEEN(1,4))</f>
        <v>PharmaPlus</v>
      </c>
      <c r="E29">
        <f t="shared" ca="1" si="1"/>
        <v>132</v>
      </c>
      <c r="F29">
        <f t="shared" ca="1" si="2"/>
        <v>88</v>
      </c>
      <c r="G29">
        <f t="shared" ca="1" si="3"/>
        <v>1.87</v>
      </c>
      <c r="H29" s="1">
        <f t="shared" ca="1" si="4"/>
        <v>46358</v>
      </c>
      <c r="I29" s="1">
        <f t="shared" ca="1" si="5"/>
        <v>45952</v>
      </c>
      <c r="J29">
        <f t="shared" ca="1" si="6"/>
        <v>246.84</v>
      </c>
      <c r="K29" t="str">
        <f t="shared" ca="1" si="7"/>
        <v>In Stock</v>
      </c>
      <c r="L29" s="2">
        <f t="shared" ca="1" si="8"/>
        <v>239</v>
      </c>
      <c r="M29" t="str">
        <f t="shared" ca="1" si="9"/>
        <v>Safe</v>
      </c>
    </row>
    <row r="30" spans="1:13" x14ac:dyDescent="0.25">
      <c r="A30" t="str">
        <f t="shared" si="0"/>
        <v>M029</v>
      </c>
      <c r="B30" t="str" cm="1">
        <f t="array" aca="1" ref="B30" ca="1">INDEX({"Paracetamol","Amoxicillin","Ibuprofen","Cetirizine","Metformin","Amlodipine","Omeprazole","Azithromycin","Losartan","Vitamin C"}, RANDBETWEEN(1,10))</f>
        <v>Azithromycin</v>
      </c>
      <c r="C30" t="str" cm="1">
        <f t="array" aca="1" ref="C30" ca="1">INDEX({"Painkiller","Antibiotic","Painkiller","Antihistamine","Diabetes","Hypertension","Antacid","Antibiotic","Hypertension","Supplement"},
MATCH(B30,{"Paracetamol","Amoxicillin","Ibuprofen","Cetirizine","Metformin","Amlodipine","Omeprazole","Azithromycin","Losartan","Vitamin C"},0))</f>
        <v>Antibiotic</v>
      </c>
      <c r="D30" t="str" cm="1">
        <f t="array" aca="1" ref="D30" ca="1">INDEX({"MedSupply Co","HealthCorp","PharmaPlus","GlobalMed"}, RANDBETWEEN(1,4))</f>
        <v>HealthCorp</v>
      </c>
      <c r="E30">
        <f t="shared" ca="1" si="1"/>
        <v>161</v>
      </c>
      <c r="F30">
        <f t="shared" ca="1" si="2"/>
        <v>50</v>
      </c>
      <c r="G30">
        <f t="shared" ca="1" si="3"/>
        <v>0.83</v>
      </c>
      <c r="H30" s="1">
        <f t="shared" ca="1" si="4"/>
        <v>46375</v>
      </c>
      <c r="I30" s="1">
        <f t="shared" ca="1" si="5"/>
        <v>45958</v>
      </c>
      <c r="J30">
        <f t="shared" ca="1" si="6"/>
        <v>133.63</v>
      </c>
      <c r="K30" t="str">
        <f t="shared" ca="1" si="7"/>
        <v>In Stock</v>
      </c>
      <c r="L30" s="2">
        <f t="shared" ca="1" si="8"/>
        <v>256</v>
      </c>
      <c r="M30" t="str">
        <f t="shared" ca="1" si="9"/>
        <v>Safe</v>
      </c>
    </row>
    <row r="31" spans="1:13" x14ac:dyDescent="0.25">
      <c r="A31" t="str">
        <f t="shared" si="0"/>
        <v>M030</v>
      </c>
      <c r="B31" t="str" cm="1">
        <f t="array" aca="1" ref="B31" ca="1">INDEX({"Paracetamol","Amoxicillin","Ibuprofen","Cetirizine","Metformin","Amlodipine","Omeprazole","Azithromycin","Losartan","Vitamin C"}, RANDBETWEEN(1,10))</f>
        <v>Amlodipine</v>
      </c>
      <c r="C31" t="str" cm="1">
        <f t="array" aca="1" ref="C31" ca="1">INDEX({"Painkiller","Antibiotic","Painkiller","Antihistamine","Diabetes","Hypertension","Antacid","Antibiotic","Hypertension","Supplement"},
MATCH(B31,{"Paracetamol","Amoxicillin","Ibuprofen","Cetirizine","Metformin","Amlodipine","Omeprazole","Azithromycin","Losartan","Vitamin C"},0))</f>
        <v>Hypertension</v>
      </c>
      <c r="D31" t="str" cm="1">
        <f t="array" aca="1" ref="D31" ca="1">INDEX({"MedSupply Co","HealthCorp","PharmaPlus","GlobalMed"}, RANDBETWEEN(1,4))</f>
        <v>GlobalMed</v>
      </c>
      <c r="E31">
        <f t="shared" ca="1" si="1"/>
        <v>48</v>
      </c>
      <c r="F31">
        <f t="shared" ca="1" si="2"/>
        <v>77</v>
      </c>
      <c r="G31">
        <f t="shared" ca="1" si="3"/>
        <v>0.5</v>
      </c>
      <c r="H31" s="1">
        <f t="shared" ca="1" si="4"/>
        <v>46152</v>
      </c>
      <c r="I31" s="1">
        <f t="shared" ca="1" si="5"/>
        <v>45978</v>
      </c>
      <c r="J31">
        <f t="shared" ca="1" si="6"/>
        <v>24</v>
      </c>
      <c r="K31" t="str">
        <f t="shared" ca="1" si="7"/>
        <v>Low Stock</v>
      </c>
      <c r="L31" s="2">
        <f t="shared" ca="1" si="8"/>
        <v>33</v>
      </c>
      <c r="M31" t="str">
        <f t="shared" ca="1" si="9"/>
        <v>Safe</v>
      </c>
    </row>
    <row r="32" spans="1:13" x14ac:dyDescent="0.25">
      <c r="A32" t="str">
        <f t="shared" si="0"/>
        <v>M031</v>
      </c>
      <c r="B32" t="str" cm="1">
        <f t="array" aca="1" ref="B32" ca="1">INDEX({"Paracetamol","Amoxicillin","Ibuprofen","Cetirizine","Metformin","Amlodipine","Omeprazole","Azithromycin","Losartan","Vitamin C"}, RANDBETWEEN(1,10))</f>
        <v>Ibuprofen</v>
      </c>
      <c r="C32" t="str" cm="1">
        <f t="array" aca="1" ref="C32" ca="1">INDEX({"Painkiller","Antibiotic","Painkiller","Antihistamine","Diabetes","Hypertension","Antacid","Antibiotic","Hypertension","Supplement"},
MATCH(B32,{"Paracetamol","Amoxicillin","Ibuprofen","Cetirizine","Metformin","Amlodipine","Omeprazole","Azithromycin","Losartan","Vitamin C"},0))</f>
        <v>Painkiller</v>
      </c>
      <c r="D32" t="str" cm="1">
        <f t="array" aca="1" ref="D32" ca="1">INDEX({"MedSupply Co","HealthCorp","PharmaPlus","GlobalMed"}, RANDBETWEEN(1,4))</f>
        <v>GlobalMed</v>
      </c>
      <c r="E32">
        <f t="shared" ca="1" si="1"/>
        <v>27</v>
      </c>
      <c r="F32">
        <f t="shared" ca="1" si="2"/>
        <v>58</v>
      </c>
      <c r="G32">
        <f t="shared" ca="1" si="3"/>
        <v>1.82</v>
      </c>
      <c r="H32" s="1">
        <f t="shared" ca="1" si="4"/>
        <v>46221</v>
      </c>
      <c r="I32" s="1">
        <f t="shared" ca="1" si="5"/>
        <v>46001</v>
      </c>
      <c r="J32">
        <f t="shared" ca="1" si="6"/>
        <v>49.14</v>
      </c>
      <c r="K32" t="str">
        <f t="shared" ca="1" si="7"/>
        <v>Low Stock</v>
      </c>
      <c r="L32" s="2">
        <f t="shared" ca="1" si="8"/>
        <v>102</v>
      </c>
      <c r="M32" t="str">
        <f t="shared" ca="1" si="9"/>
        <v>Safe</v>
      </c>
    </row>
    <row r="33" spans="1:13" x14ac:dyDescent="0.25">
      <c r="A33" t="str">
        <f t="shared" si="0"/>
        <v>M032</v>
      </c>
      <c r="B33" t="str" cm="1">
        <f t="array" aca="1" ref="B33" ca="1">INDEX({"Paracetamol","Amoxicillin","Ibuprofen","Cetirizine","Metformin","Amlodipine","Omeprazole","Azithromycin","Losartan","Vitamin C"}, RANDBETWEEN(1,10))</f>
        <v>Paracetamol</v>
      </c>
      <c r="C33" t="str" cm="1">
        <f t="array" aca="1" ref="C33" ca="1">INDEX({"Painkiller","Antibiotic","Painkiller","Antihistamine","Diabetes","Hypertension","Antacid","Antibiotic","Hypertension","Supplement"},
MATCH(B33,{"Paracetamol","Amoxicillin","Ibuprofen","Cetirizine","Metformin","Amlodipine","Omeprazole","Azithromycin","Losartan","Vitamin C"},0))</f>
        <v>Painkiller</v>
      </c>
      <c r="D33" t="str" cm="1">
        <f t="array" aca="1" ref="D33" ca="1">INDEX({"MedSupply Co","HealthCorp","PharmaPlus","GlobalMed"}, RANDBETWEEN(1,4))</f>
        <v>MedSupply Co</v>
      </c>
      <c r="E33">
        <f t="shared" ca="1" si="1"/>
        <v>9</v>
      </c>
      <c r="F33">
        <f t="shared" ca="1" si="2"/>
        <v>28</v>
      </c>
      <c r="G33">
        <f t="shared" ca="1" si="3"/>
        <v>1.97</v>
      </c>
      <c r="H33" s="1">
        <f t="shared" ca="1" si="4"/>
        <v>46360</v>
      </c>
      <c r="I33" s="1">
        <f t="shared" ca="1" si="5"/>
        <v>46054</v>
      </c>
      <c r="J33">
        <f t="shared" ca="1" si="6"/>
        <v>17.73</v>
      </c>
      <c r="K33" t="str">
        <f t="shared" ca="1" si="7"/>
        <v>Low Stock</v>
      </c>
      <c r="L33" s="2">
        <f t="shared" ca="1" si="8"/>
        <v>241</v>
      </c>
      <c r="M33" t="str">
        <f t="shared" ca="1" si="9"/>
        <v>Safe</v>
      </c>
    </row>
    <row r="34" spans="1:13" x14ac:dyDescent="0.25">
      <c r="A34" t="str">
        <f t="shared" si="0"/>
        <v>M033</v>
      </c>
      <c r="B34" t="str" cm="1">
        <f t="array" aca="1" ref="B34" ca="1">INDEX({"Paracetamol","Amoxicillin","Ibuprofen","Cetirizine","Metformin","Amlodipine","Omeprazole","Azithromycin","Losartan","Vitamin C"}, RANDBETWEEN(1,10))</f>
        <v>Paracetamol</v>
      </c>
      <c r="C34" t="str" cm="1">
        <f t="array" aca="1" ref="C34" ca="1">INDEX({"Painkiller","Antibiotic","Painkiller","Antihistamine","Diabetes","Hypertension","Antacid","Antibiotic","Hypertension","Supplement"},
MATCH(B34,{"Paracetamol","Amoxicillin","Ibuprofen","Cetirizine","Metformin","Amlodipine","Omeprazole","Azithromycin","Losartan","Vitamin C"},0))</f>
        <v>Painkiller</v>
      </c>
      <c r="D34" t="str" cm="1">
        <f t="array" aca="1" ref="D34" ca="1">INDEX({"MedSupply Co","HealthCorp","PharmaPlus","GlobalMed"}, RANDBETWEEN(1,4))</f>
        <v>GlobalMed</v>
      </c>
      <c r="E34">
        <f t="shared" ca="1" si="1"/>
        <v>165</v>
      </c>
      <c r="F34">
        <f t="shared" ca="1" si="2"/>
        <v>29</v>
      </c>
      <c r="G34">
        <f t="shared" ca="1" si="3"/>
        <v>1.17</v>
      </c>
      <c r="H34" s="1">
        <f t="shared" ca="1" si="4"/>
        <v>46342</v>
      </c>
      <c r="I34" s="1">
        <f t="shared" ca="1" si="5"/>
        <v>45968</v>
      </c>
      <c r="J34">
        <f t="shared" ca="1" si="6"/>
        <v>193.04999999999998</v>
      </c>
      <c r="K34" t="str">
        <f t="shared" ca="1" si="7"/>
        <v>In Stock</v>
      </c>
      <c r="L34" s="2">
        <f t="shared" ca="1" si="8"/>
        <v>223</v>
      </c>
      <c r="M34" t="str">
        <f t="shared" ca="1" si="9"/>
        <v>Safe</v>
      </c>
    </row>
    <row r="35" spans="1:13" x14ac:dyDescent="0.25">
      <c r="A35" t="str">
        <f t="shared" si="0"/>
        <v>M034</v>
      </c>
      <c r="B35" t="str" cm="1">
        <f t="array" aca="1" ref="B35" ca="1">INDEX({"Paracetamol","Amoxicillin","Ibuprofen","Cetirizine","Metformin","Amlodipine","Omeprazole","Azithromycin","Losartan","Vitamin C"}, RANDBETWEEN(1,10))</f>
        <v>Losartan</v>
      </c>
      <c r="C35" t="str" cm="1">
        <f t="array" aca="1" ref="C35" ca="1">INDEX({"Painkiller","Antibiotic","Painkiller","Antihistamine","Diabetes","Hypertension","Antacid","Antibiotic","Hypertension","Supplement"},
MATCH(B35,{"Paracetamol","Amoxicillin","Ibuprofen","Cetirizine","Metformin","Amlodipine","Omeprazole","Azithromycin","Losartan","Vitamin C"},0))</f>
        <v>Hypertension</v>
      </c>
      <c r="D35" t="str" cm="1">
        <f t="array" aca="1" ref="D35" ca="1">INDEX({"MedSupply Co","HealthCorp","PharmaPlus","GlobalMed"}, RANDBETWEEN(1,4))</f>
        <v>HealthCorp</v>
      </c>
      <c r="E35">
        <f t="shared" ca="1" si="1"/>
        <v>53</v>
      </c>
      <c r="F35">
        <f t="shared" ca="1" si="2"/>
        <v>21</v>
      </c>
      <c r="G35">
        <f t="shared" ca="1" si="3"/>
        <v>1.42</v>
      </c>
      <c r="H35" s="1">
        <f t="shared" ca="1" si="4"/>
        <v>46367</v>
      </c>
      <c r="I35" s="1">
        <f t="shared" ca="1" si="5"/>
        <v>46006</v>
      </c>
      <c r="J35">
        <f t="shared" ca="1" si="6"/>
        <v>75.259999999999991</v>
      </c>
      <c r="K35" t="str">
        <f t="shared" ca="1" si="7"/>
        <v>In Stock</v>
      </c>
      <c r="L35" s="2">
        <f t="shared" ca="1" si="8"/>
        <v>248</v>
      </c>
      <c r="M35" t="str">
        <f t="shared" ca="1" si="9"/>
        <v>Safe</v>
      </c>
    </row>
    <row r="36" spans="1:13" x14ac:dyDescent="0.25">
      <c r="A36" t="str">
        <f t="shared" si="0"/>
        <v>M035</v>
      </c>
      <c r="B36" t="str" cm="1">
        <f t="array" aca="1" ref="B36" ca="1">INDEX({"Paracetamol","Amoxicillin","Ibuprofen","Cetirizine","Metformin","Amlodipine","Omeprazole","Azithromycin","Losartan","Vitamin C"}, RANDBETWEEN(1,10))</f>
        <v>Amlodipine</v>
      </c>
      <c r="C36" t="str" cm="1">
        <f t="array" aca="1" ref="C36" ca="1">INDEX({"Painkiller","Antibiotic","Painkiller","Antihistamine","Diabetes","Hypertension","Antacid","Antibiotic","Hypertension","Supplement"},
MATCH(B36,{"Paracetamol","Amoxicillin","Ibuprofen","Cetirizine","Metformin","Amlodipine","Omeprazole","Azithromycin","Losartan","Vitamin C"},0))</f>
        <v>Hypertension</v>
      </c>
      <c r="D36" t="str" cm="1">
        <f t="array" aca="1" ref="D36" ca="1">INDEX({"MedSupply Co","HealthCorp","PharmaPlus","GlobalMed"}, RANDBETWEEN(1,4))</f>
        <v>PharmaPlus</v>
      </c>
      <c r="E36">
        <f t="shared" ca="1" si="1"/>
        <v>72</v>
      </c>
      <c r="F36">
        <f t="shared" ca="1" si="2"/>
        <v>41</v>
      </c>
      <c r="G36">
        <f t="shared" ca="1" si="3"/>
        <v>1.43</v>
      </c>
      <c r="H36" s="1">
        <f t="shared" ca="1" si="4"/>
        <v>46482</v>
      </c>
      <c r="I36" s="1">
        <f t="shared" ca="1" si="5"/>
        <v>46076</v>
      </c>
      <c r="J36">
        <f t="shared" ca="1" si="6"/>
        <v>102.96</v>
      </c>
      <c r="K36" t="str">
        <f t="shared" ca="1" si="7"/>
        <v>In Stock</v>
      </c>
      <c r="L36" s="2">
        <f t="shared" ca="1" si="8"/>
        <v>363</v>
      </c>
      <c r="M36" t="str">
        <f t="shared" ca="1" si="9"/>
        <v>Safe</v>
      </c>
    </row>
    <row r="37" spans="1:13" x14ac:dyDescent="0.25">
      <c r="A37" t="str">
        <f t="shared" si="0"/>
        <v>M036</v>
      </c>
      <c r="B37" t="str" cm="1">
        <f t="array" aca="1" ref="B37" ca="1">INDEX({"Paracetamol","Amoxicillin","Ibuprofen","Cetirizine","Metformin","Amlodipine","Omeprazole","Azithromycin","Losartan","Vitamin C"}, RANDBETWEEN(1,10))</f>
        <v>Losartan</v>
      </c>
      <c r="C37" t="str" cm="1">
        <f t="array" aca="1" ref="C37" ca="1">INDEX({"Painkiller","Antibiotic","Painkiller","Antihistamine","Diabetes","Hypertension","Antacid","Antibiotic","Hypertension","Supplement"},
MATCH(B37,{"Paracetamol","Amoxicillin","Ibuprofen","Cetirizine","Metformin","Amlodipine","Omeprazole","Azithromycin","Losartan","Vitamin C"},0))</f>
        <v>Hypertension</v>
      </c>
      <c r="D37" t="str" cm="1">
        <f t="array" aca="1" ref="D37" ca="1">INDEX({"MedSupply Co","HealthCorp","PharmaPlus","GlobalMed"}, RANDBETWEEN(1,4))</f>
        <v>HealthCorp</v>
      </c>
      <c r="E37">
        <f t="shared" ca="1" si="1"/>
        <v>159</v>
      </c>
      <c r="F37">
        <f t="shared" ca="1" si="2"/>
        <v>41</v>
      </c>
      <c r="G37">
        <f t="shared" ca="1" si="3"/>
        <v>1.7</v>
      </c>
      <c r="H37" s="1">
        <f t="shared" ca="1" si="4"/>
        <v>46203</v>
      </c>
      <c r="I37" s="1">
        <f t="shared" ca="1" si="5"/>
        <v>45967</v>
      </c>
      <c r="J37">
        <f t="shared" ca="1" si="6"/>
        <v>270.3</v>
      </c>
      <c r="K37" t="str">
        <f t="shared" ca="1" si="7"/>
        <v>In Stock</v>
      </c>
      <c r="L37" s="2">
        <f t="shared" ca="1" si="8"/>
        <v>84</v>
      </c>
      <c r="M37" t="str">
        <f t="shared" ca="1" si="9"/>
        <v>Safe</v>
      </c>
    </row>
    <row r="38" spans="1:13" x14ac:dyDescent="0.25">
      <c r="A38" t="str">
        <f t="shared" si="0"/>
        <v>M037</v>
      </c>
      <c r="B38" t="str" cm="1">
        <f t="array" aca="1" ref="B38" ca="1">INDEX({"Paracetamol","Amoxicillin","Ibuprofen","Cetirizine","Metformin","Amlodipine","Omeprazole","Azithromycin","Losartan","Vitamin C"}, RANDBETWEEN(1,10))</f>
        <v>Losartan</v>
      </c>
      <c r="C38" t="str" cm="1">
        <f t="array" aca="1" ref="C38" ca="1">INDEX({"Painkiller","Antibiotic","Painkiller","Antihistamine","Diabetes","Hypertension","Antacid","Antibiotic","Hypertension","Supplement"},
MATCH(B38,{"Paracetamol","Amoxicillin","Ibuprofen","Cetirizine","Metformin","Amlodipine","Omeprazole","Azithromycin","Losartan","Vitamin C"},0))</f>
        <v>Hypertension</v>
      </c>
      <c r="D38" t="str" cm="1">
        <f t="array" aca="1" ref="D38" ca="1">INDEX({"MedSupply Co","HealthCorp","PharmaPlus","GlobalMed"}, RANDBETWEEN(1,4))</f>
        <v>GlobalMed</v>
      </c>
      <c r="E38">
        <f t="shared" ca="1" si="1"/>
        <v>149</v>
      </c>
      <c r="F38">
        <f t="shared" ca="1" si="2"/>
        <v>26</v>
      </c>
      <c r="G38">
        <f t="shared" ca="1" si="3"/>
        <v>1.03</v>
      </c>
      <c r="H38" s="1">
        <f t="shared" ca="1" si="4"/>
        <v>46484</v>
      </c>
      <c r="I38" s="1">
        <f t="shared" ca="1" si="5"/>
        <v>46012</v>
      </c>
      <c r="J38">
        <f t="shared" ca="1" si="6"/>
        <v>153.47</v>
      </c>
      <c r="K38" t="str">
        <f t="shared" ca="1" si="7"/>
        <v>In Stock</v>
      </c>
      <c r="L38" s="2">
        <f t="shared" ca="1" si="8"/>
        <v>365</v>
      </c>
      <c r="M38" t="str">
        <f t="shared" ca="1" si="9"/>
        <v>Safe</v>
      </c>
    </row>
    <row r="39" spans="1:13" x14ac:dyDescent="0.25">
      <c r="A39" t="str">
        <f t="shared" si="0"/>
        <v>M038</v>
      </c>
      <c r="B39" t="str" cm="1">
        <f t="array" aca="1" ref="B39" ca="1">INDEX({"Paracetamol","Amoxicillin","Ibuprofen","Cetirizine","Metformin","Amlodipine","Omeprazole","Azithromycin","Losartan","Vitamin C"}, RANDBETWEEN(1,10))</f>
        <v>Ibuprofen</v>
      </c>
      <c r="C39" t="str" cm="1">
        <f t="array" aca="1" ref="C39" ca="1">INDEX({"Painkiller","Antibiotic","Painkiller","Antihistamine","Diabetes","Hypertension","Antacid","Antibiotic","Hypertension","Supplement"},
MATCH(B39,{"Paracetamol","Amoxicillin","Ibuprofen","Cetirizine","Metformin","Amlodipine","Omeprazole","Azithromycin","Losartan","Vitamin C"},0))</f>
        <v>Painkiller</v>
      </c>
      <c r="D39" t="str" cm="1">
        <f t="array" aca="1" ref="D39" ca="1">INDEX({"MedSupply Co","HealthCorp","PharmaPlus","GlobalMed"}, RANDBETWEEN(1,4))</f>
        <v>GlobalMed</v>
      </c>
      <c r="E39">
        <f t="shared" ca="1" si="1"/>
        <v>69</v>
      </c>
      <c r="F39">
        <f t="shared" ca="1" si="2"/>
        <v>53</v>
      </c>
      <c r="G39">
        <f t="shared" ca="1" si="3"/>
        <v>0.6</v>
      </c>
      <c r="H39" s="1">
        <f t="shared" ca="1" si="4"/>
        <v>46179</v>
      </c>
      <c r="I39" s="1">
        <f t="shared" ca="1" si="5"/>
        <v>45968</v>
      </c>
      <c r="J39">
        <f t="shared" ca="1" si="6"/>
        <v>41.4</v>
      </c>
      <c r="K39" t="str">
        <f t="shared" ca="1" si="7"/>
        <v>In Stock</v>
      </c>
      <c r="L39" s="2">
        <f t="shared" ca="1" si="8"/>
        <v>60</v>
      </c>
      <c r="M39" t="str">
        <f t="shared" ca="1" si="9"/>
        <v>Safe</v>
      </c>
    </row>
    <row r="40" spans="1:13" x14ac:dyDescent="0.25">
      <c r="A40" t="str">
        <f t="shared" si="0"/>
        <v>M039</v>
      </c>
      <c r="B40" t="str" cm="1">
        <f t="array" aca="1" ref="B40" ca="1">INDEX({"Paracetamol","Amoxicillin","Ibuprofen","Cetirizine","Metformin","Amlodipine","Omeprazole","Azithromycin","Losartan","Vitamin C"}, RANDBETWEEN(1,10))</f>
        <v>Losartan</v>
      </c>
      <c r="C40" t="str" cm="1">
        <f t="array" aca="1" ref="C40" ca="1">INDEX({"Painkiller","Antibiotic","Painkiller","Antihistamine","Diabetes","Hypertension","Antacid","Antibiotic","Hypertension","Supplement"},
MATCH(B40,{"Paracetamol","Amoxicillin","Ibuprofen","Cetirizine","Metformin","Amlodipine","Omeprazole","Azithromycin","Losartan","Vitamin C"},0))</f>
        <v>Hypertension</v>
      </c>
      <c r="D40" t="str" cm="1">
        <f t="array" aca="1" ref="D40" ca="1">INDEX({"MedSupply Co","HealthCorp","PharmaPlus","GlobalMed"}, RANDBETWEEN(1,4))</f>
        <v>PharmaPlus</v>
      </c>
      <c r="E40">
        <f t="shared" ca="1" si="1"/>
        <v>137</v>
      </c>
      <c r="F40">
        <f t="shared" ca="1" si="2"/>
        <v>55</v>
      </c>
      <c r="G40">
        <f t="shared" ca="1" si="3"/>
        <v>1.57</v>
      </c>
      <c r="H40" s="1">
        <f t="shared" ca="1" si="4"/>
        <v>46274</v>
      </c>
      <c r="I40" s="1">
        <f t="shared" ca="1" si="5"/>
        <v>45993</v>
      </c>
      <c r="J40">
        <f t="shared" ca="1" si="6"/>
        <v>215.09</v>
      </c>
      <c r="K40" t="str">
        <f t="shared" ca="1" si="7"/>
        <v>In Stock</v>
      </c>
      <c r="L40" s="2">
        <f t="shared" ca="1" si="8"/>
        <v>155</v>
      </c>
      <c r="M40" t="str">
        <f t="shared" ca="1" si="9"/>
        <v>Safe</v>
      </c>
    </row>
    <row r="41" spans="1:13" x14ac:dyDescent="0.25">
      <c r="A41" t="str">
        <f t="shared" si="0"/>
        <v>M040</v>
      </c>
      <c r="B41" t="str" cm="1">
        <f t="array" aca="1" ref="B41" ca="1">INDEX({"Paracetamol","Amoxicillin","Ibuprofen","Cetirizine","Metformin","Amlodipine","Omeprazole","Azithromycin","Losartan","Vitamin C"}, RANDBETWEEN(1,10))</f>
        <v>Metformin</v>
      </c>
      <c r="C41" t="str" cm="1">
        <f t="array" aca="1" ref="C41" ca="1">INDEX({"Painkiller","Antibiotic","Painkiller","Antihistamine","Diabetes","Hypertension","Antacid","Antibiotic","Hypertension","Supplement"},
MATCH(B41,{"Paracetamol","Amoxicillin","Ibuprofen","Cetirizine","Metformin","Amlodipine","Omeprazole","Azithromycin","Losartan","Vitamin C"},0))</f>
        <v>Diabetes</v>
      </c>
      <c r="D41" t="str" cm="1">
        <f t="array" aca="1" ref="D41" ca="1">INDEX({"MedSupply Co","HealthCorp","PharmaPlus","GlobalMed"}, RANDBETWEEN(1,4))</f>
        <v>HealthCorp</v>
      </c>
      <c r="E41">
        <f t="shared" ca="1" si="1"/>
        <v>196</v>
      </c>
      <c r="F41">
        <f t="shared" ca="1" si="2"/>
        <v>32</v>
      </c>
      <c r="G41">
        <f t="shared" ca="1" si="3"/>
        <v>1.97</v>
      </c>
      <c r="H41" s="1">
        <f t="shared" ca="1" si="4"/>
        <v>46383</v>
      </c>
      <c r="I41" s="1">
        <f t="shared" ca="1" si="5"/>
        <v>46059</v>
      </c>
      <c r="J41">
        <f t="shared" ca="1" si="6"/>
        <v>386.12</v>
      </c>
      <c r="K41" t="str">
        <f t="shared" ca="1" si="7"/>
        <v>In Stock</v>
      </c>
      <c r="L41" s="2">
        <f t="shared" ca="1" si="8"/>
        <v>264</v>
      </c>
      <c r="M41" t="str">
        <f t="shared" ca="1" si="9"/>
        <v>Safe</v>
      </c>
    </row>
    <row r="42" spans="1:13" x14ac:dyDescent="0.25">
      <c r="A42" t="str">
        <f t="shared" si="0"/>
        <v>M041</v>
      </c>
      <c r="B42" t="str" cm="1">
        <f t="array" aca="1" ref="B42" ca="1">INDEX({"Paracetamol","Amoxicillin","Ibuprofen","Cetirizine","Metformin","Amlodipine","Omeprazole","Azithromycin","Losartan","Vitamin C"}, RANDBETWEEN(1,10))</f>
        <v>Amoxicillin</v>
      </c>
      <c r="C42" t="str" cm="1">
        <f t="array" aca="1" ref="C42" ca="1">INDEX({"Painkiller","Antibiotic","Painkiller","Antihistamine","Diabetes","Hypertension","Antacid","Antibiotic","Hypertension","Supplement"},
MATCH(B42,{"Paracetamol","Amoxicillin","Ibuprofen","Cetirizine","Metformin","Amlodipine","Omeprazole","Azithromycin","Losartan","Vitamin C"},0))</f>
        <v>Antibiotic</v>
      </c>
      <c r="D42" t="str" cm="1">
        <f t="array" aca="1" ref="D42" ca="1">INDEX({"MedSupply Co","HealthCorp","PharmaPlus","GlobalMed"}, RANDBETWEEN(1,4))</f>
        <v>HealthCorp</v>
      </c>
      <c r="E42">
        <f t="shared" ca="1" si="1"/>
        <v>47</v>
      </c>
      <c r="F42">
        <f t="shared" ca="1" si="2"/>
        <v>34</v>
      </c>
      <c r="G42">
        <f t="shared" ca="1" si="3"/>
        <v>1.1100000000000001</v>
      </c>
      <c r="H42" s="1">
        <f t="shared" ca="1" si="4"/>
        <v>46470</v>
      </c>
      <c r="I42" s="1">
        <f t="shared" ca="1" si="5"/>
        <v>46001</v>
      </c>
      <c r="J42">
        <f t="shared" ca="1" si="6"/>
        <v>52.17</v>
      </c>
      <c r="K42" t="str">
        <f t="shared" ca="1" si="7"/>
        <v>In Stock</v>
      </c>
      <c r="L42" s="2">
        <f t="shared" ca="1" si="8"/>
        <v>351</v>
      </c>
      <c r="M42" t="str">
        <f t="shared" ca="1" si="9"/>
        <v>Safe</v>
      </c>
    </row>
    <row r="43" spans="1:13" x14ac:dyDescent="0.25">
      <c r="A43" t="str">
        <f t="shared" si="0"/>
        <v>M042</v>
      </c>
      <c r="B43" t="str" cm="1">
        <f t="array" aca="1" ref="B43" ca="1">INDEX({"Paracetamol","Amoxicillin","Ibuprofen","Cetirizine","Metformin","Amlodipine","Omeprazole","Azithromycin","Losartan","Vitamin C"}, RANDBETWEEN(1,10))</f>
        <v>Losartan</v>
      </c>
      <c r="C43" t="str" cm="1">
        <f t="array" aca="1" ref="C43" ca="1">INDEX({"Painkiller","Antibiotic","Painkiller","Antihistamine","Diabetes","Hypertension","Antacid","Antibiotic","Hypertension","Supplement"},
MATCH(B43,{"Paracetamol","Amoxicillin","Ibuprofen","Cetirizine","Metformin","Amlodipine","Omeprazole","Azithromycin","Losartan","Vitamin C"},0))</f>
        <v>Hypertension</v>
      </c>
      <c r="D43" t="str" cm="1">
        <f t="array" aca="1" ref="D43" ca="1">INDEX({"MedSupply Co","HealthCorp","PharmaPlus","GlobalMed"}, RANDBETWEEN(1,4))</f>
        <v>GlobalMed</v>
      </c>
      <c r="E43">
        <f t="shared" ca="1" si="1"/>
        <v>171</v>
      </c>
      <c r="F43">
        <f t="shared" ca="1" si="2"/>
        <v>26</v>
      </c>
      <c r="G43">
        <f t="shared" ca="1" si="3"/>
        <v>0.9</v>
      </c>
      <c r="H43" s="1">
        <f t="shared" ca="1" si="4"/>
        <v>46417</v>
      </c>
      <c r="I43" s="1">
        <f t="shared" ca="1" si="5"/>
        <v>46093</v>
      </c>
      <c r="J43">
        <f t="shared" ca="1" si="6"/>
        <v>153.9</v>
      </c>
      <c r="K43" t="str">
        <f t="shared" ca="1" si="7"/>
        <v>In Stock</v>
      </c>
      <c r="L43" s="2">
        <f t="shared" ca="1" si="8"/>
        <v>298</v>
      </c>
      <c r="M43" t="str">
        <f t="shared" ca="1" si="9"/>
        <v>Safe</v>
      </c>
    </row>
    <row r="44" spans="1:13" x14ac:dyDescent="0.25">
      <c r="A44" t="str">
        <f t="shared" si="0"/>
        <v>M043</v>
      </c>
      <c r="B44" t="str" cm="1">
        <f t="array" aca="1" ref="B44" ca="1">INDEX({"Paracetamol","Amoxicillin","Ibuprofen","Cetirizine","Metformin","Amlodipine","Omeprazole","Azithromycin","Losartan","Vitamin C"}, RANDBETWEEN(1,10))</f>
        <v>Amlodipine</v>
      </c>
      <c r="C44" t="str" cm="1">
        <f t="array" aca="1" ref="C44" ca="1">INDEX({"Painkiller","Antibiotic","Painkiller","Antihistamine","Diabetes","Hypertension","Antacid","Antibiotic","Hypertension","Supplement"},
MATCH(B44,{"Paracetamol","Amoxicillin","Ibuprofen","Cetirizine","Metformin","Amlodipine","Omeprazole","Azithromycin","Losartan","Vitamin C"},0))</f>
        <v>Hypertension</v>
      </c>
      <c r="D44" t="str" cm="1">
        <f t="array" aca="1" ref="D44" ca="1">INDEX({"MedSupply Co","HealthCorp","PharmaPlus","GlobalMed"}, RANDBETWEEN(1,4))</f>
        <v>MedSupply Co</v>
      </c>
      <c r="E44">
        <f t="shared" ca="1" si="1"/>
        <v>133</v>
      </c>
      <c r="F44">
        <f t="shared" ca="1" si="2"/>
        <v>74</v>
      </c>
      <c r="G44">
        <f t="shared" ca="1" si="3"/>
        <v>1.26</v>
      </c>
      <c r="H44" s="1">
        <f t="shared" ca="1" si="4"/>
        <v>46334</v>
      </c>
      <c r="I44" s="1">
        <f t="shared" ca="1" si="5"/>
        <v>46018</v>
      </c>
      <c r="J44">
        <f t="shared" ca="1" si="6"/>
        <v>167.58</v>
      </c>
      <c r="K44" t="str">
        <f t="shared" ca="1" si="7"/>
        <v>In Stock</v>
      </c>
      <c r="L44" s="2">
        <f t="shared" ca="1" si="8"/>
        <v>215</v>
      </c>
      <c r="M44" t="str">
        <f t="shared" ca="1" si="9"/>
        <v>Safe</v>
      </c>
    </row>
    <row r="45" spans="1:13" x14ac:dyDescent="0.25">
      <c r="A45" t="str">
        <f t="shared" si="0"/>
        <v>M044</v>
      </c>
      <c r="B45" t="str" cm="1">
        <f t="array" aca="1" ref="B45" ca="1">INDEX({"Paracetamol","Amoxicillin","Ibuprofen","Cetirizine","Metformin","Amlodipine","Omeprazole","Azithromycin","Losartan","Vitamin C"}, RANDBETWEEN(1,10))</f>
        <v>Losartan</v>
      </c>
      <c r="C45" t="str" cm="1">
        <f t="array" aca="1" ref="C45" ca="1">INDEX({"Painkiller","Antibiotic","Painkiller","Antihistamine","Diabetes","Hypertension","Antacid","Antibiotic","Hypertension","Supplement"},
MATCH(B45,{"Paracetamol","Amoxicillin","Ibuprofen","Cetirizine","Metformin","Amlodipine","Omeprazole","Azithromycin","Losartan","Vitamin C"},0))</f>
        <v>Hypertension</v>
      </c>
      <c r="D45" t="str" cm="1">
        <f t="array" aca="1" ref="D45" ca="1">INDEX({"MedSupply Co","HealthCorp","PharmaPlus","GlobalMed"}, RANDBETWEEN(1,4))</f>
        <v>MedSupply Co</v>
      </c>
      <c r="E45">
        <f t="shared" ca="1" si="1"/>
        <v>196</v>
      </c>
      <c r="F45">
        <f t="shared" ca="1" si="2"/>
        <v>25</v>
      </c>
      <c r="G45">
        <f t="shared" ca="1" si="3"/>
        <v>1.8</v>
      </c>
      <c r="H45" s="1">
        <f t="shared" ca="1" si="4"/>
        <v>46169</v>
      </c>
      <c r="I45" s="1">
        <f t="shared" ca="1" si="5"/>
        <v>45973</v>
      </c>
      <c r="J45">
        <f t="shared" ca="1" si="6"/>
        <v>352.8</v>
      </c>
      <c r="K45" t="str">
        <f t="shared" ca="1" si="7"/>
        <v>In Stock</v>
      </c>
      <c r="L45" s="2">
        <f t="shared" ca="1" si="8"/>
        <v>50</v>
      </c>
      <c r="M45" t="str">
        <f t="shared" ca="1" si="9"/>
        <v>Safe</v>
      </c>
    </row>
    <row r="46" spans="1:13" x14ac:dyDescent="0.25">
      <c r="A46" t="str">
        <f t="shared" si="0"/>
        <v>M045</v>
      </c>
      <c r="B46" t="str" cm="1">
        <f t="array" aca="1" ref="B46" ca="1">INDEX({"Paracetamol","Amoxicillin","Ibuprofen","Cetirizine","Metformin","Amlodipine","Omeprazole","Azithromycin","Losartan","Vitamin C"}, RANDBETWEEN(1,10))</f>
        <v>Metformin</v>
      </c>
      <c r="C46" t="str" cm="1">
        <f t="array" aca="1" ref="C46" ca="1">INDEX({"Painkiller","Antibiotic","Painkiller","Antihistamine","Diabetes","Hypertension","Antacid","Antibiotic","Hypertension","Supplement"},
MATCH(B46,{"Paracetamol","Amoxicillin","Ibuprofen","Cetirizine","Metformin","Amlodipine","Omeprazole","Azithromycin","Losartan","Vitamin C"},0))</f>
        <v>Diabetes</v>
      </c>
      <c r="D46" t="str" cm="1">
        <f t="array" aca="1" ref="D46" ca="1">INDEX({"MedSupply Co","HealthCorp","PharmaPlus","GlobalMed"}, RANDBETWEEN(1,4))</f>
        <v>MedSupply Co</v>
      </c>
      <c r="E46">
        <f t="shared" ca="1" si="1"/>
        <v>85</v>
      </c>
      <c r="F46">
        <f t="shared" ca="1" si="2"/>
        <v>47</v>
      </c>
      <c r="G46">
        <f t="shared" ca="1" si="3"/>
        <v>1.31</v>
      </c>
      <c r="H46" s="1">
        <f t="shared" ca="1" si="4"/>
        <v>46207</v>
      </c>
      <c r="I46" s="1">
        <f t="shared" ca="1" si="5"/>
        <v>46098</v>
      </c>
      <c r="J46">
        <f t="shared" ca="1" si="6"/>
        <v>111.35000000000001</v>
      </c>
      <c r="K46" t="str">
        <f t="shared" ca="1" si="7"/>
        <v>In Stock</v>
      </c>
      <c r="L46" s="2">
        <f t="shared" ca="1" si="8"/>
        <v>88</v>
      </c>
      <c r="M46" t="str">
        <f t="shared" ca="1" si="9"/>
        <v>Safe</v>
      </c>
    </row>
    <row r="47" spans="1:13" x14ac:dyDescent="0.25">
      <c r="A47" t="str">
        <f t="shared" si="0"/>
        <v>M046</v>
      </c>
      <c r="B47" t="str" cm="1">
        <f t="array" aca="1" ref="B47" ca="1">INDEX({"Paracetamol","Amoxicillin","Ibuprofen","Cetirizine","Metformin","Amlodipine","Omeprazole","Azithromycin","Losartan","Vitamin C"}, RANDBETWEEN(1,10))</f>
        <v>Paracetamol</v>
      </c>
      <c r="C47" t="str" cm="1">
        <f t="array" aca="1" ref="C47" ca="1">INDEX({"Painkiller","Antibiotic","Painkiller","Antihistamine","Diabetes","Hypertension","Antacid","Antibiotic","Hypertension","Supplement"},
MATCH(B47,{"Paracetamol","Amoxicillin","Ibuprofen","Cetirizine","Metformin","Amlodipine","Omeprazole","Azithromycin","Losartan","Vitamin C"},0))</f>
        <v>Painkiller</v>
      </c>
      <c r="D47" t="str" cm="1">
        <f t="array" aca="1" ref="D47" ca="1">INDEX({"MedSupply Co","HealthCorp","PharmaPlus","GlobalMed"}, RANDBETWEEN(1,4))</f>
        <v>MedSupply Co</v>
      </c>
      <c r="E47">
        <f t="shared" ca="1" si="1"/>
        <v>188</v>
      </c>
      <c r="F47">
        <f t="shared" ca="1" si="2"/>
        <v>86</v>
      </c>
      <c r="G47">
        <f t="shared" ca="1" si="3"/>
        <v>1.48</v>
      </c>
      <c r="H47" s="1">
        <f t="shared" ca="1" si="4"/>
        <v>46335</v>
      </c>
      <c r="I47" s="1">
        <f t="shared" ca="1" si="5"/>
        <v>45951</v>
      </c>
      <c r="J47">
        <f t="shared" ca="1" si="6"/>
        <v>278.24</v>
      </c>
      <c r="K47" t="str">
        <f t="shared" ca="1" si="7"/>
        <v>In Stock</v>
      </c>
      <c r="L47" s="2">
        <f t="shared" ca="1" si="8"/>
        <v>216</v>
      </c>
      <c r="M47" t="str">
        <f t="shared" ca="1" si="9"/>
        <v>Safe</v>
      </c>
    </row>
    <row r="48" spans="1:13" x14ac:dyDescent="0.25">
      <c r="A48" t="str">
        <f t="shared" si="0"/>
        <v>M047</v>
      </c>
      <c r="B48" t="str" cm="1">
        <f t="array" aca="1" ref="B48" ca="1">INDEX({"Paracetamol","Amoxicillin","Ibuprofen","Cetirizine","Metformin","Amlodipine","Omeprazole","Azithromycin","Losartan","Vitamin C"}, RANDBETWEEN(1,10))</f>
        <v>Vitamin C</v>
      </c>
      <c r="C48" t="str" cm="1">
        <f t="array" aca="1" ref="C48" ca="1">INDEX({"Painkiller","Antibiotic","Painkiller","Antihistamine","Diabetes","Hypertension","Antacid","Antibiotic","Hypertension","Supplement"},
MATCH(B48,{"Paracetamol","Amoxicillin","Ibuprofen","Cetirizine","Metformin","Amlodipine","Omeprazole","Azithromycin","Losartan","Vitamin C"},0))</f>
        <v>Supplement</v>
      </c>
      <c r="D48" t="str" cm="1">
        <f t="array" aca="1" ref="D48" ca="1">INDEX({"MedSupply Co","HealthCorp","PharmaPlus","GlobalMed"}, RANDBETWEEN(1,4))</f>
        <v>PharmaPlus</v>
      </c>
      <c r="E48">
        <f t="shared" ca="1" si="1"/>
        <v>109</v>
      </c>
      <c r="F48">
        <f t="shared" ca="1" si="2"/>
        <v>35</v>
      </c>
      <c r="G48">
        <f t="shared" ca="1" si="3"/>
        <v>1</v>
      </c>
      <c r="H48" s="1">
        <f t="shared" ca="1" si="4"/>
        <v>46340</v>
      </c>
      <c r="I48" s="1">
        <f t="shared" ca="1" si="5"/>
        <v>45951</v>
      </c>
      <c r="J48">
        <f t="shared" ca="1" si="6"/>
        <v>109</v>
      </c>
      <c r="K48" t="str">
        <f t="shared" ca="1" si="7"/>
        <v>In Stock</v>
      </c>
      <c r="L48" s="2">
        <f t="shared" ca="1" si="8"/>
        <v>221</v>
      </c>
      <c r="M48" t="str">
        <f t="shared" ca="1" si="9"/>
        <v>Safe</v>
      </c>
    </row>
    <row r="49" spans="1:13" x14ac:dyDescent="0.25">
      <c r="A49" t="str">
        <f t="shared" si="0"/>
        <v>M048</v>
      </c>
      <c r="B49" t="str" cm="1">
        <f t="array" aca="1" ref="B49" ca="1">INDEX({"Paracetamol","Amoxicillin","Ibuprofen","Cetirizine","Metformin","Amlodipine","Omeprazole","Azithromycin","Losartan","Vitamin C"}, RANDBETWEEN(1,10))</f>
        <v>Vitamin C</v>
      </c>
      <c r="C49" t="str" cm="1">
        <f t="array" aca="1" ref="C49" ca="1">INDEX({"Painkiller","Antibiotic","Painkiller","Antihistamine","Diabetes","Hypertension","Antacid","Antibiotic","Hypertension","Supplement"},
MATCH(B49,{"Paracetamol","Amoxicillin","Ibuprofen","Cetirizine","Metformin","Amlodipine","Omeprazole","Azithromycin","Losartan","Vitamin C"},0))</f>
        <v>Supplement</v>
      </c>
      <c r="D49" t="str" cm="1">
        <f t="array" aca="1" ref="D49" ca="1">INDEX({"MedSupply Co","HealthCorp","PharmaPlus","GlobalMed"}, RANDBETWEEN(1,4))</f>
        <v>GlobalMed</v>
      </c>
      <c r="E49">
        <f t="shared" ca="1" si="1"/>
        <v>189</v>
      </c>
      <c r="F49">
        <f t="shared" ca="1" si="2"/>
        <v>43</v>
      </c>
      <c r="G49">
        <f t="shared" ca="1" si="3"/>
        <v>0.52</v>
      </c>
      <c r="H49" s="1">
        <f t="shared" ca="1" si="4"/>
        <v>46165</v>
      </c>
      <c r="I49" s="1">
        <f t="shared" ca="1" si="5"/>
        <v>46115</v>
      </c>
      <c r="J49">
        <f t="shared" ca="1" si="6"/>
        <v>98.28</v>
      </c>
      <c r="K49" t="str">
        <f t="shared" ca="1" si="7"/>
        <v>In Stock</v>
      </c>
      <c r="L49" s="2">
        <f t="shared" ca="1" si="8"/>
        <v>46</v>
      </c>
      <c r="M49" t="str">
        <f t="shared" ca="1" si="9"/>
        <v>Safe</v>
      </c>
    </row>
    <row r="50" spans="1:13" x14ac:dyDescent="0.25">
      <c r="A50" t="str">
        <f t="shared" si="0"/>
        <v>M049</v>
      </c>
      <c r="B50" t="str" cm="1">
        <f t="array" aca="1" ref="B50" ca="1">INDEX({"Paracetamol","Amoxicillin","Ibuprofen","Cetirizine","Metformin","Amlodipine","Omeprazole","Azithromycin","Losartan","Vitamin C"}, RANDBETWEEN(1,10))</f>
        <v>Amlodipine</v>
      </c>
      <c r="C50" t="str" cm="1">
        <f t="array" aca="1" ref="C50" ca="1">INDEX({"Painkiller","Antibiotic","Painkiller","Antihistamine","Diabetes","Hypertension","Antacid","Antibiotic","Hypertension","Supplement"},
MATCH(B50,{"Paracetamol","Amoxicillin","Ibuprofen","Cetirizine","Metformin","Amlodipine","Omeprazole","Azithromycin","Losartan","Vitamin C"},0))</f>
        <v>Hypertension</v>
      </c>
      <c r="D50" t="str" cm="1">
        <f t="array" aca="1" ref="D50" ca="1">INDEX({"MedSupply Co","HealthCorp","PharmaPlus","GlobalMed"}, RANDBETWEEN(1,4))</f>
        <v>MedSupply Co</v>
      </c>
      <c r="E50">
        <f t="shared" ca="1" si="1"/>
        <v>164</v>
      </c>
      <c r="F50">
        <f t="shared" ca="1" si="2"/>
        <v>83</v>
      </c>
      <c r="G50">
        <f t="shared" ca="1" si="3"/>
        <v>0.76</v>
      </c>
      <c r="H50" s="1">
        <f t="shared" ca="1" si="4"/>
        <v>46175</v>
      </c>
      <c r="I50" s="1">
        <f t="shared" ca="1" si="5"/>
        <v>45981</v>
      </c>
      <c r="J50">
        <f t="shared" ca="1" si="6"/>
        <v>124.64</v>
      </c>
      <c r="K50" t="str">
        <f t="shared" ca="1" si="7"/>
        <v>In Stock</v>
      </c>
      <c r="L50" s="2">
        <f t="shared" ca="1" si="8"/>
        <v>56</v>
      </c>
      <c r="M50" t="str">
        <f t="shared" ca="1" si="9"/>
        <v>Safe</v>
      </c>
    </row>
    <row r="51" spans="1:13" x14ac:dyDescent="0.25">
      <c r="A51" t="str">
        <f t="shared" si="0"/>
        <v>M050</v>
      </c>
      <c r="B51" t="str" cm="1">
        <f t="array" aca="1" ref="B51" ca="1">INDEX({"Paracetamol","Amoxicillin","Ibuprofen","Cetirizine","Metformin","Amlodipine","Omeprazole","Azithromycin","Losartan","Vitamin C"}, RANDBETWEEN(1,10))</f>
        <v>Paracetamol</v>
      </c>
      <c r="C51" t="str" cm="1">
        <f t="array" aca="1" ref="C51" ca="1">INDEX({"Painkiller","Antibiotic","Painkiller","Antihistamine","Diabetes","Hypertension","Antacid","Antibiotic","Hypertension","Supplement"},
MATCH(B51,{"Paracetamol","Amoxicillin","Ibuprofen","Cetirizine","Metformin","Amlodipine","Omeprazole","Azithromycin","Losartan","Vitamin C"},0))</f>
        <v>Painkiller</v>
      </c>
      <c r="D51" t="str" cm="1">
        <f t="array" aca="1" ref="D51" ca="1">INDEX({"MedSupply Co","HealthCorp","PharmaPlus","GlobalMed"}, RANDBETWEEN(1,4))</f>
        <v>MedSupply Co</v>
      </c>
      <c r="E51">
        <f t="shared" ca="1" si="1"/>
        <v>199</v>
      </c>
      <c r="F51">
        <f t="shared" ca="1" si="2"/>
        <v>29</v>
      </c>
      <c r="G51">
        <f t="shared" ca="1" si="3"/>
        <v>1.99</v>
      </c>
      <c r="H51" s="1">
        <f t="shared" ca="1" si="4"/>
        <v>46399</v>
      </c>
      <c r="I51" s="1">
        <f t="shared" ca="1" si="5"/>
        <v>46036</v>
      </c>
      <c r="J51">
        <f t="shared" ca="1" si="6"/>
        <v>396.01</v>
      </c>
      <c r="K51" t="str">
        <f t="shared" ca="1" si="7"/>
        <v>In Stock</v>
      </c>
      <c r="L51" s="2">
        <f t="shared" ca="1" si="8"/>
        <v>280</v>
      </c>
      <c r="M51" t="str">
        <f t="shared" ca="1" si="9"/>
        <v>Safe</v>
      </c>
    </row>
    <row r="52" spans="1:13" x14ac:dyDescent="0.25">
      <c r="A52" t="str">
        <f t="shared" si="0"/>
        <v>M051</v>
      </c>
      <c r="B52" t="str" cm="1">
        <f t="array" aca="1" ref="B52" ca="1">INDEX({"Paracetamol","Amoxicillin","Ibuprofen","Cetirizine","Metformin","Amlodipine","Omeprazole","Azithromycin","Losartan","Vitamin C"}, RANDBETWEEN(1,10))</f>
        <v>Azithromycin</v>
      </c>
      <c r="C52" t="str" cm="1">
        <f t="array" aca="1" ref="C52" ca="1">INDEX({"Painkiller","Antibiotic","Painkiller","Antihistamine","Diabetes","Hypertension","Antacid","Antibiotic","Hypertension","Supplement"},
MATCH(B52,{"Paracetamol","Amoxicillin","Ibuprofen","Cetirizine","Metformin","Amlodipine","Omeprazole","Azithromycin","Losartan","Vitamin C"},0))</f>
        <v>Antibiotic</v>
      </c>
      <c r="D52" t="str" cm="1">
        <f t="array" aca="1" ref="D52" ca="1">INDEX({"MedSupply Co","HealthCorp","PharmaPlus","GlobalMed"}, RANDBETWEEN(1,4))</f>
        <v>GlobalMed</v>
      </c>
      <c r="E52">
        <f t="shared" ca="1" si="1"/>
        <v>110</v>
      </c>
      <c r="F52">
        <f t="shared" ca="1" si="2"/>
        <v>47</v>
      </c>
      <c r="G52">
        <f t="shared" ca="1" si="3"/>
        <v>1.66</v>
      </c>
      <c r="H52" s="1">
        <f t="shared" ca="1" si="4"/>
        <v>46251</v>
      </c>
      <c r="I52" s="1">
        <f t="shared" ca="1" si="5"/>
        <v>45953</v>
      </c>
      <c r="J52">
        <f t="shared" ca="1" si="6"/>
        <v>182.6</v>
      </c>
      <c r="K52" t="str">
        <f t="shared" ca="1" si="7"/>
        <v>In Stock</v>
      </c>
      <c r="L52" s="2">
        <f t="shared" ca="1" si="8"/>
        <v>132</v>
      </c>
      <c r="M52" t="str">
        <f t="shared" ca="1" si="9"/>
        <v>Safe</v>
      </c>
    </row>
    <row r="53" spans="1:13" x14ac:dyDescent="0.25">
      <c r="A53" t="str">
        <f t="shared" si="0"/>
        <v>M052</v>
      </c>
      <c r="B53" t="str" cm="1">
        <f t="array" aca="1" ref="B53" ca="1">INDEX({"Paracetamol","Amoxicillin","Ibuprofen","Cetirizine","Metformin","Amlodipine","Omeprazole","Azithromycin","Losartan","Vitamin C"}, RANDBETWEEN(1,10))</f>
        <v>Omeprazole</v>
      </c>
      <c r="C53" t="str" cm="1">
        <f t="array" aca="1" ref="C53" ca="1">INDEX({"Painkiller","Antibiotic","Painkiller","Antihistamine","Diabetes","Hypertension","Antacid","Antibiotic","Hypertension","Supplement"},
MATCH(B53,{"Paracetamol","Amoxicillin","Ibuprofen","Cetirizine","Metformin","Amlodipine","Omeprazole","Azithromycin","Losartan","Vitamin C"},0))</f>
        <v>Antacid</v>
      </c>
      <c r="D53" t="str" cm="1">
        <f t="array" aca="1" ref="D53" ca="1">INDEX({"MedSupply Co","HealthCorp","PharmaPlus","GlobalMed"}, RANDBETWEEN(1,4))</f>
        <v>PharmaPlus</v>
      </c>
      <c r="E53">
        <f t="shared" ca="1" si="1"/>
        <v>153</v>
      </c>
      <c r="F53">
        <f t="shared" ca="1" si="2"/>
        <v>40</v>
      </c>
      <c r="G53">
        <f t="shared" ca="1" si="3"/>
        <v>1.1399999999999999</v>
      </c>
      <c r="H53" s="1">
        <f t="shared" ca="1" si="4"/>
        <v>46482</v>
      </c>
      <c r="I53" s="1">
        <f t="shared" ca="1" si="5"/>
        <v>45955</v>
      </c>
      <c r="J53">
        <f t="shared" ca="1" si="6"/>
        <v>174.42</v>
      </c>
      <c r="K53" t="str">
        <f t="shared" ca="1" si="7"/>
        <v>In Stock</v>
      </c>
      <c r="L53" s="2">
        <f t="shared" ca="1" si="8"/>
        <v>363</v>
      </c>
      <c r="M53" t="str">
        <f t="shared" ca="1" si="9"/>
        <v>Safe</v>
      </c>
    </row>
    <row r="54" spans="1:13" x14ac:dyDescent="0.25">
      <c r="A54" t="str">
        <f t="shared" si="0"/>
        <v>M053</v>
      </c>
      <c r="B54" t="str" cm="1">
        <f t="array" aca="1" ref="B54" ca="1">INDEX({"Paracetamol","Amoxicillin","Ibuprofen","Cetirizine","Metformin","Amlodipine","Omeprazole","Azithromycin","Losartan","Vitamin C"}, RANDBETWEEN(1,10))</f>
        <v>Losartan</v>
      </c>
      <c r="C54" t="str" cm="1">
        <f t="array" aca="1" ref="C54" ca="1">INDEX({"Painkiller","Antibiotic","Painkiller","Antihistamine","Diabetes","Hypertension","Antacid","Antibiotic","Hypertension","Supplement"},
MATCH(B54,{"Paracetamol","Amoxicillin","Ibuprofen","Cetirizine","Metformin","Amlodipine","Omeprazole","Azithromycin","Losartan","Vitamin C"},0))</f>
        <v>Hypertension</v>
      </c>
      <c r="D54" t="str" cm="1">
        <f t="array" aca="1" ref="D54" ca="1">INDEX({"MedSupply Co","HealthCorp","PharmaPlus","GlobalMed"}, RANDBETWEEN(1,4))</f>
        <v>MedSupply Co</v>
      </c>
      <c r="E54">
        <f t="shared" ca="1" si="1"/>
        <v>47</v>
      </c>
      <c r="F54">
        <f t="shared" ca="1" si="2"/>
        <v>59</v>
      </c>
      <c r="G54">
        <f t="shared" ca="1" si="3"/>
        <v>0.82</v>
      </c>
      <c r="H54" s="1">
        <f t="shared" ca="1" si="4"/>
        <v>46417</v>
      </c>
      <c r="I54" s="1">
        <f t="shared" ca="1" si="5"/>
        <v>45988</v>
      </c>
      <c r="J54">
        <f t="shared" ca="1" si="6"/>
        <v>38.54</v>
      </c>
      <c r="K54" t="str">
        <f t="shared" ca="1" si="7"/>
        <v>Low Stock</v>
      </c>
      <c r="L54" s="2">
        <f t="shared" ca="1" si="8"/>
        <v>298</v>
      </c>
      <c r="M54" t="str">
        <f t="shared" ca="1" si="9"/>
        <v>Safe</v>
      </c>
    </row>
    <row r="55" spans="1:13" x14ac:dyDescent="0.25">
      <c r="A55" t="str">
        <f t="shared" si="0"/>
        <v>M054</v>
      </c>
      <c r="B55" t="str" cm="1">
        <f t="array" aca="1" ref="B55" ca="1">INDEX({"Paracetamol","Amoxicillin","Ibuprofen","Cetirizine","Metformin","Amlodipine","Omeprazole","Azithromycin","Losartan","Vitamin C"}, RANDBETWEEN(1,10))</f>
        <v>Losartan</v>
      </c>
      <c r="C55" t="str" cm="1">
        <f t="array" aca="1" ref="C55" ca="1">INDEX({"Painkiller","Antibiotic","Painkiller","Antihistamine","Diabetes","Hypertension","Antacid","Antibiotic","Hypertension","Supplement"},
MATCH(B55,{"Paracetamol","Amoxicillin","Ibuprofen","Cetirizine","Metformin","Amlodipine","Omeprazole","Azithromycin","Losartan","Vitamin C"},0))</f>
        <v>Hypertension</v>
      </c>
      <c r="D55" t="str" cm="1">
        <f t="array" aca="1" ref="D55" ca="1">INDEX({"MedSupply Co","HealthCorp","PharmaPlus","GlobalMed"}, RANDBETWEEN(1,4))</f>
        <v>GlobalMed</v>
      </c>
      <c r="E55">
        <f t="shared" ca="1" si="1"/>
        <v>140</v>
      </c>
      <c r="F55">
        <f t="shared" ca="1" si="2"/>
        <v>34</v>
      </c>
      <c r="G55">
        <f t="shared" ca="1" si="3"/>
        <v>1.69</v>
      </c>
      <c r="H55" s="1">
        <f t="shared" ca="1" si="4"/>
        <v>46330</v>
      </c>
      <c r="I55" s="1">
        <f t="shared" ca="1" si="5"/>
        <v>46041</v>
      </c>
      <c r="J55">
        <f t="shared" ca="1" si="6"/>
        <v>236.6</v>
      </c>
      <c r="K55" t="str">
        <f t="shared" ca="1" si="7"/>
        <v>In Stock</v>
      </c>
      <c r="L55" s="2">
        <f t="shared" ca="1" si="8"/>
        <v>211</v>
      </c>
      <c r="M55" t="str">
        <f t="shared" ca="1" si="9"/>
        <v>Safe</v>
      </c>
    </row>
    <row r="56" spans="1:13" x14ac:dyDescent="0.25">
      <c r="A56" t="str">
        <f t="shared" si="0"/>
        <v>M055</v>
      </c>
      <c r="B56" t="str" cm="1">
        <f t="array" aca="1" ref="B56" ca="1">INDEX({"Paracetamol","Amoxicillin","Ibuprofen","Cetirizine","Metformin","Amlodipine","Omeprazole","Azithromycin","Losartan","Vitamin C"}, RANDBETWEEN(1,10))</f>
        <v>Metformin</v>
      </c>
      <c r="C56" t="str" cm="1">
        <f t="array" aca="1" ref="C56" ca="1">INDEX({"Painkiller","Antibiotic","Painkiller","Antihistamine","Diabetes","Hypertension","Antacid","Antibiotic","Hypertension","Supplement"},
MATCH(B56,{"Paracetamol","Amoxicillin","Ibuprofen","Cetirizine","Metformin","Amlodipine","Omeprazole","Azithromycin","Losartan","Vitamin C"},0))</f>
        <v>Diabetes</v>
      </c>
      <c r="D56" t="str" cm="1">
        <f t="array" aca="1" ref="D56" ca="1">INDEX({"MedSupply Co","HealthCorp","PharmaPlus","GlobalMed"}, RANDBETWEEN(1,4))</f>
        <v>MedSupply Co</v>
      </c>
      <c r="E56">
        <f t="shared" ca="1" si="1"/>
        <v>35</v>
      </c>
      <c r="F56">
        <f t="shared" ca="1" si="2"/>
        <v>31</v>
      </c>
      <c r="G56">
        <f t="shared" ca="1" si="3"/>
        <v>0.98</v>
      </c>
      <c r="H56" s="1">
        <f t="shared" ca="1" si="4"/>
        <v>46316</v>
      </c>
      <c r="I56" s="1">
        <f t="shared" ca="1" si="5"/>
        <v>45980</v>
      </c>
      <c r="J56">
        <f t="shared" ca="1" si="6"/>
        <v>34.299999999999997</v>
      </c>
      <c r="K56" t="str">
        <f t="shared" ca="1" si="7"/>
        <v>In Stock</v>
      </c>
      <c r="L56" s="2">
        <f t="shared" ca="1" si="8"/>
        <v>197</v>
      </c>
      <c r="M56" t="str">
        <f t="shared" ca="1" si="9"/>
        <v>Safe</v>
      </c>
    </row>
    <row r="57" spans="1:13" x14ac:dyDescent="0.25">
      <c r="A57" t="str">
        <f t="shared" si="0"/>
        <v>M056</v>
      </c>
      <c r="B57" t="str" cm="1">
        <f t="array" aca="1" ref="B57" ca="1">INDEX({"Paracetamol","Amoxicillin","Ibuprofen","Cetirizine","Metformin","Amlodipine","Omeprazole","Azithromycin","Losartan","Vitamin C"}, RANDBETWEEN(1,10))</f>
        <v>Omeprazole</v>
      </c>
      <c r="C57" t="str" cm="1">
        <f t="array" aca="1" ref="C57" ca="1">INDEX({"Painkiller","Antibiotic","Painkiller","Antihistamine","Diabetes","Hypertension","Antacid","Antibiotic","Hypertension","Supplement"},
MATCH(B57,{"Paracetamol","Amoxicillin","Ibuprofen","Cetirizine","Metformin","Amlodipine","Omeprazole","Azithromycin","Losartan","Vitamin C"},0))</f>
        <v>Antacid</v>
      </c>
      <c r="D57" t="str" cm="1">
        <f t="array" aca="1" ref="D57" ca="1">INDEX({"MedSupply Co","HealthCorp","PharmaPlus","GlobalMed"}, RANDBETWEEN(1,4))</f>
        <v>MedSupply Co</v>
      </c>
      <c r="E57">
        <f t="shared" ca="1" si="1"/>
        <v>178</v>
      </c>
      <c r="F57">
        <f t="shared" ca="1" si="2"/>
        <v>52</v>
      </c>
      <c r="G57">
        <f t="shared" ca="1" si="3"/>
        <v>1.77</v>
      </c>
      <c r="H57" s="1">
        <f t="shared" ca="1" si="4"/>
        <v>46344</v>
      </c>
      <c r="I57" s="1">
        <f t="shared" ca="1" si="5"/>
        <v>45995</v>
      </c>
      <c r="J57">
        <f t="shared" ca="1" si="6"/>
        <v>315.06</v>
      </c>
      <c r="K57" t="str">
        <f t="shared" ca="1" si="7"/>
        <v>In Stock</v>
      </c>
      <c r="L57" s="2">
        <f t="shared" ca="1" si="8"/>
        <v>225</v>
      </c>
      <c r="M57" t="str">
        <f t="shared" ca="1" si="9"/>
        <v>Safe</v>
      </c>
    </row>
    <row r="58" spans="1:13" x14ac:dyDescent="0.25">
      <c r="A58" t="str">
        <f t="shared" si="0"/>
        <v>M057</v>
      </c>
      <c r="B58" t="str" cm="1">
        <f t="array" aca="1" ref="B58" ca="1">INDEX({"Paracetamol","Amoxicillin","Ibuprofen","Cetirizine","Metformin","Amlodipine","Omeprazole","Azithromycin","Losartan","Vitamin C"}, RANDBETWEEN(1,10))</f>
        <v>Losartan</v>
      </c>
      <c r="C58" t="str" cm="1">
        <f t="array" aca="1" ref="C58" ca="1">INDEX({"Painkiller","Antibiotic","Painkiller","Antihistamine","Diabetes","Hypertension","Antacid","Antibiotic","Hypertension","Supplement"},
MATCH(B58,{"Paracetamol","Amoxicillin","Ibuprofen","Cetirizine","Metformin","Amlodipine","Omeprazole","Azithromycin","Losartan","Vitamin C"},0))</f>
        <v>Hypertension</v>
      </c>
      <c r="D58" t="str" cm="1">
        <f t="array" aca="1" ref="D58" ca="1">INDEX({"MedSupply Co","HealthCorp","PharmaPlus","GlobalMed"}, RANDBETWEEN(1,4))</f>
        <v>MedSupply Co</v>
      </c>
      <c r="E58">
        <f t="shared" ca="1" si="1"/>
        <v>96</v>
      </c>
      <c r="F58">
        <f t="shared" ca="1" si="2"/>
        <v>92</v>
      </c>
      <c r="G58">
        <f t="shared" ca="1" si="3"/>
        <v>0.82</v>
      </c>
      <c r="H58" s="1">
        <f t="shared" ca="1" si="4"/>
        <v>46332</v>
      </c>
      <c r="I58" s="1">
        <f t="shared" ca="1" si="5"/>
        <v>46084</v>
      </c>
      <c r="J58">
        <f t="shared" ca="1" si="6"/>
        <v>78.72</v>
      </c>
      <c r="K58" t="str">
        <f t="shared" ca="1" si="7"/>
        <v>In Stock</v>
      </c>
      <c r="L58" s="2">
        <f t="shared" ca="1" si="8"/>
        <v>213</v>
      </c>
      <c r="M58" t="str">
        <f t="shared" ca="1" si="9"/>
        <v>Safe</v>
      </c>
    </row>
    <row r="59" spans="1:13" x14ac:dyDescent="0.25">
      <c r="A59" t="str">
        <f t="shared" si="0"/>
        <v>M058</v>
      </c>
      <c r="B59" t="str" cm="1">
        <f t="array" aca="1" ref="B59" ca="1">INDEX({"Paracetamol","Amoxicillin","Ibuprofen","Cetirizine","Metformin","Amlodipine","Omeprazole","Azithromycin","Losartan","Vitamin C"}, RANDBETWEEN(1,10))</f>
        <v>Metformin</v>
      </c>
      <c r="C59" t="str" cm="1">
        <f t="array" aca="1" ref="C59" ca="1">INDEX({"Painkiller","Antibiotic","Painkiller","Antihistamine","Diabetes","Hypertension","Antacid","Antibiotic","Hypertension","Supplement"},
MATCH(B59,{"Paracetamol","Amoxicillin","Ibuprofen","Cetirizine","Metformin","Amlodipine","Omeprazole","Azithromycin","Losartan","Vitamin C"},0))</f>
        <v>Diabetes</v>
      </c>
      <c r="D59" t="str" cm="1">
        <f t="array" aca="1" ref="D59" ca="1">INDEX({"MedSupply Co","HealthCorp","PharmaPlus","GlobalMed"}, RANDBETWEEN(1,4))</f>
        <v>MedSupply Co</v>
      </c>
      <c r="E59">
        <f t="shared" ca="1" si="1"/>
        <v>29</v>
      </c>
      <c r="F59">
        <f t="shared" ca="1" si="2"/>
        <v>28</v>
      </c>
      <c r="G59">
        <f t="shared" ca="1" si="3"/>
        <v>1.29</v>
      </c>
      <c r="H59" s="1">
        <f t="shared" ca="1" si="4"/>
        <v>46296</v>
      </c>
      <c r="I59" s="1">
        <f t="shared" ca="1" si="5"/>
        <v>46082</v>
      </c>
      <c r="J59">
        <f t="shared" ca="1" si="6"/>
        <v>37.410000000000004</v>
      </c>
      <c r="K59" t="str">
        <f t="shared" ca="1" si="7"/>
        <v>In Stock</v>
      </c>
      <c r="L59" s="2">
        <f t="shared" ca="1" si="8"/>
        <v>177</v>
      </c>
      <c r="M59" t="str">
        <f t="shared" ca="1" si="9"/>
        <v>Safe</v>
      </c>
    </row>
    <row r="60" spans="1:13" x14ac:dyDescent="0.25">
      <c r="A60" t="str">
        <f t="shared" si="0"/>
        <v>M059</v>
      </c>
      <c r="B60" t="str" cm="1">
        <f t="array" aca="1" ref="B60" ca="1">INDEX({"Paracetamol","Amoxicillin","Ibuprofen","Cetirizine","Metformin","Amlodipine","Omeprazole","Azithromycin","Losartan","Vitamin C"}, RANDBETWEEN(1,10))</f>
        <v>Amoxicillin</v>
      </c>
      <c r="C60" t="str" cm="1">
        <f t="array" aca="1" ref="C60" ca="1">INDEX({"Painkiller","Antibiotic","Painkiller","Antihistamine","Diabetes","Hypertension","Antacid","Antibiotic","Hypertension","Supplement"},
MATCH(B60,{"Paracetamol","Amoxicillin","Ibuprofen","Cetirizine","Metformin","Amlodipine","Omeprazole","Azithromycin","Losartan","Vitamin C"},0))</f>
        <v>Antibiotic</v>
      </c>
      <c r="D60" t="str" cm="1">
        <f t="array" aca="1" ref="D60" ca="1">INDEX({"MedSupply Co","HealthCorp","PharmaPlus","GlobalMed"}, RANDBETWEEN(1,4))</f>
        <v>MedSupply Co</v>
      </c>
      <c r="E60">
        <f t="shared" ca="1" si="1"/>
        <v>119</v>
      </c>
      <c r="F60">
        <f t="shared" ca="1" si="2"/>
        <v>95</v>
      </c>
      <c r="G60">
        <f t="shared" ca="1" si="3"/>
        <v>1.84</v>
      </c>
      <c r="H60" s="1">
        <f t="shared" ca="1" si="4"/>
        <v>46391</v>
      </c>
      <c r="I60" s="1">
        <f t="shared" ca="1" si="5"/>
        <v>45948</v>
      </c>
      <c r="J60">
        <f t="shared" ca="1" si="6"/>
        <v>218.96</v>
      </c>
      <c r="K60" t="str">
        <f t="shared" ca="1" si="7"/>
        <v>In Stock</v>
      </c>
      <c r="L60" s="2">
        <f t="shared" ca="1" si="8"/>
        <v>272</v>
      </c>
      <c r="M60" t="str">
        <f t="shared" ca="1" si="9"/>
        <v>Safe</v>
      </c>
    </row>
    <row r="61" spans="1:13" x14ac:dyDescent="0.25">
      <c r="A61" t="str">
        <f t="shared" si="0"/>
        <v>M060</v>
      </c>
      <c r="B61" t="str" cm="1">
        <f t="array" aca="1" ref="B61" ca="1">INDEX({"Paracetamol","Amoxicillin","Ibuprofen","Cetirizine","Metformin","Amlodipine","Omeprazole","Azithromycin","Losartan","Vitamin C"}, RANDBETWEEN(1,10))</f>
        <v>Cetirizine</v>
      </c>
      <c r="C61" t="str" cm="1">
        <f t="array" aca="1" ref="C61" ca="1">INDEX({"Painkiller","Antibiotic","Painkiller","Antihistamine","Diabetes","Hypertension","Antacid","Antibiotic","Hypertension","Supplement"},
MATCH(B61,{"Paracetamol","Amoxicillin","Ibuprofen","Cetirizine","Metformin","Amlodipine","Omeprazole","Azithromycin","Losartan","Vitamin C"},0))</f>
        <v>Antihistamine</v>
      </c>
      <c r="D61" t="str" cm="1">
        <f t="array" aca="1" ref="D61" ca="1">INDEX({"MedSupply Co","HealthCorp","PharmaPlus","GlobalMed"}, RANDBETWEEN(1,4))</f>
        <v>GlobalMed</v>
      </c>
      <c r="E61">
        <f t="shared" ca="1" si="1"/>
        <v>26</v>
      </c>
      <c r="F61">
        <f t="shared" ca="1" si="2"/>
        <v>22</v>
      </c>
      <c r="G61">
        <f t="shared" ca="1" si="3"/>
        <v>1.48</v>
      </c>
      <c r="H61" s="1">
        <f t="shared" ca="1" si="4"/>
        <v>46305</v>
      </c>
      <c r="I61" s="1">
        <f t="shared" ca="1" si="5"/>
        <v>46031</v>
      </c>
      <c r="J61">
        <f t="shared" ca="1" si="6"/>
        <v>38.479999999999997</v>
      </c>
      <c r="K61" t="str">
        <f t="shared" ca="1" si="7"/>
        <v>In Stock</v>
      </c>
      <c r="L61" s="2">
        <f t="shared" ca="1" si="8"/>
        <v>186</v>
      </c>
      <c r="M61" t="str">
        <f t="shared" ca="1" si="9"/>
        <v>Safe</v>
      </c>
    </row>
    <row r="62" spans="1:13" x14ac:dyDescent="0.25">
      <c r="A62" t="str">
        <f t="shared" si="0"/>
        <v>M061</v>
      </c>
      <c r="B62" t="str" cm="1">
        <f t="array" aca="1" ref="B62" ca="1">INDEX({"Paracetamol","Amoxicillin","Ibuprofen","Cetirizine","Metformin","Amlodipine","Omeprazole","Azithromycin","Losartan","Vitamin C"}, RANDBETWEEN(1,10))</f>
        <v>Amoxicillin</v>
      </c>
      <c r="C62" t="str" cm="1">
        <f t="array" aca="1" ref="C62" ca="1">INDEX({"Painkiller","Antibiotic","Painkiller","Antihistamine","Diabetes","Hypertension","Antacid","Antibiotic","Hypertension","Supplement"},
MATCH(B62,{"Paracetamol","Amoxicillin","Ibuprofen","Cetirizine","Metformin","Amlodipine","Omeprazole","Azithromycin","Losartan","Vitamin C"},0))</f>
        <v>Antibiotic</v>
      </c>
      <c r="D62" t="str" cm="1">
        <f t="array" aca="1" ref="D62" ca="1">INDEX({"MedSupply Co","HealthCorp","PharmaPlus","GlobalMed"}, RANDBETWEEN(1,4))</f>
        <v>HealthCorp</v>
      </c>
      <c r="E62">
        <f t="shared" ca="1" si="1"/>
        <v>134</v>
      </c>
      <c r="F62">
        <f t="shared" ca="1" si="2"/>
        <v>31</v>
      </c>
      <c r="G62">
        <f t="shared" ca="1" si="3"/>
        <v>1.1399999999999999</v>
      </c>
      <c r="H62" s="1">
        <f t="shared" ca="1" si="4"/>
        <v>46166</v>
      </c>
      <c r="I62" s="1">
        <f t="shared" ca="1" si="5"/>
        <v>46005</v>
      </c>
      <c r="J62">
        <f t="shared" ca="1" si="6"/>
        <v>152.76</v>
      </c>
      <c r="K62" t="str">
        <f t="shared" ca="1" si="7"/>
        <v>In Stock</v>
      </c>
      <c r="L62" s="2">
        <f t="shared" ca="1" si="8"/>
        <v>47</v>
      </c>
      <c r="M62" t="str">
        <f t="shared" ca="1" si="9"/>
        <v>Safe</v>
      </c>
    </row>
    <row r="63" spans="1:13" x14ac:dyDescent="0.25">
      <c r="A63" t="str">
        <f t="shared" si="0"/>
        <v>M062</v>
      </c>
      <c r="B63" t="str" cm="1">
        <f t="array" aca="1" ref="B63" ca="1">INDEX({"Paracetamol","Amoxicillin","Ibuprofen","Cetirizine","Metformin","Amlodipine","Omeprazole","Azithromycin","Losartan","Vitamin C"}, RANDBETWEEN(1,10))</f>
        <v>Vitamin C</v>
      </c>
      <c r="C63" t="str" cm="1">
        <f t="array" aca="1" ref="C63" ca="1">INDEX({"Painkiller","Antibiotic","Painkiller","Antihistamine","Diabetes","Hypertension","Antacid","Antibiotic","Hypertension","Supplement"},
MATCH(B63,{"Paracetamol","Amoxicillin","Ibuprofen","Cetirizine","Metformin","Amlodipine","Omeprazole","Azithromycin","Losartan","Vitamin C"},0))</f>
        <v>Supplement</v>
      </c>
      <c r="D63" t="str" cm="1">
        <f t="array" aca="1" ref="D63" ca="1">INDEX({"MedSupply Co","HealthCorp","PharmaPlus","GlobalMed"}, RANDBETWEEN(1,4))</f>
        <v>MedSupply Co</v>
      </c>
      <c r="E63">
        <f t="shared" ca="1" si="1"/>
        <v>174</v>
      </c>
      <c r="F63">
        <f t="shared" ca="1" si="2"/>
        <v>29</v>
      </c>
      <c r="G63">
        <f t="shared" ca="1" si="3"/>
        <v>1.45</v>
      </c>
      <c r="H63" s="1">
        <f t="shared" ca="1" si="4"/>
        <v>46173</v>
      </c>
      <c r="I63" s="1">
        <f t="shared" ca="1" si="5"/>
        <v>46048</v>
      </c>
      <c r="J63">
        <f t="shared" ca="1" si="6"/>
        <v>252.29999999999998</v>
      </c>
      <c r="K63" t="str">
        <f t="shared" ca="1" si="7"/>
        <v>In Stock</v>
      </c>
      <c r="L63" s="2">
        <f t="shared" ca="1" si="8"/>
        <v>54</v>
      </c>
      <c r="M63" t="str">
        <f t="shared" ca="1" si="9"/>
        <v>Safe</v>
      </c>
    </row>
    <row r="64" spans="1:13" x14ac:dyDescent="0.25">
      <c r="A64" t="str">
        <f t="shared" si="0"/>
        <v>M063</v>
      </c>
      <c r="B64" t="str" cm="1">
        <f t="array" aca="1" ref="B64" ca="1">INDEX({"Paracetamol","Amoxicillin","Ibuprofen","Cetirizine","Metformin","Amlodipine","Omeprazole","Azithromycin","Losartan","Vitamin C"}, RANDBETWEEN(1,10))</f>
        <v>Vitamin C</v>
      </c>
      <c r="C64" t="str" cm="1">
        <f t="array" aca="1" ref="C64" ca="1">INDEX({"Painkiller","Antibiotic","Painkiller","Antihistamine","Diabetes","Hypertension","Antacid","Antibiotic","Hypertension","Supplement"},
MATCH(B64,{"Paracetamol","Amoxicillin","Ibuprofen","Cetirizine","Metformin","Amlodipine","Omeprazole","Azithromycin","Losartan","Vitamin C"},0))</f>
        <v>Supplement</v>
      </c>
      <c r="D64" t="str" cm="1">
        <f t="array" aca="1" ref="D64" ca="1">INDEX({"MedSupply Co","HealthCorp","PharmaPlus","GlobalMed"}, RANDBETWEEN(1,4))</f>
        <v>GlobalMed</v>
      </c>
      <c r="E64">
        <f t="shared" ca="1" si="1"/>
        <v>36</v>
      </c>
      <c r="F64">
        <f t="shared" ca="1" si="2"/>
        <v>37</v>
      </c>
      <c r="G64">
        <f t="shared" ca="1" si="3"/>
        <v>1.43</v>
      </c>
      <c r="H64" s="1">
        <f t="shared" ca="1" si="4"/>
        <v>46279</v>
      </c>
      <c r="I64" s="1">
        <f t="shared" ca="1" si="5"/>
        <v>45995</v>
      </c>
      <c r="J64">
        <f t="shared" ca="1" si="6"/>
        <v>51.48</v>
      </c>
      <c r="K64" t="str">
        <f t="shared" ca="1" si="7"/>
        <v>Low Stock</v>
      </c>
      <c r="L64" s="2">
        <f t="shared" ca="1" si="8"/>
        <v>160</v>
      </c>
      <c r="M64" t="str">
        <f t="shared" ca="1" si="9"/>
        <v>Safe</v>
      </c>
    </row>
    <row r="65" spans="1:13" x14ac:dyDescent="0.25">
      <c r="A65" t="str">
        <f t="shared" si="0"/>
        <v>M064</v>
      </c>
      <c r="B65" t="str" cm="1">
        <f t="array" aca="1" ref="B65" ca="1">INDEX({"Paracetamol","Amoxicillin","Ibuprofen","Cetirizine","Metformin","Amlodipine","Omeprazole","Azithromycin","Losartan","Vitamin C"}, RANDBETWEEN(1,10))</f>
        <v>Amoxicillin</v>
      </c>
      <c r="C65" t="str" cm="1">
        <f t="array" aca="1" ref="C65" ca="1">INDEX({"Painkiller","Antibiotic","Painkiller","Antihistamine","Diabetes","Hypertension","Antacid","Antibiotic","Hypertension","Supplement"},
MATCH(B65,{"Paracetamol","Amoxicillin","Ibuprofen","Cetirizine","Metformin","Amlodipine","Omeprazole","Azithromycin","Losartan","Vitamin C"},0))</f>
        <v>Antibiotic</v>
      </c>
      <c r="D65" t="str" cm="1">
        <f t="array" aca="1" ref="D65" ca="1">INDEX({"MedSupply Co","HealthCorp","PharmaPlus","GlobalMed"}, RANDBETWEEN(1,4))</f>
        <v>HealthCorp</v>
      </c>
      <c r="E65">
        <f t="shared" ca="1" si="1"/>
        <v>136</v>
      </c>
      <c r="F65">
        <f t="shared" ca="1" si="2"/>
        <v>72</v>
      </c>
      <c r="G65">
        <f t="shared" ca="1" si="3"/>
        <v>0.5</v>
      </c>
      <c r="H65" s="1">
        <f t="shared" ca="1" si="4"/>
        <v>46346</v>
      </c>
      <c r="I65" s="1">
        <f t="shared" ca="1" si="5"/>
        <v>46033</v>
      </c>
      <c r="J65">
        <f t="shared" ca="1" si="6"/>
        <v>68</v>
      </c>
      <c r="K65" t="str">
        <f t="shared" ca="1" si="7"/>
        <v>In Stock</v>
      </c>
      <c r="L65" s="2">
        <f t="shared" ca="1" si="8"/>
        <v>227</v>
      </c>
      <c r="M65" t="str">
        <f t="shared" ca="1" si="9"/>
        <v>Safe</v>
      </c>
    </row>
    <row r="66" spans="1:13" x14ac:dyDescent="0.25">
      <c r="A66" t="str">
        <f t="shared" si="0"/>
        <v>M065</v>
      </c>
      <c r="B66" t="str" cm="1">
        <f t="array" aca="1" ref="B66" ca="1">INDEX({"Paracetamol","Amoxicillin","Ibuprofen","Cetirizine","Metformin","Amlodipine","Omeprazole","Azithromycin","Losartan","Vitamin C"}, RANDBETWEEN(1,10))</f>
        <v>Azithromycin</v>
      </c>
      <c r="C66" t="str" cm="1">
        <f t="array" aca="1" ref="C66" ca="1">INDEX({"Painkiller","Antibiotic","Painkiller","Antihistamine","Diabetes","Hypertension","Antacid","Antibiotic","Hypertension","Supplement"},
MATCH(B66,{"Paracetamol","Amoxicillin","Ibuprofen","Cetirizine","Metformin","Amlodipine","Omeprazole","Azithromycin","Losartan","Vitamin C"},0))</f>
        <v>Antibiotic</v>
      </c>
      <c r="D66" t="str" cm="1">
        <f t="array" aca="1" ref="D66" ca="1">INDEX({"MedSupply Co","HealthCorp","PharmaPlus","GlobalMed"}, RANDBETWEEN(1,4))</f>
        <v>GlobalMed</v>
      </c>
      <c r="E66">
        <f t="shared" ca="1" si="1"/>
        <v>106</v>
      </c>
      <c r="F66">
        <f t="shared" ca="1" si="2"/>
        <v>78</v>
      </c>
      <c r="G66">
        <f t="shared" ca="1" si="3"/>
        <v>0.93</v>
      </c>
      <c r="H66" s="1">
        <f t="shared" ca="1" si="4"/>
        <v>46238</v>
      </c>
      <c r="I66" s="1">
        <f t="shared" ca="1" si="5"/>
        <v>46052</v>
      </c>
      <c r="J66">
        <f t="shared" ca="1" si="6"/>
        <v>98.58</v>
      </c>
      <c r="K66" t="str">
        <f t="shared" ca="1" si="7"/>
        <v>In Stock</v>
      </c>
      <c r="L66" s="2">
        <f t="shared" ca="1" si="8"/>
        <v>119</v>
      </c>
      <c r="M66" t="str">
        <f t="shared" ca="1" si="9"/>
        <v>Safe</v>
      </c>
    </row>
    <row r="67" spans="1:13" x14ac:dyDescent="0.25">
      <c r="A67" t="str">
        <f t="shared" ref="A67:A130" si="10">"M"&amp;TEXT(ROW(A66),"000")</f>
        <v>M066</v>
      </c>
      <c r="B67" t="str" cm="1">
        <f t="array" aca="1" ref="B67" ca="1">INDEX({"Paracetamol","Amoxicillin","Ibuprofen","Cetirizine","Metformin","Amlodipine","Omeprazole","Azithromycin","Losartan","Vitamin C"}, RANDBETWEEN(1,10))</f>
        <v>Amoxicillin</v>
      </c>
      <c r="C67" t="str" cm="1">
        <f t="array" aca="1" ref="C67" ca="1">INDEX({"Painkiller","Antibiotic","Painkiller","Antihistamine","Diabetes","Hypertension","Antacid","Antibiotic","Hypertension","Supplement"},
MATCH(B67,{"Paracetamol","Amoxicillin","Ibuprofen","Cetirizine","Metformin","Amlodipine","Omeprazole","Azithromycin","Losartan","Vitamin C"},0))</f>
        <v>Antibiotic</v>
      </c>
      <c r="D67" t="str" cm="1">
        <f t="array" aca="1" ref="D67" ca="1">INDEX({"MedSupply Co","HealthCorp","PharmaPlus","GlobalMed"}, RANDBETWEEN(1,4))</f>
        <v>PharmaPlus</v>
      </c>
      <c r="E67">
        <f t="shared" ref="E67:E130" ca="1" si="11">RANDBETWEEN(0,200)</f>
        <v>130</v>
      </c>
      <c r="F67">
        <f t="shared" ref="F67:F130" ca="1" si="12">RANDBETWEEN(20,100)</f>
        <v>27</v>
      </c>
      <c r="G67">
        <f t="shared" ref="G67:G130" ca="1" si="13">ROUND(RANDBETWEEN(50,200)/100,2)</f>
        <v>0.87</v>
      </c>
      <c r="H67" s="1">
        <f t="shared" ref="H67:H130" ca="1" si="14">TODAY()+RANDBETWEEN(30,365)</f>
        <v>46372</v>
      </c>
      <c r="I67" s="1">
        <f t="shared" ref="I67:I130" ca="1" si="15">TODAY()-RANDBETWEEN(1,180)</f>
        <v>46081</v>
      </c>
      <c r="J67">
        <f t="shared" ref="J67:J130" ca="1" si="16">E67*G67</f>
        <v>113.1</v>
      </c>
      <c r="K67" t="str">
        <f t="shared" ref="K67:K130" ca="1" si="17">IF(E67=0,"Out of Stock",IF(E67&lt;F67,"Low Stock","In Stock"))</f>
        <v>In Stock</v>
      </c>
      <c r="L67" s="2">
        <f t="shared" ref="L67:L130" ca="1" si="18">H67-TODAY()</f>
        <v>253</v>
      </c>
      <c r="M67" t="str">
        <f t="shared" ref="M67:M130" ca="1" si="19">IF(H67&lt;=TODAY()+30,"Expiring Soon","Safe")</f>
        <v>Safe</v>
      </c>
    </row>
    <row r="68" spans="1:13" x14ac:dyDescent="0.25">
      <c r="A68" t="str">
        <f t="shared" si="10"/>
        <v>M067</v>
      </c>
      <c r="B68" t="str" cm="1">
        <f t="array" aca="1" ref="B68" ca="1">INDEX({"Paracetamol","Amoxicillin","Ibuprofen","Cetirizine","Metformin","Amlodipine","Omeprazole","Azithromycin","Losartan","Vitamin C"}, RANDBETWEEN(1,10))</f>
        <v>Omeprazole</v>
      </c>
      <c r="C68" t="str" cm="1">
        <f t="array" aca="1" ref="C68" ca="1">INDEX({"Painkiller","Antibiotic","Painkiller","Antihistamine","Diabetes","Hypertension","Antacid","Antibiotic","Hypertension","Supplement"},
MATCH(B68,{"Paracetamol","Amoxicillin","Ibuprofen","Cetirizine","Metformin","Amlodipine","Omeprazole","Azithromycin","Losartan","Vitamin C"},0))</f>
        <v>Antacid</v>
      </c>
      <c r="D68" t="str" cm="1">
        <f t="array" aca="1" ref="D68" ca="1">INDEX({"MedSupply Co","HealthCorp","PharmaPlus","GlobalMed"}, RANDBETWEEN(1,4))</f>
        <v>PharmaPlus</v>
      </c>
      <c r="E68">
        <f t="shared" ca="1" si="11"/>
        <v>40</v>
      </c>
      <c r="F68">
        <f t="shared" ca="1" si="12"/>
        <v>37</v>
      </c>
      <c r="G68">
        <f t="shared" ca="1" si="13"/>
        <v>0.99</v>
      </c>
      <c r="H68" s="1">
        <f t="shared" ca="1" si="14"/>
        <v>46248</v>
      </c>
      <c r="I68" s="1">
        <f t="shared" ca="1" si="15"/>
        <v>46018</v>
      </c>
      <c r="J68">
        <f t="shared" ca="1" si="16"/>
        <v>39.6</v>
      </c>
      <c r="K68" t="str">
        <f t="shared" ca="1" si="17"/>
        <v>In Stock</v>
      </c>
      <c r="L68" s="2">
        <f t="shared" ca="1" si="18"/>
        <v>129</v>
      </c>
      <c r="M68" t="str">
        <f t="shared" ca="1" si="19"/>
        <v>Safe</v>
      </c>
    </row>
    <row r="69" spans="1:13" x14ac:dyDescent="0.25">
      <c r="A69" t="str">
        <f t="shared" si="10"/>
        <v>M068</v>
      </c>
      <c r="B69" t="str" cm="1">
        <f t="array" aca="1" ref="B69" ca="1">INDEX({"Paracetamol","Amoxicillin","Ibuprofen","Cetirizine","Metformin","Amlodipine","Omeprazole","Azithromycin","Losartan","Vitamin C"}, RANDBETWEEN(1,10))</f>
        <v>Vitamin C</v>
      </c>
      <c r="C69" t="str" cm="1">
        <f t="array" aca="1" ref="C69" ca="1">INDEX({"Painkiller","Antibiotic","Painkiller","Antihistamine","Diabetes","Hypertension","Antacid","Antibiotic","Hypertension","Supplement"},
MATCH(B69,{"Paracetamol","Amoxicillin","Ibuprofen","Cetirizine","Metformin","Amlodipine","Omeprazole","Azithromycin","Losartan","Vitamin C"},0))</f>
        <v>Supplement</v>
      </c>
      <c r="D69" t="str" cm="1">
        <f t="array" aca="1" ref="D69" ca="1">INDEX({"MedSupply Co","HealthCorp","PharmaPlus","GlobalMed"}, RANDBETWEEN(1,4))</f>
        <v>MedSupply Co</v>
      </c>
      <c r="E69">
        <f t="shared" ca="1" si="11"/>
        <v>75</v>
      </c>
      <c r="F69">
        <f t="shared" ca="1" si="12"/>
        <v>40</v>
      </c>
      <c r="G69">
        <f t="shared" ca="1" si="13"/>
        <v>1.29</v>
      </c>
      <c r="H69" s="1">
        <f t="shared" ca="1" si="14"/>
        <v>46164</v>
      </c>
      <c r="I69" s="1">
        <f t="shared" ca="1" si="15"/>
        <v>46080</v>
      </c>
      <c r="J69">
        <f t="shared" ca="1" si="16"/>
        <v>96.75</v>
      </c>
      <c r="K69" t="str">
        <f t="shared" ca="1" si="17"/>
        <v>In Stock</v>
      </c>
      <c r="L69" s="2">
        <f t="shared" ca="1" si="18"/>
        <v>45</v>
      </c>
      <c r="M69" t="str">
        <f t="shared" ca="1" si="19"/>
        <v>Safe</v>
      </c>
    </row>
    <row r="70" spans="1:13" x14ac:dyDescent="0.25">
      <c r="A70" t="str">
        <f t="shared" si="10"/>
        <v>M069</v>
      </c>
      <c r="B70" t="str" cm="1">
        <f t="array" aca="1" ref="B70" ca="1">INDEX({"Paracetamol","Amoxicillin","Ibuprofen","Cetirizine","Metformin","Amlodipine","Omeprazole","Azithromycin","Losartan","Vitamin C"}, RANDBETWEEN(1,10))</f>
        <v>Amlodipine</v>
      </c>
      <c r="C70" t="str" cm="1">
        <f t="array" aca="1" ref="C70" ca="1">INDEX({"Painkiller","Antibiotic","Painkiller","Antihistamine","Diabetes","Hypertension","Antacid","Antibiotic","Hypertension","Supplement"},
MATCH(B70,{"Paracetamol","Amoxicillin","Ibuprofen","Cetirizine","Metformin","Amlodipine","Omeprazole","Azithromycin","Losartan","Vitamin C"},0))</f>
        <v>Hypertension</v>
      </c>
      <c r="D70" t="str" cm="1">
        <f t="array" aca="1" ref="D70" ca="1">INDEX({"MedSupply Co","HealthCorp","PharmaPlus","GlobalMed"}, RANDBETWEEN(1,4))</f>
        <v>PharmaPlus</v>
      </c>
      <c r="E70">
        <f t="shared" ca="1" si="11"/>
        <v>37</v>
      </c>
      <c r="F70">
        <f t="shared" ca="1" si="12"/>
        <v>35</v>
      </c>
      <c r="G70">
        <f t="shared" ca="1" si="13"/>
        <v>1.43</v>
      </c>
      <c r="H70" s="1">
        <f t="shared" ca="1" si="14"/>
        <v>46325</v>
      </c>
      <c r="I70" s="1">
        <f t="shared" ca="1" si="15"/>
        <v>45952</v>
      </c>
      <c r="J70">
        <f t="shared" ca="1" si="16"/>
        <v>52.91</v>
      </c>
      <c r="K70" t="str">
        <f t="shared" ca="1" si="17"/>
        <v>In Stock</v>
      </c>
      <c r="L70" s="2">
        <f t="shared" ca="1" si="18"/>
        <v>206</v>
      </c>
      <c r="M70" t="str">
        <f t="shared" ca="1" si="19"/>
        <v>Safe</v>
      </c>
    </row>
    <row r="71" spans="1:13" x14ac:dyDescent="0.25">
      <c r="A71" t="str">
        <f t="shared" si="10"/>
        <v>M070</v>
      </c>
      <c r="B71" t="str" cm="1">
        <f t="array" aca="1" ref="B71" ca="1">INDEX({"Paracetamol","Amoxicillin","Ibuprofen","Cetirizine","Metformin","Amlodipine","Omeprazole","Azithromycin","Losartan","Vitamin C"}, RANDBETWEEN(1,10))</f>
        <v>Paracetamol</v>
      </c>
      <c r="C71" t="str" cm="1">
        <f t="array" aca="1" ref="C71" ca="1">INDEX({"Painkiller","Antibiotic","Painkiller","Antihistamine","Diabetes","Hypertension","Antacid","Antibiotic","Hypertension","Supplement"},
MATCH(B71,{"Paracetamol","Amoxicillin","Ibuprofen","Cetirizine","Metformin","Amlodipine","Omeprazole","Azithromycin","Losartan","Vitamin C"},0))</f>
        <v>Painkiller</v>
      </c>
      <c r="D71" t="str" cm="1">
        <f t="array" aca="1" ref="D71" ca="1">INDEX({"MedSupply Co","HealthCorp","PharmaPlus","GlobalMed"}, RANDBETWEEN(1,4))</f>
        <v>HealthCorp</v>
      </c>
      <c r="E71">
        <f t="shared" ca="1" si="11"/>
        <v>58</v>
      </c>
      <c r="F71">
        <f t="shared" ca="1" si="12"/>
        <v>88</v>
      </c>
      <c r="G71">
        <f t="shared" ca="1" si="13"/>
        <v>1.8</v>
      </c>
      <c r="H71" s="1">
        <f t="shared" ca="1" si="14"/>
        <v>46336</v>
      </c>
      <c r="I71" s="1">
        <f t="shared" ca="1" si="15"/>
        <v>46062</v>
      </c>
      <c r="J71">
        <f t="shared" ca="1" si="16"/>
        <v>104.4</v>
      </c>
      <c r="K71" t="str">
        <f t="shared" ca="1" si="17"/>
        <v>Low Stock</v>
      </c>
      <c r="L71" s="2">
        <f t="shared" ca="1" si="18"/>
        <v>217</v>
      </c>
      <c r="M71" t="str">
        <f t="shared" ca="1" si="19"/>
        <v>Safe</v>
      </c>
    </row>
    <row r="72" spans="1:13" x14ac:dyDescent="0.25">
      <c r="A72" t="str">
        <f t="shared" si="10"/>
        <v>M071</v>
      </c>
      <c r="B72" t="str" cm="1">
        <f t="array" aca="1" ref="B72" ca="1">INDEX({"Paracetamol","Amoxicillin","Ibuprofen","Cetirizine","Metformin","Amlodipine","Omeprazole","Azithromycin","Losartan","Vitamin C"}, RANDBETWEEN(1,10))</f>
        <v>Amlodipine</v>
      </c>
      <c r="C72" t="str" cm="1">
        <f t="array" aca="1" ref="C72" ca="1">INDEX({"Painkiller","Antibiotic","Painkiller","Antihistamine","Diabetes","Hypertension","Antacid","Antibiotic","Hypertension","Supplement"},
MATCH(B72,{"Paracetamol","Amoxicillin","Ibuprofen","Cetirizine","Metformin","Amlodipine","Omeprazole","Azithromycin","Losartan","Vitamin C"},0))</f>
        <v>Hypertension</v>
      </c>
      <c r="D72" t="str" cm="1">
        <f t="array" aca="1" ref="D72" ca="1">INDEX({"MedSupply Co","HealthCorp","PharmaPlus","GlobalMed"}, RANDBETWEEN(1,4))</f>
        <v>PharmaPlus</v>
      </c>
      <c r="E72">
        <f t="shared" ca="1" si="11"/>
        <v>195</v>
      </c>
      <c r="F72">
        <f t="shared" ca="1" si="12"/>
        <v>23</v>
      </c>
      <c r="G72">
        <f t="shared" ca="1" si="13"/>
        <v>1.1299999999999999</v>
      </c>
      <c r="H72" s="1">
        <f t="shared" ca="1" si="14"/>
        <v>46257</v>
      </c>
      <c r="I72" s="1">
        <f t="shared" ca="1" si="15"/>
        <v>46100</v>
      </c>
      <c r="J72">
        <f t="shared" ca="1" si="16"/>
        <v>220.34999999999997</v>
      </c>
      <c r="K72" t="str">
        <f t="shared" ca="1" si="17"/>
        <v>In Stock</v>
      </c>
      <c r="L72" s="2">
        <f t="shared" ca="1" si="18"/>
        <v>138</v>
      </c>
      <c r="M72" t="str">
        <f t="shared" ca="1" si="19"/>
        <v>Safe</v>
      </c>
    </row>
    <row r="73" spans="1:13" x14ac:dyDescent="0.25">
      <c r="A73" t="str">
        <f t="shared" si="10"/>
        <v>M072</v>
      </c>
      <c r="B73" t="str" cm="1">
        <f t="array" aca="1" ref="B73" ca="1">INDEX({"Paracetamol","Amoxicillin","Ibuprofen","Cetirizine","Metformin","Amlodipine","Omeprazole","Azithromycin","Losartan","Vitamin C"}, RANDBETWEEN(1,10))</f>
        <v>Paracetamol</v>
      </c>
      <c r="C73" t="str" cm="1">
        <f t="array" aca="1" ref="C73" ca="1">INDEX({"Painkiller","Antibiotic","Painkiller","Antihistamine","Diabetes","Hypertension","Antacid","Antibiotic","Hypertension","Supplement"},
MATCH(B73,{"Paracetamol","Amoxicillin","Ibuprofen","Cetirizine","Metformin","Amlodipine","Omeprazole","Azithromycin","Losartan","Vitamin C"},0))</f>
        <v>Painkiller</v>
      </c>
      <c r="D73" t="str" cm="1">
        <f t="array" aca="1" ref="D73" ca="1">INDEX({"MedSupply Co","HealthCorp","PharmaPlus","GlobalMed"}, RANDBETWEEN(1,4))</f>
        <v>PharmaPlus</v>
      </c>
      <c r="E73">
        <f t="shared" ca="1" si="11"/>
        <v>155</v>
      </c>
      <c r="F73">
        <f t="shared" ca="1" si="12"/>
        <v>63</v>
      </c>
      <c r="G73">
        <f t="shared" ca="1" si="13"/>
        <v>1.49</v>
      </c>
      <c r="H73" s="1">
        <f t="shared" ca="1" si="14"/>
        <v>46152</v>
      </c>
      <c r="I73" s="1">
        <f t="shared" ca="1" si="15"/>
        <v>46036</v>
      </c>
      <c r="J73">
        <f t="shared" ca="1" si="16"/>
        <v>230.95</v>
      </c>
      <c r="K73" t="str">
        <f t="shared" ca="1" si="17"/>
        <v>In Stock</v>
      </c>
      <c r="L73" s="2">
        <f t="shared" ca="1" si="18"/>
        <v>33</v>
      </c>
      <c r="M73" t="str">
        <f t="shared" ca="1" si="19"/>
        <v>Safe</v>
      </c>
    </row>
    <row r="74" spans="1:13" x14ac:dyDescent="0.25">
      <c r="A74" t="str">
        <f t="shared" si="10"/>
        <v>M073</v>
      </c>
      <c r="B74" t="str" cm="1">
        <f t="array" aca="1" ref="B74" ca="1">INDEX({"Paracetamol","Amoxicillin","Ibuprofen","Cetirizine","Metformin","Amlodipine","Omeprazole","Azithromycin","Losartan","Vitamin C"}, RANDBETWEEN(1,10))</f>
        <v>Metformin</v>
      </c>
      <c r="C74" t="str" cm="1">
        <f t="array" aca="1" ref="C74" ca="1">INDEX({"Painkiller","Antibiotic","Painkiller","Antihistamine","Diabetes","Hypertension","Antacid","Antibiotic","Hypertension","Supplement"},
MATCH(B74,{"Paracetamol","Amoxicillin","Ibuprofen","Cetirizine","Metformin","Amlodipine","Omeprazole","Azithromycin","Losartan","Vitamin C"},0))</f>
        <v>Diabetes</v>
      </c>
      <c r="D74" t="str" cm="1">
        <f t="array" aca="1" ref="D74" ca="1">INDEX({"MedSupply Co","HealthCorp","PharmaPlus","GlobalMed"}, RANDBETWEEN(1,4))</f>
        <v>MedSupply Co</v>
      </c>
      <c r="E74">
        <f t="shared" ca="1" si="11"/>
        <v>181</v>
      </c>
      <c r="F74">
        <f t="shared" ca="1" si="12"/>
        <v>66</v>
      </c>
      <c r="G74">
        <f t="shared" ca="1" si="13"/>
        <v>1.34</v>
      </c>
      <c r="H74" s="1">
        <f t="shared" ca="1" si="14"/>
        <v>46469</v>
      </c>
      <c r="I74" s="1">
        <f t="shared" ca="1" si="15"/>
        <v>45991</v>
      </c>
      <c r="J74">
        <f t="shared" ca="1" si="16"/>
        <v>242.54000000000002</v>
      </c>
      <c r="K74" t="str">
        <f t="shared" ca="1" si="17"/>
        <v>In Stock</v>
      </c>
      <c r="L74" s="2">
        <f t="shared" ca="1" si="18"/>
        <v>350</v>
      </c>
      <c r="M74" t="str">
        <f t="shared" ca="1" si="19"/>
        <v>Safe</v>
      </c>
    </row>
    <row r="75" spans="1:13" x14ac:dyDescent="0.25">
      <c r="A75" t="str">
        <f t="shared" si="10"/>
        <v>M074</v>
      </c>
      <c r="B75" t="str" cm="1">
        <f t="array" aca="1" ref="B75" ca="1">INDEX({"Paracetamol","Amoxicillin","Ibuprofen","Cetirizine","Metformin","Amlodipine","Omeprazole","Azithromycin","Losartan","Vitamin C"}, RANDBETWEEN(1,10))</f>
        <v>Paracetamol</v>
      </c>
      <c r="C75" t="str" cm="1">
        <f t="array" aca="1" ref="C75" ca="1">INDEX({"Painkiller","Antibiotic","Painkiller","Antihistamine","Diabetes","Hypertension","Antacid","Antibiotic","Hypertension","Supplement"},
MATCH(B75,{"Paracetamol","Amoxicillin","Ibuprofen","Cetirizine","Metformin","Amlodipine","Omeprazole","Azithromycin","Losartan","Vitamin C"},0))</f>
        <v>Painkiller</v>
      </c>
      <c r="D75" t="str" cm="1">
        <f t="array" aca="1" ref="D75" ca="1">INDEX({"MedSupply Co","HealthCorp","PharmaPlus","GlobalMed"}, RANDBETWEEN(1,4))</f>
        <v>HealthCorp</v>
      </c>
      <c r="E75">
        <f t="shared" ca="1" si="11"/>
        <v>142</v>
      </c>
      <c r="F75">
        <f t="shared" ca="1" si="12"/>
        <v>44</v>
      </c>
      <c r="G75">
        <f t="shared" ca="1" si="13"/>
        <v>1.06</v>
      </c>
      <c r="H75" s="1">
        <f t="shared" ca="1" si="14"/>
        <v>46444</v>
      </c>
      <c r="I75" s="1">
        <f t="shared" ca="1" si="15"/>
        <v>45984</v>
      </c>
      <c r="J75">
        <f t="shared" ca="1" si="16"/>
        <v>150.52000000000001</v>
      </c>
      <c r="K75" t="str">
        <f t="shared" ca="1" si="17"/>
        <v>In Stock</v>
      </c>
      <c r="L75" s="2">
        <f t="shared" ca="1" si="18"/>
        <v>325</v>
      </c>
      <c r="M75" t="str">
        <f t="shared" ca="1" si="19"/>
        <v>Safe</v>
      </c>
    </row>
    <row r="76" spans="1:13" x14ac:dyDescent="0.25">
      <c r="A76" t="str">
        <f t="shared" si="10"/>
        <v>M075</v>
      </c>
      <c r="B76" t="str" cm="1">
        <f t="array" aca="1" ref="B76" ca="1">INDEX({"Paracetamol","Amoxicillin","Ibuprofen","Cetirizine","Metformin","Amlodipine","Omeprazole","Azithromycin","Losartan","Vitamin C"}, RANDBETWEEN(1,10))</f>
        <v>Losartan</v>
      </c>
      <c r="C76" t="str" cm="1">
        <f t="array" aca="1" ref="C76" ca="1">INDEX({"Painkiller","Antibiotic","Painkiller","Antihistamine","Diabetes","Hypertension","Antacid","Antibiotic","Hypertension","Supplement"},
MATCH(B76,{"Paracetamol","Amoxicillin","Ibuprofen","Cetirizine","Metformin","Amlodipine","Omeprazole","Azithromycin","Losartan","Vitamin C"},0))</f>
        <v>Hypertension</v>
      </c>
      <c r="D76" t="str" cm="1">
        <f t="array" aca="1" ref="D76" ca="1">INDEX({"MedSupply Co","HealthCorp","PharmaPlus","GlobalMed"}, RANDBETWEEN(1,4))</f>
        <v>HealthCorp</v>
      </c>
      <c r="E76">
        <f t="shared" ca="1" si="11"/>
        <v>54</v>
      </c>
      <c r="F76">
        <f t="shared" ca="1" si="12"/>
        <v>62</v>
      </c>
      <c r="G76">
        <f t="shared" ca="1" si="13"/>
        <v>1.53</v>
      </c>
      <c r="H76" s="1">
        <f t="shared" ca="1" si="14"/>
        <v>46215</v>
      </c>
      <c r="I76" s="1">
        <f t="shared" ca="1" si="15"/>
        <v>46015</v>
      </c>
      <c r="J76">
        <f t="shared" ca="1" si="16"/>
        <v>82.62</v>
      </c>
      <c r="K76" t="str">
        <f t="shared" ca="1" si="17"/>
        <v>Low Stock</v>
      </c>
      <c r="L76" s="2">
        <f t="shared" ca="1" si="18"/>
        <v>96</v>
      </c>
      <c r="M76" t="str">
        <f t="shared" ca="1" si="19"/>
        <v>Safe</v>
      </c>
    </row>
    <row r="77" spans="1:13" x14ac:dyDescent="0.25">
      <c r="A77" t="str">
        <f t="shared" si="10"/>
        <v>M076</v>
      </c>
      <c r="B77" t="str" cm="1">
        <f t="array" aca="1" ref="B77" ca="1">INDEX({"Paracetamol","Amoxicillin","Ibuprofen","Cetirizine","Metformin","Amlodipine","Omeprazole","Azithromycin","Losartan","Vitamin C"}, RANDBETWEEN(1,10))</f>
        <v>Azithromycin</v>
      </c>
      <c r="C77" t="str" cm="1">
        <f t="array" aca="1" ref="C77" ca="1">INDEX({"Painkiller","Antibiotic","Painkiller","Antihistamine","Diabetes","Hypertension","Antacid","Antibiotic","Hypertension","Supplement"},
MATCH(B77,{"Paracetamol","Amoxicillin","Ibuprofen","Cetirizine","Metformin","Amlodipine","Omeprazole","Azithromycin","Losartan","Vitamin C"},0))</f>
        <v>Antibiotic</v>
      </c>
      <c r="D77" t="str" cm="1">
        <f t="array" aca="1" ref="D77" ca="1">INDEX({"MedSupply Co","HealthCorp","PharmaPlus","GlobalMed"}, RANDBETWEEN(1,4))</f>
        <v>HealthCorp</v>
      </c>
      <c r="E77">
        <f t="shared" ca="1" si="11"/>
        <v>93</v>
      </c>
      <c r="F77">
        <f t="shared" ca="1" si="12"/>
        <v>64</v>
      </c>
      <c r="G77">
        <f t="shared" ca="1" si="13"/>
        <v>1.59</v>
      </c>
      <c r="H77" s="1">
        <f t="shared" ca="1" si="14"/>
        <v>46357</v>
      </c>
      <c r="I77" s="1">
        <f t="shared" ca="1" si="15"/>
        <v>45980</v>
      </c>
      <c r="J77">
        <f t="shared" ca="1" si="16"/>
        <v>147.87</v>
      </c>
      <c r="K77" t="str">
        <f t="shared" ca="1" si="17"/>
        <v>In Stock</v>
      </c>
      <c r="L77" s="2">
        <f t="shared" ca="1" si="18"/>
        <v>238</v>
      </c>
      <c r="M77" t="str">
        <f t="shared" ca="1" si="19"/>
        <v>Safe</v>
      </c>
    </row>
    <row r="78" spans="1:13" x14ac:dyDescent="0.25">
      <c r="A78" t="str">
        <f t="shared" si="10"/>
        <v>M077</v>
      </c>
      <c r="B78" t="str" cm="1">
        <f t="array" aca="1" ref="B78" ca="1">INDEX({"Paracetamol","Amoxicillin","Ibuprofen","Cetirizine","Metformin","Amlodipine","Omeprazole","Azithromycin","Losartan","Vitamin C"}, RANDBETWEEN(1,10))</f>
        <v>Amlodipine</v>
      </c>
      <c r="C78" t="str" cm="1">
        <f t="array" aca="1" ref="C78" ca="1">INDEX({"Painkiller","Antibiotic","Painkiller","Antihistamine","Diabetes","Hypertension","Antacid","Antibiotic","Hypertension","Supplement"},
MATCH(B78,{"Paracetamol","Amoxicillin","Ibuprofen","Cetirizine","Metformin","Amlodipine","Omeprazole","Azithromycin","Losartan","Vitamin C"},0))</f>
        <v>Hypertension</v>
      </c>
      <c r="D78" t="str" cm="1">
        <f t="array" aca="1" ref="D78" ca="1">INDEX({"MedSupply Co","HealthCorp","PharmaPlus","GlobalMed"}, RANDBETWEEN(1,4))</f>
        <v>GlobalMed</v>
      </c>
      <c r="E78">
        <f t="shared" ca="1" si="11"/>
        <v>134</v>
      </c>
      <c r="F78">
        <f t="shared" ca="1" si="12"/>
        <v>25</v>
      </c>
      <c r="G78">
        <f t="shared" ca="1" si="13"/>
        <v>1.43</v>
      </c>
      <c r="H78" s="1">
        <f t="shared" ca="1" si="14"/>
        <v>46305</v>
      </c>
      <c r="I78" s="1">
        <f t="shared" ca="1" si="15"/>
        <v>46082</v>
      </c>
      <c r="J78">
        <f t="shared" ca="1" si="16"/>
        <v>191.62</v>
      </c>
      <c r="K78" t="str">
        <f t="shared" ca="1" si="17"/>
        <v>In Stock</v>
      </c>
      <c r="L78" s="2">
        <f t="shared" ca="1" si="18"/>
        <v>186</v>
      </c>
      <c r="M78" t="str">
        <f t="shared" ca="1" si="19"/>
        <v>Safe</v>
      </c>
    </row>
    <row r="79" spans="1:13" x14ac:dyDescent="0.25">
      <c r="A79" t="str">
        <f t="shared" si="10"/>
        <v>M078</v>
      </c>
      <c r="B79" t="str" cm="1">
        <f t="array" aca="1" ref="B79" ca="1">INDEX({"Paracetamol","Amoxicillin","Ibuprofen","Cetirizine","Metformin","Amlodipine","Omeprazole","Azithromycin","Losartan","Vitamin C"}, RANDBETWEEN(1,10))</f>
        <v>Losartan</v>
      </c>
      <c r="C79" t="str" cm="1">
        <f t="array" aca="1" ref="C79" ca="1">INDEX({"Painkiller","Antibiotic","Painkiller","Antihistamine","Diabetes","Hypertension","Antacid","Antibiotic","Hypertension","Supplement"},
MATCH(B79,{"Paracetamol","Amoxicillin","Ibuprofen","Cetirizine","Metformin","Amlodipine","Omeprazole","Azithromycin","Losartan","Vitamin C"},0))</f>
        <v>Hypertension</v>
      </c>
      <c r="D79" t="str" cm="1">
        <f t="array" aca="1" ref="D79" ca="1">INDEX({"MedSupply Co","HealthCorp","PharmaPlus","GlobalMed"}, RANDBETWEEN(1,4))</f>
        <v>GlobalMed</v>
      </c>
      <c r="E79">
        <f t="shared" ca="1" si="11"/>
        <v>26</v>
      </c>
      <c r="F79">
        <f t="shared" ca="1" si="12"/>
        <v>32</v>
      </c>
      <c r="G79">
        <f t="shared" ca="1" si="13"/>
        <v>1</v>
      </c>
      <c r="H79" s="1">
        <f t="shared" ca="1" si="14"/>
        <v>46293</v>
      </c>
      <c r="I79" s="1">
        <f t="shared" ca="1" si="15"/>
        <v>45952</v>
      </c>
      <c r="J79">
        <f t="shared" ca="1" si="16"/>
        <v>26</v>
      </c>
      <c r="K79" t="str">
        <f t="shared" ca="1" si="17"/>
        <v>Low Stock</v>
      </c>
      <c r="L79" s="2">
        <f t="shared" ca="1" si="18"/>
        <v>174</v>
      </c>
      <c r="M79" t="str">
        <f t="shared" ca="1" si="19"/>
        <v>Safe</v>
      </c>
    </row>
    <row r="80" spans="1:13" x14ac:dyDescent="0.25">
      <c r="A80" t="str">
        <f t="shared" si="10"/>
        <v>M079</v>
      </c>
      <c r="B80" t="str" cm="1">
        <f t="array" aca="1" ref="B80" ca="1">INDEX({"Paracetamol","Amoxicillin","Ibuprofen","Cetirizine","Metformin","Amlodipine","Omeprazole","Azithromycin","Losartan","Vitamin C"}, RANDBETWEEN(1,10))</f>
        <v>Ibuprofen</v>
      </c>
      <c r="C80" t="str" cm="1">
        <f t="array" aca="1" ref="C80" ca="1">INDEX({"Painkiller","Antibiotic","Painkiller","Antihistamine","Diabetes","Hypertension","Antacid","Antibiotic","Hypertension","Supplement"},
MATCH(B80,{"Paracetamol","Amoxicillin","Ibuprofen","Cetirizine","Metformin","Amlodipine","Omeprazole","Azithromycin","Losartan","Vitamin C"},0))</f>
        <v>Painkiller</v>
      </c>
      <c r="D80" t="str" cm="1">
        <f t="array" aca="1" ref="D80" ca="1">INDEX({"MedSupply Co","HealthCorp","PharmaPlus","GlobalMed"}, RANDBETWEEN(1,4))</f>
        <v>PharmaPlus</v>
      </c>
      <c r="E80">
        <f t="shared" ca="1" si="11"/>
        <v>148</v>
      </c>
      <c r="F80">
        <f t="shared" ca="1" si="12"/>
        <v>50</v>
      </c>
      <c r="G80">
        <f t="shared" ca="1" si="13"/>
        <v>1.97</v>
      </c>
      <c r="H80" s="1">
        <f t="shared" ca="1" si="14"/>
        <v>46170</v>
      </c>
      <c r="I80" s="1">
        <f t="shared" ca="1" si="15"/>
        <v>46051</v>
      </c>
      <c r="J80">
        <f t="shared" ca="1" si="16"/>
        <v>291.56</v>
      </c>
      <c r="K80" t="str">
        <f t="shared" ca="1" si="17"/>
        <v>In Stock</v>
      </c>
      <c r="L80" s="2">
        <f t="shared" ca="1" si="18"/>
        <v>51</v>
      </c>
      <c r="M80" t="str">
        <f t="shared" ca="1" si="19"/>
        <v>Safe</v>
      </c>
    </row>
    <row r="81" spans="1:13" x14ac:dyDescent="0.25">
      <c r="A81" t="str">
        <f t="shared" si="10"/>
        <v>M080</v>
      </c>
      <c r="B81" t="str" cm="1">
        <f t="array" aca="1" ref="B81" ca="1">INDEX({"Paracetamol","Amoxicillin","Ibuprofen","Cetirizine","Metformin","Amlodipine","Omeprazole","Azithromycin","Losartan","Vitamin C"}, RANDBETWEEN(1,10))</f>
        <v>Azithromycin</v>
      </c>
      <c r="C81" t="str" cm="1">
        <f t="array" aca="1" ref="C81" ca="1">INDEX({"Painkiller","Antibiotic","Painkiller","Antihistamine","Diabetes","Hypertension","Antacid","Antibiotic","Hypertension","Supplement"},
MATCH(B81,{"Paracetamol","Amoxicillin","Ibuprofen","Cetirizine","Metformin","Amlodipine","Omeprazole","Azithromycin","Losartan","Vitamin C"},0))</f>
        <v>Antibiotic</v>
      </c>
      <c r="D81" t="str" cm="1">
        <f t="array" aca="1" ref="D81" ca="1">INDEX({"MedSupply Co","HealthCorp","PharmaPlus","GlobalMed"}, RANDBETWEEN(1,4))</f>
        <v>HealthCorp</v>
      </c>
      <c r="E81">
        <f t="shared" ca="1" si="11"/>
        <v>155</v>
      </c>
      <c r="F81">
        <f t="shared" ca="1" si="12"/>
        <v>98</v>
      </c>
      <c r="G81">
        <f t="shared" ca="1" si="13"/>
        <v>1.69</v>
      </c>
      <c r="H81" s="1">
        <f t="shared" ca="1" si="14"/>
        <v>46460</v>
      </c>
      <c r="I81" s="1">
        <f t="shared" ca="1" si="15"/>
        <v>45983</v>
      </c>
      <c r="J81">
        <f t="shared" ca="1" si="16"/>
        <v>261.95</v>
      </c>
      <c r="K81" t="str">
        <f t="shared" ca="1" si="17"/>
        <v>In Stock</v>
      </c>
      <c r="L81" s="2">
        <f t="shared" ca="1" si="18"/>
        <v>341</v>
      </c>
      <c r="M81" t="str">
        <f t="shared" ca="1" si="19"/>
        <v>Safe</v>
      </c>
    </row>
    <row r="82" spans="1:13" x14ac:dyDescent="0.25">
      <c r="A82" t="str">
        <f t="shared" si="10"/>
        <v>M081</v>
      </c>
      <c r="B82" t="str" cm="1">
        <f t="array" aca="1" ref="B82" ca="1">INDEX({"Paracetamol","Amoxicillin","Ibuprofen","Cetirizine","Metformin","Amlodipine","Omeprazole","Azithromycin","Losartan","Vitamin C"}, RANDBETWEEN(1,10))</f>
        <v>Vitamin C</v>
      </c>
      <c r="C82" t="str" cm="1">
        <f t="array" aca="1" ref="C82" ca="1">INDEX({"Painkiller","Antibiotic","Painkiller","Antihistamine","Diabetes","Hypertension","Antacid","Antibiotic","Hypertension","Supplement"},
MATCH(B82,{"Paracetamol","Amoxicillin","Ibuprofen","Cetirizine","Metformin","Amlodipine","Omeprazole","Azithromycin","Losartan","Vitamin C"},0))</f>
        <v>Supplement</v>
      </c>
      <c r="D82" t="str" cm="1">
        <f t="array" aca="1" ref="D82" ca="1">INDEX({"MedSupply Co","HealthCorp","PharmaPlus","GlobalMed"}, RANDBETWEEN(1,4))</f>
        <v>MedSupply Co</v>
      </c>
      <c r="E82">
        <f t="shared" ca="1" si="11"/>
        <v>191</v>
      </c>
      <c r="F82">
        <f t="shared" ca="1" si="12"/>
        <v>76</v>
      </c>
      <c r="G82">
        <f t="shared" ca="1" si="13"/>
        <v>0.66</v>
      </c>
      <c r="H82" s="1">
        <f t="shared" ca="1" si="14"/>
        <v>46333</v>
      </c>
      <c r="I82" s="1">
        <f t="shared" ca="1" si="15"/>
        <v>46106</v>
      </c>
      <c r="J82">
        <f t="shared" ca="1" si="16"/>
        <v>126.06</v>
      </c>
      <c r="K82" t="str">
        <f t="shared" ca="1" si="17"/>
        <v>In Stock</v>
      </c>
      <c r="L82" s="2">
        <f t="shared" ca="1" si="18"/>
        <v>214</v>
      </c>
      <c r="M82" t="str">
        <f t="shared" ca="1" si="19"/>
        <v>Safe</v>
      </c>
    </row>
    <row r="83" spans="1:13" x14ac:dyDescent="0.25">
      <c r="A83" t="str">
        <f t="shared" si="10"/>
        <v>M082</v>
      </c>
      <c r="B83" t="str" cm="1">
        <f t="array" aca="1" ref="B83" ca="1">INDEX({"Paracetamol","Amoxicillin","Ibuprofen","Cetirizine","Metformin","Amlodipine","Omeprazole","Azithromycin","Losartan","Vitamin C"}, RANDBETWEEN(1,10))</f>
        <v>Paracetamol</v>
      </c>
      <c r="C83" t="str" cm="1">
        <f t="array" aca="1" ref="C83" ca="1">INDEX({"Painkiller","Antibiotic","Painkiller","Antihistamine","Diabetes","Hypertension","Antacid","Antibiotic","Hypertension","Supplement"},
MATCH(B83,{"Paracetamol","Amoxicillin","Ibuprofen","Cetirizine","Metformin","Amlodipine","Omeprazole","Azithromycin","Losartan","Vitamin C"},0))</f>
        <v>Painkiller</v>
      </c>
      <c r="D83" t="str" cm="1">
        <f t="array" aca="1" ref="D83" ca="1">INDEX({"MedSupply Co","HealthCorp","PharmaPlus","GlobalMed"}, RANDBETWEEN(1,4))</f>
        <v>GlobalMed</v>
      </c>
      <c r="E83">
        <f t="shared" ca="1" si="11"/>
        <v>17</v>
      </c>
      <c r="F83">
        <f t="shared" ca="1" si="12"/>
        <v>58</v>
      </c>
      <c r="G83">
        <f t="shared" ca="1" si="13"/>
        <v>0.85</v>
      </c>
      <c r="H83" s="1">
        <f t="shared" ca="1" si="14"/>
        <v>46161</v>
      </c>
      <c r="I83" s="1">
        <f t="shared" ca="1" si="15"/>
        <v>45975</v>
      </c>
      <c r="J83">
        <f t="shared" ca="1" si="16"/>
        <v>14.45</v>
      </c>
      <c r="K83" t="str">
        <f t="shared" ca="1" si="17"/>
        <v>Low Stock</v>
      </c>
      <c r="L83" s="2">
        <f t="shared" ca="1" si="18"/>
        <v>42</v>
      </c>
      <c r="M83" t="str">
        <f t="shared" ca="1" si="19"/>
        <v>Safe</v>
      </c>
    </row>
    <row r="84" spans="1:13" x14ac:dyDescent="0.25">
      <c r="A84" t="str">
        <f t="shared" si="10"/>
        <v>M083</v>
      </c>
      <c r="B84" t="str" cm="1">
        <f t="array" aca="1" ref="B84" ca="1">INDEX({"Paracetamol","Amoxicillin","Ibuprofen","Cetirizine","Metformin","Amlodipine","Omeprazole","Azithromycin","Losartan","Vitamin C"}, RANDBETWEEN(1,10))</f>
        <v>Cetirizine</v>
      </c>
      <c r="C84" t="str" cm="1">
        <f t="array" aca="1" ref="C84" ca="1">INDEX({"Painkiller","Antibiotic","Painkiller","Antihistamine","Diabetes","Hypertension","Antacid","Antibiotic","Hypertension","Supplement"},
MATCH(B84,{"Paracetamol","Amoxicillin","Ibuprofen","Cetirizine","Metformin","Amlodipine","Omeprazole","Azithromycin","Losartan","Vitamin C"},0))</f>
        <v>Antihistamine</v>
      </c>
      <c r="D84" t="str" cm="1">
        <f t="array" aca="1" ref="D84" ca="1">INDEX({"MedSupply Co","HealthCorp","PharmaPlus","GlobalMed"}, RANDBETWEEN(1,4))</f>
        <v>MedSupply Co</v>
      </c>
      <c r="E84">
        <f t="shared" ca="1" si="11"/>
        <v>174</v>
      </c>
      <c r="F84">
        <f t="shared" ca="1" si="12"/>
        <v>93</v>
      </c>
      <c r="G84">
        <f t="shared" ca="1" si="13"/>
        <v>1.42</v>
      </c>
      <c r="H84" s="1">
        <f t="shared" ca="1" si="14"/>
        <v>46354</v>
      </c>
      <c r="I84" s="1">
        <f t="shared" ca="1" si="15"/>
        <v>46057</v>
      </c>
      <c r="J84">
        <f t="shared" ca="1" si="16"/>
        <v>247.07999999999998</v>
      </c>
      <c r="K84" t="str">
        <f t="shared" ca="1" si="17"/>
        <v>In Stock</v>
      </c>
      <c r="L84" s="2">
        <f t="shared" ca="1" si="18"/>
        <v>235</v>
      </c>
      <c r="M84" t="str">
        <f t="shared" ca="1" si="19"/>
        <v>Safe</v>
      </c>
    </row>
    <row r="85" spans="1:13" x14ac:dyDescent="0.25">
      <c r="A85" t="str">
        <f t="shared" si="10"/>
        <v>M084</v>
      </c>
      <c r="B85" t="str" cm="1">
        <f t="array" aca="1" ref="B85" ca="1">INDEX({"Paracetamol","Amoxicillin","Ibuprofen","Cetirizine","Metformin","Amlodipine","Omeprazole","Azithromycin","Losartan","Vitamin C"}, RANDBETWEEN(1,10))</f>
        <v>Amlodipine</v>
      </c>
      <c r="C85" t="str" cm="1">
        <f t="array" aca="1" ref="C85" ca="1">INDEX({"Painkiller","Antibiotic","Painkiller","Antihistamine","Diabetes","Hypertension","Antacid","Antibiotic","Hypertension","Supplement"},
MATCH(B85,{"Paracetamol","Amoxicillin","Ibuprofen","Cetirizine","Metformin","Amlodipine","Omeprazole","Azithromycin","Losartan","Vitamin C"},0))</f>
        <v>Hypertension</v>
      </c>
      <c r="D85" t="str" cm="1">
        <f t="array" aca="1" ref="D85" ca="1">INDEX({"MedSupply Co","HealthCorp","PharmaPlus","GlobalMed"}, RANDBETWEEN(1,4))</f>
        <v>GlobalMed</v>
      </c>
      <c r="E85">
        <f t="shared" ca="1" si="11"/>
        <v>91</v>
      </c>
      <c r="F85">
        <f t="shared" ca="1" si="12"/>
        <v>47</v>
      </c>
      <c r="G85">
        <f t="shared" ca="1" si="13"/>
        <v>1.32</v>
      </c>
      <c r="H85" s="1">
        <f t="shared" ca="1" si="14"/>
        <v>46445</v>
      </c>
      <c r="I85" s="1">
        <f t="shared" ca="1" si="15"/>
        <v>45966</v>
      </c>
      <c r="J85">
        <f t="shared" ca="1" si="16"/>
        <v>120.12</v>
      </c>
      <c r="K85" t="str">
        <f t="shared" ca="1" si="17"/>
        <v>In Stock</v>
      </c>
      <c r="L85" s="2">
        <f t="shared" ca="1" si="18"/>
        <v>326</v>
      </c>
      <c r="M85" t="str">
        <f t="shared" ca="1" si="19"/>
        <v>Safe</v>
      </c>
    </row>
    <row r="86" spans="1:13" x14ac:dyDescent="0.25">
      <c r="A86" t="str">
        <f t="shared" si="10"/>
        <v>M085</v>
      </c>
      <c r="B86" t="str" cm="1">
        <f t="array" aca="1" ref="B86" ca="1">INDEX({"Paracetamol","Amoxicillin","Ibuprofen","Cetirizine","Metformin","Amlodipine","Omeprazole","Azithromycin","Losartan","Vitamin C"}, RANDBETWEEN(1,10))</f>
        <v>Losartan</v>
      </c>
      <c r="C86" t="str" cm="1">
        <f t="array" aca="1" ref="C86" ca="1">INDEX({"Painkiller","Antibiotic","Painkiller","Antihistamine","Diabetes","Hypertension","Antacid","Antibiotic","Hypertension","Supplement"},
MATCH(B86,{"Paracetamol","Amoxicillin","Ibuprofen","Cetirizine","Metformin","Amlodipine","Omeprazole","Azithromycin","Losartan","Vitamin C"},0))</f>
        <v>Hypertension</v>
      </c>
      <c r="D86" t="str" cm="1">
        <f t="array" aca="1" ref="D86" ca="1">INDEX({"MedSupply Co","HealthCorp","PharmaPlus","GlobalMed"}, RANDBETWEEN(1,4))</f>
        <v>GlobalMed</v>
      </c>
      <c r="E86">
        <f t="shared" ca="1" si="11"/>
        <v>73</v>
      </c>
      <c r="F86">
        <f t="shared" ca="1" si="12"/>
        <v>48</v>
      </c>
      <c r="G86">
        <f t="shared" ca="1" si="13"/>
        <v>0.71</v>
      </c>
      <c r="H86" s="1">
        <f t="shared" ca="1" si="14"/>
        <v>46182</v>
      </c>
      <c r="I86" s="1">
        <f t="shared" ca="1" si="15"/>
        <v>46113</v>
      </c>
      <c r="J86">
        <f t="shared" ca="1" si="16"/>
        <v>51.83</v>
      </c>
      <c r="K86" t="str">
        <f t="shared" ca="1" si="17"/>
        <v>In Stock</v>
      </c>
      <c r="L86" s="2">
        <f t="shared" ca="1" si="18"/>
        <v>63</v>
      </c>
      <c r="M86" t="str">
        <f t="shared" ca="1" si="19"/>
        <v>Safe</v>
      </c>
    </row>
    <row r="87" spans="1:13" x14ac:dyDescent="0.25">
      <c r="A87" t="str">
        <f t="shared" si="10"/>
        <v>M086</v>
      </c>
      <c r="B87" t="str" cm="1">
        <f t="array" aca="1" ref="B87" ca="1">INDEX({"Paracetamol","Amoxicillin","Ibuprofen","Cetirizine","Metformin","Amlodipine","Omeprazole","Azithromycin","Losartan","Vitamin C"}, RANDBETWEEN(1,10))</f>
        <v>Metformin</v>
      </c>
      <c r="C87" t="str" cm="1">
        <f t="array" aca="1" ref="C87" ca="1">INDEX({"Painkiller","Antibiotic","Painkiller","Antihistamine","Diabetes","Hypertension","Antacid","Antibiotic","Hypertension","Supplement"},
MATCH(B87,{"Paracetamol","Amoxicillin","Ibuprofen","Cetirizine","Metformin","Amlodipine","Omeprazole","Azithromycin","Losartan","Vitamin C"},0))</f>
        <v>Diabetes</v>
      </c>
      <c r="D87" t="str" cm="1">
        <f t="array" aca="1" ref="D87" ca="1">INDEX({"MedSupply Co","HealthCorp","PharmaPlus","GlobalMed"}, RANDBETWEEN(1,4))</f>
        <v>HealthCorp</v>
      </c>
      <c r="E87">
        <f t="shared" ca="1" si="11"/>
        <v>181</v>
      </c>
      <c r="F87">
        <f t="shared" ca="1" si="12"/>
        <v>49</v>
      </c>
      <c r="G87">
        <f t="shared" ca="1" si="13"/>
        <v>0.78</v>
      </c>
      <c r="H87" s="1">
        <f t="shared" ca="1" si="14"/>
        <v>46429</v>
      </c>
      <c r="I87" s="1">
        <f t="shared" ca="1" si="15"/>
        <v>45964</v>
      </c>
      <c r="J87">
        <f t="shared" ca="1" si="16"/>
        <v>141.18</v>
      </c>
      <c r="K87" t="str">
        <f t="shared" ca="1" si="17"/>
        <v>In Stock</v>
      </c>
      <c r="L87" s="2">
        <f t="shared" ca="1" si="18"/>
        <v>310</v>
      </c>
      <c r="M87" t="str">
        <f t="shared" ca="1" si="19"/>
        <v>Safe</v>
      </c>
    </row>
    <row r="88" spans="1:13" x14ac:dyDescent="0.25">
      <c r="A88" t="str">
        <f t="shared" si="10"/>
        <v>M087</v>
      </c>
      <c r="B88" t="str" cm="1">
        <f t="array" aca="1" ref="B88" ca="1">INDEX({"Paracetamol","Amoxicillin","Ibuprofen","Cetirizine","Metformin","Amlodipine","Omeprazole","Azithromycin","Losartan","Vitamin C"}, RANDBETWEEN(1,10))</f>
        <v>Omeprazole</v>
      </c>
      <c r="C88" t="str" cm="1">
        <f t="array" aca="1" ref="C88" ca="1">INDEX({"Painkiller","Antibiotic","Painkiller","Antihistamine","Diabetes","Hypertension","Antacid","Antibiotic","Hypertension","Supplement"},
MATCH(B88,{"Paracetamol","Amoxicillin","Ibuprofen","Cetirizine","Metformin","Amlodipine","Omeprazole","Azithromycin","Losartan","Vitamin C"},0))</f>
        <v>Antacid</v>
      </c>
      <c r="D88" t="str" cm="1">
        <f t="array" aca="1" ref="D88" ca="1">INDEX({"MedSupply Co","HealthCorp","PharmaPlus","GlobalMed"}, RANDBETWEEN(1,4))</f>
        <v>PharmaPlus</v>
      </c>
      <c r="E88">
        <f t="shared" ca="1" si="11"/>
        <v>127</v>
      </c>
      <c r="F88">
        <f t="shared" ca="1" si="12"/>
        <v>63</v>
      </c>
      <c r="G88">
        <f t="shared" ca="1" si="13"/>
        <v>1.47</v>
      </c>
      <c r="H88" s="1">
        <f t="shared" ca="1" si="14"/>
        <v>46347</v>
      </c>
      <c r="I88" s="1">
        <f t="shared" ca="1" si="15"/>
        <v>46057</v>
      </c>
      <c r="J88">
        <f t="shared" ca="1" si="16"/>
        <v>186.69</v>
      </c>
      <c r="K88" t="str">
        <f t="shared" ca="1" si="17"/>
        <v>In Stock</v>
      </c>
      <c r="L88" s="2">
        <f t="shared" ca="1" si="18"/>
        <v>228</v>
      </c>
      <c r="M88" t="str">
        <f t="shared" ca="1" si="19"/>
        <v>Safe</v>
      </c>
    </row>
    <row r="89" spans="1:13" x14ac:dyDescent="0.25">
      <c r="A89" t="str">
        <f t="shared" si="10"/>
        <v>M088</v>
      </c>
      <c r="B89" t="str" cm="1">
        <f t="array" aca="1" ref="B89" ca="1">INDEX({"Paracetamol","Amoxicillin","Ibuprofen","Cetirizine","Metformin","Amlodipine","Omeprazole","Azithromycin","Losartan","Vitamin C"}, RANDBETWEEN(1,10))</f>
        <v>Losartan</v>
      </c>
      <c r="C89" t="str" cm="1">
        <f t="array" aca="1" ref="C89" ca="1">INDEX({"Painkiller","Antibiotic","Painkiller","Antihistamine","Diabetes","Hypertension","Antacid","Antibiotic","Hypertension","Supplement"},
MATCH(B89,{"Paracetamol","Amoxicillin","Ibuprofen","Cetirizine","Metformin","Amlodipine","Omeprazole","Azithromycin","Losartan","Vitamin C"},0))</f>
        <v>Hypertension</v>
      </c>
      <c r="D89" t="str" cm="1">
        <f t="array" aca="1" ref="D89" ca="1">INDEX({"MedSupply Co","HealthCorp","PharmaPlus","GlobalMed"}, RANDBETWEEN(1,4))</f>
        <v>HealthCorp</v>
      </c>
      <c r="E89">
        <f t="shared" ca="1" si="11"/>
        <v>103</v>
      </c>
      <c r="F89">
        <f t="shared" ca="1" si="12"/>
        <v>75</v>
      </c>
      <c r="G89">
        <f t="shared" ca="1" si="13"/>
        <v>1.69</v>
      </c>
      <c r="H89" s="1">
        <f t="shared" ca="1" si="14"/>
        <v>46473</v>
      </c>
      <c r="I89" s="1">
        <f t="shared" ca="1" si="15"/>
        <v>45940</v>
      </c>
      <c r="J89">
        <f t="shared" ca="1" si="16"/>
        <v>174.07</v>
      </c>
      <c r="K89" t="str">
        <f t="shared" ca="1" si="17"/>
        <v>In Stock</v>
      </c>
      <c r="L89" s="2">
        <f t="shared" ca="1" si="18"/>
        <v>354</v>
      </c>
      <c r="M89" t="str">
        <f t="shared" ca="1" si="19"/>
        <v>Safe</v>
      </c>
    </row>
    <row r="90" spans="1:13" x14ac:dyDescent="0.25">
      <c r="A90" t="str">
        <f t="shared" si="10"/>
        <v>M089</v>
      </c>
      <c r="B90" t="str" cm="1">
        <f t="array" aca="1" ref="B90" ca="1">INDEX({"Paracetamol","Amoxicillin","Ibuprofen","Cetirizine","Metformin","Amlodipine","Omeprazole","Azithromycin","Losartan","Vitamin C"}, RANDBETWEEN(1,10))</f>
        <v>Metformin</v>
      </c>
      <c r="C90" t="str" cm="1">
        <f t="array" aca="1" ref="C90" ca="1">INDEX({"Painkiller","Antibiotic","Painkiller","Antihistamine","Diabetes","Hypertension","Antacid","Antibiotic","Hypertension","Supplement"},
MATCH(B90,{"Paracetamol","Amoxicillin","Ibuprofen","Cetirizine","Metformin","Amlodipine","Omeprazole","Azithromycin","Losartan","Vitamin C"},0))</f>
        <v>Diabetes</v>
      </c>
      <c r="D90" t="str" cm="1">
        <f t="array" aca="1" ref="D90" ca="1">INDEX({"MedSupply Co","HealthCorp","PharmaPlus","GlobalMed"}, RANDBETWEEN(1,4))</f>
        <v>GlobalMed</v>
      </c>
      <c r="E90">
        <f t="shared" ca="1" si="11"/>
        <v>158</v>
      </c>
      <c r="F90">
        <f t="shared" ca="1" si="12"/>
        <v>48</v>
      </c>
      <c r="G90">
        <f t="shared" ca="1" si="13"/>
        <v>1.65</v>
      </c>
      <c r="H90" s="1">
        <f t="shared" ca="1" si="14"/>
        <v>46453</v>
      </c>
      <c r="I90" s="1">
        <f t="shared" ca="1" si="15"/>
        <v>45948</v>
      </c>
      <c r="J90">
        <f t="shared" ca="1" si="16"/>
        <v>260.7</v>
      </c>
      <c r="K90" t="str">
        <f t="shared" ca="1" si="17"/>
        <v>In Stock</v>
      </c>
      <c r="L90" s="2">
        <f t="shared" ca="1" si="18"/>
        <v>334</v>
      </c>
      <c r="M90" t="str">
        <f t="shared" ca="1" si="19"/>
        <v>Safe</v>
      </c>
    </row>
    <row r="91" spans="1:13" x14ac:dyDescent="0.25">
      <c r="A91" t="str">
        <f t="shared" si="10"/>
        <v>M090</v>
      </c>
      <c r="B91" t="str" cm="1">
        <f t="array" aca="1" ref="B91" ca="1">INDEX({"Paracetamol","Amoxicillin","Ibuprofen","Cetirizine","Metformin","Amlodipine","Omeprazole","Azithromycin","Losartan","Vitamin C"}, RANDBETWEEN(1,10))</f>
        <v>Cetirizine</v>
      </c>
      <c r="C91" t="str" cm="1">
        <f t="array" aca="1" ref="C91" ca="1">INDEX({"Painkiller","Antibiotic","Painkiller","Antihistamine","Diabetes","Hypertension","Antacid","Antibiotic","Hypertension","Supplement"},
MATCH(B91,{"Paracetamol","Amoxicillin","Ibuprofen","Cetirizine","Metformin","Amlodipine","Omeprazole","Azithromycin","Losartan","Vitamin C"},0))</f>
        <v>Antihistamine</v>
      </c>
      <c r="D91" t="str" cm="1">
        <f t="array" aca="1" ref="D91" ca="1">INDEX({"MedSupply Co","HealthCorp","PharmaPlus","GlobalMed"}, RANDBETWEEN(1,4))</f>
        <v>GlobalMed</v>
      </c>
      <c r="E91">
        <f t="shared" ca="1" si="11"/>
        <v>190</v>
      </c>
      <c r="F91">
        <f t="shared" ca="1" si="12"/>
        <v>78</v>
      </c>
      <c r="G91">
        <f t="shared" ca="1" si="13"/>
        <v>0.68</v>
      </c>
      <c r="H91" s="1">
        <f t="shared" ca="1" si="14"/>
        <v>46254</v>
      </c>
      <c r="I91" s="1">
        <f t="shared" ca="1" si="15"/>
        <v>46032</v>
      </c>
      <c r="J91">
        <f t="shared" ca="1" si="16"/>
        <v>129.20000000000002</v>
      </c>
      <c r="K91" t="str">
        <f t="shared" ca="1" si="17"/>
        <v>In Stock</v>
      </c>
      <c r="L91" s="2">
        <f t="shared" ca="1" si="18"/>
        <v>135</v>
      </c>
      <c r="M91" t="str">
        <f t="shared" ca="1" si="19"/>
        <v>Safe</v>
      </c>
    </row>
    <row r="92" spans="1:13" x14ac:dyDescent="0.25">
      <c r="A92" t="str">
        <f t="shared" si="10"/>
        <v>M091</v>
      </c>
      <c r="B92" t="str" cm="1">
        <f t="array" aca="1" ref="B92" ca="1">INDEX({"Paracetamol","Amoxicillin","Ibuprofen","Cetirizine","Metformin","Amlodipine","Omeprazole","Azithromycin","Losartan","Vitamin C"}, RANDBETWEEN(1,10))</f>
        <v>Omeprazole</v>
      </c>
      <c r="C92" t="str" cm="1">
        <f t="array" aca="1" ref="C92" ca="1">INDEX({"Painkiller","Antibiotic","Painkiller","Antihistamine","Diabetes","Hypertension","Antacid","Antibiotic","Hypertension","Supplement"},
MATCH(B92,{"Paracetamol","Amoxicillin","Ibuprofen","Cetirizine","Metformin","Amlodipine","Omeprazole","Azithromycin","Losartan","Vitamin C"},0))</f>
        <v>Antacid</v>
      </c>
      <c r="D92" t="str" cm="1">
        <f t="array" aca="1" ref="D92" ca="1">INDEX({"MedSupply Co","HealthCorp","PharmaPlus","GlobalMed"}, RANDBETWEEN(1,4))</f>
        <v>MedSupply Co</v>
      </c>
      <c r="E92">
        <f t="shared" ca="1" si="11"/>
        <v>150</v>
      </c>
      <c r="F92">
        <f t="shared" ca="1" si="12"/>
        <v>84</v>
      </c>
      <c r="G92">
        <f t="shared" ca="1" si="13"/>
        <v>0.72</v>
      </c>
      <c r="H92" s="1">
        <f t="shared" ca="1" si="14"/>
        <v>46479</v>
      </c>
      <c r="I92" s="1">
        <f t="shared" ca="1" si="15"/>
        <v>46058</v>
      </c>
      <c r="J92">
        <f t="shared" ca="1" si="16"/>
        <v>108</v>
      </c>
      <c r="K92" t="str">
        <f t="shared" ca="1" si="17"/>
        <v>In Stock</v>
      </c>
      <c r="L92" s="2">
        <f t="shared" ca="1" si="18"/>
        <v>360</v>
      </c>
      <c r="M92" t="str">
        <f t="shared" ca="1" si="19"/>
        <v>Safe</v>
      </c>
    </row>
    <row r="93" spans="1:13" x14ac:dyDescent="0.25">
      <c r="A93" t="str">
        <f t="shared" si="10"/>
        <v>M092</v>
      </c>
      <c r="B93" t="str" cm="1">
        <f t="array" aca="1" ref="B93" ca="1">INDEX({"Paracetamol","Amoxicillin","Ibuprofen","Cetirizine","Metformin","Amlodipine","Omeprazole","Azithromycin","Losartan","Vitamin C"}, RANDBETWEEN(1,10))</f>
        <v>Ibuprofen</v>
      </c>
      <c r="C93" t="str" cm="1">
        <f t="array" aca="1" ref="C93" ca="1">INDEX({"Painkiller","Antibiotic","Painkiller","Antihistamine","Diabetes","Hypertension","Antacid","Antibiotic","Hypertension","Supplement"},
MATCH(B93,{"Paracetamol","Amoxicillin","Ibuprofen","Cetirizine","Metformin","Amlodipine","Omeprazole","Azithromycin","Losartan","Vitamin C"},0))</f>
        <v>Painkiller</v>
      </c>
      <c r="D93" t="str" cm="1">
        <f t="array" aca="1" ref="D93" ca="1">INDEX({"MedSupply Co","HealthCorp","PharmaPlus","GlobalMed"}, RANDBETWEEN(1,4))</f>
        <v>MedSupply Co</v>
      </c>
      <c r="E93">
        <f t="shared" ca="1" si="11"/>
        <v>164</v>
      </c>
      <c r="F93">
        <f t="shared" ca="1" si="12"/>
        <v>44</v>
      </c>
      <c r="G93">
        <f t="shared" ca="1" si="13"/>
        <v>1.41</v>
      </c>
      <c r="H93" s="1">
        <f t="shared" ca="1" si="14"/>
        <v>46355</v>
      </c>
      <c r="I93" s="1">
        <f t="shared" ca="1" si="15"/>
        <v>46115</v>
      </c>
      <c r="J93">
        <f t="shared" ca="1" si="16"/>
        <v>231.23999999999998</v>
      </c>
      <c r="K93" t="str">
        <f t="shared" ca="1" si="17"/>
        <v>In Stock</v>
      </c>
      <c r="L93" s="2">
        <f t="shared" ca="1" si="18"/>
        <v>236</v>
      </c>
      <c r="M93" t="str">
        <f t="shared" ca="1" si="19"/>
        <v>Safe</v>
      </c>
    </row>
    <row r="94" spans="1:13" x14ac:dyDescent="0.25">
      <c r="A94" t="str">
        <f t="shared" si="10"/>
        <v>M093</v>
      </c>
      <c r="B94" t="str" cm="1">
        <f t="array" aca="1" ref="B94" ca="1">INDEX({"Paracetamol","Amoxicillin","Ibuprofen","Cetirizine","Metformin","Amlodipine","Omeprazole","Azithromycin","Losartan","Vitamin C"}, RANDBETWEEN(1,10))</f>
        <v>Azithromycin</v>
      </c>
      <c r="C94" t="str" cm="1">
        <f t="array" aca="1" ref="C94" ca="1">INDEX({"Painkiller","Antibiotic","Painkiller","Antihistamine","Diabetes","Hypertension","Antacid","Antibiotic","Hypertension","Supplement"},
MATCH(B94,{"Paracetamol","Amoxicillin","Ibuprofen","Cetirizine","Metformin","Amlodipine","Omeprazole","Azithromycin","Losartan","Vitamin C"},0))</f>
        <v>Antibiotic</v>
      </c>
      <c r="D94" t="str" cm="1">
        <f t="array" aca="1" ref="D94" ca="1">INDEX({"MedSupply Co","HealthCorp","PharmaPlus","GlobalMed"}, RANDBETWEEN(1,4))</f>
        <v>GlobalMed</v>
      </c>
      <c r="E94">
        <f t="shared" ca="1" si="11"/>
        <v>41</v>
      </c>
      <c r="F94">
        <f t="shared" ca="1" si="12"/>
        <v>45</v>
      </c>
      <c r="G94">
        <f t="shared" ca="1" si="13"/>
        <v>1.57</v>
      </c>
      <c r="H94" s="1">
        <f t="shared" ca="1" si="14"/>
        <v>46394</v>
      </c>
      <c r="I94" s="1">
        <f t="shared" ca="1" si="15"/>
        <v>46071</v>
      </c>
      <c r="J94">
        <f t="shared" ca="1" si="16"/>
        <v>64.37</v>
      </c>
      <c r="K94" t="str">
        <f t="shared" ca="1" si="17"/>
        <v>Low Stock</v>
      </c>
      <c r="L94" s="2">
        <f t="shared" ca="1" si="18"/>
        <v>275</v>
      </c>
      <c r="M94" t="str">
        <f t="shared" ca="1" si="19"/>
        <v>Safe</v>
      </c>
    </row>
    <row r="95" spans="1:13" x14ac:dyDescent="0.25">
      <c r="A95" t="str">
        <f t="shared" si="10"/>
        <v>M094</v>
      </c>
      <c r="B95" t="str" cm="1">
        <f t="array" aca="1" ref="B95" ca="1">INDEX({"Paracetamol","Amoxicillin","Ibuprofen","Cetirizine","Metformin","Amlodipine","Omeprazole","Azithromycin","Losartan","Vitamin C"}, RANDBETWEEN(1,10))</f>
        <v>Cetirizine</v>
      </c>
      <c r="C95" t="str" cm="1">
        <f t="array" aca="1" ref="C95" ca="1">INDEX({"Painkiller","Antibiotic","Painkiller","Antihistamine","Diabetes","Hypertension","Antacid","Antibiotic","Hypertension","Supplement"},
MATCH(B95,{"Paracetamol","Amoxicillin","Ibuprofen","Cetirizine","Metformin","Amlodipine","Omeprazole","Azithromycin","Losartan","Vitamin C"},0))</f>
        <v>Antihistamine</v>
      </c>
      <c r="D95" t="str" cm="1">
        <f t="array" aca="1" ref="D95" ca="1">INDEX({"MedSupply Co","HealthCorp","PharmaPlus","GlobalMed"}, RANDBETWEEN(1,4))</f>
        <v>MedSupply Co</v>
      </c>
      <c r="E95">
        <f t="shared" ca="1" si="11"/>
        <v>14</v>
      </c>
      <c r="F95">
        <f t="shared" ca="1" si="12"/>
        <v>22</v>
      </c>
      <c r="G95">
        <f t="shared" ca="1" si="13"/>
        <v>1.1200000000000001</v>
      </c>
      <c r="H95" s="1">
        <f t="shared" ca="1" si="14"/>
        <v>46159</v>
      </c>
      <c r="I95" s="1">
        <f t="shared" ca="1" si="15"/>
        <v>46066</v>
      </c>
      <c r="J95">
        <f t="shared" ca="1" si="16"/>
        <v>15.680000000000001</v>
      </c>
      <c r="K95" t="str">
        <f t="shared" ca="1" si="17"/>
        <v>Low Stock</v>
      </c>
      <c r="L95" s="2">
        <f t="shared" ca="1" si="18"/>
        <v>40</v>
      </c>
      <c r="M95" t="str">
        <f t="shared" ca="1" si="19"/>
        <v>Safe</v>
      </c>
    </row>
    <row r="96" spans="1:13" x14ac:dyDescent="0.25">
      <c r="A96" t="str">
        <f t="shared" si="10"/>
        <v>M095</v>
      </c>
      <c r="B96" t="str" cm="1">
        <f t="array" aca="1" ref="B96" ca="1">INDEX({"Paracetamol","Amoxicillin","Ibuprofen","Cetirizine","Metformin","Amlodipine","Omeprazole","Azithromycin","Losartan","Vitamin C"}, RANDBETWEEN(1,10))</f>
        <v>Losartan</v>
      </c>
      <c r="C96" t="str" cm="1">
        <f t="array" aca="1" ref="C96" ca="1">INDEX({"Painkiller","Antibiotic","Painkiller","Antihistamine","Diabetes","Hypertension","Antacid","Antibiotic","Hypertension","Supplement"},
MATCH(B96,{"Paracetamol","Amoxicillin","Ibuprofen","Cetirizine","Metformin","Amlodipine","Omeprazole","Azithromycin","Losartan","Vitamin C"},0))</f>
        <v>Hypertension</v>
      </c>
      <c r="D96" t="str" cm="1">
        <f t="array" aca="1" ref="D96" ca="1">INDEX({"MedSupply Co","HealthCorp","PharmaPlus","GlobalMed"}, RANDBETWEEN(1,4))</f>
        <v>PharmaPlus</v>
      </c>
      <c r="E96">
        <f t="shared" ca="1" si="11"/>
        <v>60</v>
      </c>
      <c r="F96">
        <f t="shared" ca="1" si="12"/>
        <v>95</v>
      </c>
      <c r="G96">
        <f t="shared" ca="1" si="13"/>
        <v>1.01</v>
      </c>
      <c r="H96" s="1">
        <f t="shared" ca="1" si="14"/>
        <v>46151</v>
      </c>
      <c r="I96" s="1">
        <f t="shared" ca="1" si="15"/>
        <v>46049</v>
      </c>
      <c r="J96">
        <f t="shared" ca="1" si="16"/>
        <v>60.6</v>
      </c>
      <c r="K96" t="str">
        <f t="shared" ca="1" si="17"/>
        <v>Low Stock</v>
      </c>
      <c r="L96" s="2">
        <f t="shared" ca="1" si="18"/>
        <v>32</v>
      </c>
      <c r="M96" t="str">
        <f t="shared" ca="1" si="19"/>
        <v>Safe</v>
      </c>
    </row>
    <row r="97" spans="1:13" x14ac:dyDescent="0.25">
      <c r="A97" t="str">
        <f t="shared" si="10"/>
        <v>M096</v>
      </c>
      <c r="B97" t="str" cm="1">
        <f t="array" aca="1" ref="B97" ca="1">INDEX({"Paracetamol","Amoxicillin","Ibuprofen","Cetirizine","Metformin","Amlodipine","Omeprazole","Azithromycin","Losartan","Vitamin C"}, RANDBETWEEN(1,10))</f>
        <v>Azithromycin</v>
      </c>
      <c r="C97" t="str" cm="1">
        <f t="array" aca="1" ref="C97" ca="1">INDEX({"Painkiller","Antibiotic","Painkiller","Antihistamine","Diabetes","Hypertension","Antacid","Antibiotic","Hypertension","Supplement"},
MATCH(B97,{"Paracetamol","Amoxicillin","Ibuprofen","Cetirizine","Metformin","Amlodipine","Omeprazole","Azithromycin","Losartan","Vitamin C"},0))</f>
        <v>Antibiotic</v>
      </c>
      <c r="D97" t="str" cm="1">
        <f t="array" aca="1" ref="D97" ca="1">INDEX({"MedSupply Co","HealthCorp","PharmaPlus","GlobalMed"}, RANDBETWEEN(1,4))</f>
        <v>GlobalMed</v>
      </c>
      <c r="E97">
        <f t="shared" ca="1" si="11"/>
        <v>111</v>
      </c>
      <c r="F97">
        <f t="shared" ca="1" si="12"/>
        <v>43</v>
      </c>
      <c r="G97">
        <f t="shared" ca="1" si="13"/>
        <v>0.78</v>
      </c>
      <c r="H97" s="1">
        <f t="shared" ca="1" si="14"/>
        <v>46304</v>
      </c>
      <c r="I97" s="1">
        <f t="shared" ca="1" si="15"/>
        <v>46017</v>
      </c>
      <c r="J97">
        <f t="shared" ca="1" si="16"/>
        <v>86.58</v>
      </c>
      <c r="K97" t="str">
        <f t="shared" ca="1" si="17"/>
        <v>In Stock</v>
      </c>
      <c r="L97" s="2">
        <f t="shared" ca="1" si="18"/>
        <v>185</v>
      </c>
      <c r="M97" t="str">
        <f t="shared" ca="1" si="19"/>
        <v>Safe</v>
      </c>
    </row>
    <row r="98" spans="1:13" x14ac:dyDescent="0.25">
      <c r="A98" t="str">
        <f t="shared" si="10"/>
        <v>M097</v>
      </c>
      <c r="B98" t="str" cm="1">
        <f t="array" aca="1" ref="B98" ca="1">INDEX({"Paracetamol","Amoxicillin","Ibuprofen","Cetirizine","Metformin","Amlodipine","Omeprazole","Azithromycin","Losartan","Vitamin C"}, RANDBETWEEN(1,10))</f>
        <v>Ibuprofen</v>
      </c>
      <c r="C98" t="str" cm="1">
        <f t="array" aca="1" ref="C98" ca="1">INDEX({"Painkiller","Antibiotic","Painkiller","Antihistamine","Diabetes","Hypertension","Antacid","Antibiotic","Hypertension","Supplement"},
MATCH(B98,{"Paracetamol","Amoxicillin","Ibuprofen","Cetirizine","Metformin","Amlodipine","Omeprazole","Azithromycin","Losartan","Vitamin C"},0))</f>
        <v>Painkiller</v>
      </c>
      <c r="D98" t="str" cm="1">
        <f t="array" aca="1" ref="D98" ca="1">INDEX({"MedSupply Co","HealthCorp","PharmaPlus","GlobalMed"}, RANDBETWEEN(1,4))</f>
        <v>HealthCorp</v>
      </c>
      <c r="E98">
        <f t="shared" ca="1" si="11"/>
        <v>106</v>
      </c>
      <c r="F98">
        <f t="shared" ca="1" si="12"/>
        <v>76</v>
      </c>
      <c r="G98">
        <f t="shared" ca="1" si="13"/>
        <v>1.96</v>
      </c>
      <c r="H98" s="1">
        <f t="shared" ca="1" si="14"/>
        <v>46261</v>
      </c>
      <c r="I98" s="1">
        <f t="shared" ca="1" si="15"/>
        <v>45972</v>
      </c>
      <c r="J98">
        <f t="shared" ca="1" si="16"/>
        <v>207.76</v>
      </c>
      <c r="K98" t="str">
        <f t="shared" ca="1" si="17"/>
        <v>In Stock</v>
      </c>
      <c r="L98" s="2">
        <f t="shared" ca="1" si="18"/>
        <v>142</v>
      </c>
      <c r="M98" t="str">
        <f t="shared" ca="1" si="19"/>
        <v>Safe</v>
      </c>
    </row>
    <row r="99" spans="1:13" x14ac:dyDescent="0.25">
      <c r="A99" t="str">
        <f t="shared" si="10"/>
        <v>M098</v>
      </c>
      <c r="B99" t="str" cm="1">
        <f t="array" aca="1" ref="B99" ca="1">INDEX({"Paracetamol","Amoxicillin","Ibuprofen","Cetirizine","Metformin","Amlodipine","Omeprazole","Azithromycin","Losartan","Vitamin C"}, RANDBETWEEN(1,10))</f>
        <v>Paracetamol</v>
      </c>
      <c r="C99" t="str" cm="1">
        <f t="array" aca="1" ref="C99" ca="1">INDEX({"Painkiller","Antibiotic","Painkiller","Antihistamine","Diabetes","Hypertension","Antacid","Antibiotic","Hypertension","Supplement"},
MATCH(B99,{"Paracetamol","Amoxicillin","Ibuprofen","Cetirizine","Metformin","Amlodipine","Omeprazole","Azithromycin","Losartan","Vitamin C"},0))</f>
        <v>Painkiller</v>
      </c>
      <c r="D99" t="str" cm="1">
        <f t="array" aca="1" ref="D99" ca="1">INDEX({"MedSupply Co","HealthCorp","PharmaPlus","GlobalMed"}, RANDBETWEEN(1,4))</f>
        <v>HealthCorp</v>
      </c>
      <c r="E99">
        <f t="shared" ca="1" si="11"/>
        <v>162</v>
      </c>
      <c r="F99">
        <f t="shared" ca="1" si="12"/>
        <v>99</v>
      </c>
      <c r="G99">
        <f t="shared" ca="1" si="13"/>
        <v>1.85</v>
      </c>
      <c r="H99" s="1">
        <f t="shared" ca="1" si="14"/>
        <v>46171</v>
      </c>
      <c r="I99" s="1">
        <f t="shared" ca="1" si="15"/>
        <v>46078</v>
      </c>
      <c r="J99">
        <f t="shared" ca="1" si="16"/>
        <v>299.7</v>
      </c>
      <c r="K99" t="str">
        <f t="shared" ca="1" si="17"/>
        <v>In Stock</v>
      </c>
      <c r="L99" s="2">
        <f t="shared" ca="1" si="18"/>
        <v>52</v>
      </c>
      <c r="M99" t="str">
        <f t="shared" ca="1" si="19"/>
        <v>Safe</v>
      </c>
    </row>
    <row r="100" spans="1:13" x14ac:dyDescent="0.25">
      <c r="A100" t="str">
        <f t="shared" si="10"/>
        <v>M099</v>
      </c>
      <c r="B100" t="str" cm="1">
        <f t="array" aca="1" ref="B100" ca="1">INDEX({"Paracetamol","Amoxicillin","Ibuprofen","Cetirizine","Metformin","Amlodipine","Omeprazole","Azithromycin","Losartan","Vitamin C"}, RANDBETWEEN(1,10))</f>
        <v>Vitamin C</v>
      </c>
      <c r="C100" t="str" cm="1">
        <f t="array" aca="1" ref="C100" ca="1">INDEX({"Painkiller","Antibiotic","Painkiller","Antihistamine","Diabetes","Hypertension","Antacid","Antibiotic","Hypertension","Supplement"},
MATCH(B100,{"Paracetamol","Amoxicillin","Ibuprofen","Cetirizine","Metformin","Amlodipine","Omeprazole","Azithromycin","Losartan","Vitamin C"},0))</f>
        <v>Supplement</v>
      </c>
      <c r="D100" t="str" cm="1">
        <f t="array" aca="1" ref="D100" ca="1">INDEX({"MedSupply Co","HealthCorp","PharmaPlus","GlobalMed"}, RANDBETWEEN(1,4))</f>
        <v>GlobalMed</v>
      </c>
      <c r="E100">
        <f t="shared" ca="1" si="11"/>
        <v>21</v>
      </c>
      <c r="F100">
        <f t="shared" ca="1" si="12"/>
        <v>45</v>
      </c>
      <c r="G100">
        <f t="shared" ca="1" si="13"/>
        <v>1.36</v>
      </c>
      <c r="H100" s="1">
        <f t="shared" ca="1" si="14"/>
        <v>46295</v>
      </c>
      <c r="I100" s="1">
        <f t="shared" ca="1" si="15"/>
        <v>46018</v>
      </c>
      <c r="J100">
        <f t="shared" ca="1" si="16"/>
        <v>28.560000000000002</v>
      </c>
      <c r="K100" t="str">
        <f t="shared" ca="1" si="17"/>
        <v>Low Stock</v>
      </c>
      <c r="L100" s="2">
        <f t="shared" ca="1" si="18"/>
        <v>176</v>
      </c>
      <c r="M100" t="str">
        <f t="shared" ca="1" si="19"/>
        <v>Safe</v>
      </c>
    </row>
    <row r="101" spans="1:13" x14ac:dyDescent="0.25">
      <c r="A101" t="str">
        <f t="shared" si="10"/>
        <v>M100</v>
      </c>
      <c r="B101" t="str" cm="1">
        <f t="array" aca="1" ref="B101" ca="1">INDEX({"Paracetamol","Amoxicillin","Ibuprofen","Cetirizine","Metformin","Amlodipine","Omeprazole","Azithromycin","Losartan","Vitamin C"}, RANDBETWEEN(1,10))</f>
        <v>Metformin</v>
      </c>
      <c r="C101" t="str" cm="1">
        <f t="array" aca="1" ref="C101" ca="1">INDEX({"Painkiller","Antibiotic","Painkiller","Antihistamine","Diabetes","Hypertension","Antacid","Antibiotic","Hypertension","Supplement"},
MATCH(B101,{"Paracetamol","Amoxicillin","Ibuprofen","Cetirizine","Metformin","Amlodipine","Omeprazole","Azithromycin","Losartan","Vitamin C"},0))</f>
        <v>Diabetes</v>
      </c>
      <c r="D101" t="str" cm="1">
        <f t="array" aca="1" ref="D101" ca="1">INDEX({"MedSupply Co","HealthCorp","PharmaPlus","GlobalMed"}, RANDBETWEEN(1,4))</f>
        <v>PharmaPlus</v>
      </c>
      <c r="E101">
        <f t="shared" ca="1" si="11"/>
        <v>76</v>
      </c>
      <c r="F101">
        <f t="shared" ca="1" si="12"/>
        <v>68</v>
      </c>
      <c r="G101">
        <f t="shared" ca="1" si="13"/>
        <v>0.69</v>
      </c>
      <c r="H101" s="1">
        <f t="shared" ca="1" si="14"/>
        <v>46189</v>
      </c>
      <c r="I101" s="1">
        <f t="shared" ca="1" si="15"/>
        <v>46029</v>
      </c>
      <c r="J101">
        <f t="shared" ca="1" si="16"/>
        <v>52.44</v>
      </c>
      <c r="K101" t="str">
        <f t="shared" ca="1" si="17"/>
        <v>In Stock</v>
      </c>
      <c r="L101" s="2">
        <f t="shared" ca="1" si="18"/>
        <v>70</v>
      </c>
      <c r="M101" t="str">
        <f t="shared" ca="1" si="19"/>
        <v>Safe</v>
      </c>
    </row>
    <row r="102" spans="1:13" x14ac:dyDescent="0.25">
      <c r="A102" t="str">
        <f t="shared" si="10"/>
        <v>M101</v>
      </c>
      <c r="B102" t="str" cm="1">
        <f t="array" aca="1" ref="B102" ca="1">INDEX({"Paracetamol","Amoxicillin","Ibuprofen","Cetirizine","Metformin","Amlodipine","Omeprazole","Azithromycin","Losartan","Vitamin C"}, RANDBETWEEN(1,10))</f>
        <v>Omeprazole</v>
      </c>
      <c r="C102" t="str" cm="1">
        <f t="array" aca="1" ref="C102" ca="1">INDEX({"Painkiller","Antibiotic","Painkiller","Antihistamine","Diabetes","Hypertension","Antacid","Antibiotic","Hypertension","Supplement"},
MATCH(B102,{"Paracetamol","Amoxicillin","Ibuprofen","Cetirizine","Metformin","Amlodipine","Omeprazole","Azithromycin","Losartan","Vitamin C"},0))</f>
        <v>Antacid</v>
      </c>
      <c r="D102" t="str" cm="1">
        <f t="array" aca="1" ref="D102" ca="1">INDEX({"MedSupply Co","HealthCorp","PharmaPlus","GlobalMed"}, RANDBETWEEN(1,4))</f>
        <v>HealthCorp</v>
      </c>
      <c r="E102">
        <f t="shared" ca="1" si="11"/>
        <v>57</v>
      </c>
      <c r="F102">
        <f t="shared" ca="1" si="12"/>
        <v>91</v>
      </c>
      <c r="G102">
        <f t="shared" ca="1" si="13"/>
        <v>1.66</v>
      </c>
      <c r="H102" s="1">
        <f t="shared" ca="1" si="14"/>
        <v>46166</v>
      </c>
      <c r="I102" s="1">
        <f t="shared" ca="1" si="15"/>
        <v>45955</v>
      </c>
      <c r="J102">
        <f t="shared" ca="1" si="16"/>
        <v>94.61999999999999</v>
      </c>
      <c r="K102" t="str">
        <f t="shared" ca="1" si="17"/>
        <v>Low Stock</v>
      </c>
      <c r="L102" s="2">
        <f t="shared" ca="1" si="18"/>
        <v>47</v>
      </c>
      <c r="M102" t="str">
        <f t="shared" ca="1" si="19"/>
        <v>Safe</v>
      </c>
    </row>
    <row r="103" spans="1:13" x14ac:dyDescent="0.25">
      <c r="A103" t="str">
        <f t="shared" si="10"/>
        <v>M102</v>
      </c>
      <c r="B103" t="str" cm="1">
        <f t="array" aca="1" ref="B103" ca="1">INDEX({"Paracetamol","Amoxicillin","Ibuprofen","Cetirizine","Metformin","Amlodipine","Omeprazole","Azithromycin","Losartan","Vitamin C"}, RANDBETWEEN(1,10))</f>
        <v>Vitamin C</v>
      </c>
      <c r="C103" t="str" cm="1">
        <f t="array" aca="1" ref="C103" ca="1">INDEX({"Painkiller","Antibiotic","Painkiller","Antihistamine","Diabetes","Hypertension","Antacid","Antibiotic","Hypertension","Supplement"},
MATCH(B103,{"Paracetamol","Amoxicillin","Ibuprofen","Cetirizine","Metformin","Amlodipine","Omeprazole","Azithromycin","Losartan","Vitamin C"},0))</f>
        <v>Supplement</v>
      </c>
      <c r="D103" t="str" cm="1">
        <f t="array" aca="1" ref="D103" ca="1">INDEX({"MedSupply Co","HealthCorp","PharmaPlus","GlobalMed"}, RANDBETWEEN(1,4))</f>
        <v>GlobalMed</v>
      </c>
      <c r="E103">
        <f t="shared" ca="1" si="11"/>
        <v>36</v>
      </c>
      <c r="F103">
        <f t="shared" ca="1" si="12"/>
        <v>49</v>
      </c>
      <c r="G103">
        <f t="shared" ca="1" si="13"/>
        <v>1.62</v>
      </c>
      <c r="H103" s="1">
        <f t="shared" ca="1" si="14"/>
        <v>46228</v>
      </c>
      <c r="I103" s="1">
        <f t="shared" ca="1" si="15"/>
        <v>45991</v>
      </c>
      <c r="J103">
        <f t="shared" ca="1" si="16"/>
        <v>58.320000000000007</v>
      </c>
      <c r="K103" t="str">
        <f t="shared" ca="1" si="17"/>
        <v>Low Stock</v>
      </c>
      <c r="L103" s="2">
        <f t="shared" ca="1" si="18"/>
        <v>109</v>
      </c>
      <c r="M103" t="str">
        <f t="shared" ca="1" si="19"/>
        <v>Safe</v>
      </c>
    </row>
    <row r="104" spans="1:13" x14ac:dyDescent="0.25">
      <c r="A104" t="str">
        <f t="shared" si="10"/>
        <v>M103</v>
      </c>
      <c r="B104" t="str" cm="1">
        <f t="array" aca="1" ref="B104" ca="1">INDEX({"Paracetamol","Amoxicillin","Ibuprofen","Cetirizine","Metformin","Amlodipine","Omeprazole","Azithromycin","Losartan","Vitamin C"}, RANDBETWEEN(1,10))</f>
        <v>Amoxicillin</v>
      </c>
      <c r="C104" t="str" cm="1">
        <f t="array" aca="1" ref="C104" ca="1">INDEX({"Painkiller","Antibiotic","Painkiller","Antihistamine","Diabetes","Hypertension","Antacid","Antibiotic","Hypertension","Supplement"},
MATCH(B104,{"Paracetamol","Amoxicillin","Ibuprofen","Cetirizine","Metformin","Amlodipine","Omeprazole","Azithromycin","Losartan","Vitamin C"},0))</f>
        <v>Antibiotic</v>
      </c>
      <c r="D104" t="str" cm="1">
        <f t="array" aca="1" ref="D104" ca="1">INDEX({"MedSupply Co","HealthCorp","PharmaPlus","GlobalMed"}, RANDBETWEEN(1,4))</f>
        <v>PharmaPlus</v>
      </c>
      <c r="E104">
        <f t="shared" ca="1" si="11"/>
        <v>130</v>
      </c>
      <c r="F104">
        <f t="shared" ca="1" si="12"/>
        <v>54</v>
      </c>
      <c r="G104">
        <f t="shared" ca="1" si="13"/>
        <v>0.73</v>
      </c>
      <c r="H104" s="1">
        <f t="shared" ca="1" si="14"/>
        <v>46234</v>
      </c>
      <c r="I104" s="1">
        <f t="shared" ca="1" si="15"/>
        <v>46030</v>
      </c>
      <c r="J104">
        <f t="shared" ca="1" si="16"/>
        <v>94.899999999999991</v>
      </c>
      <c r="K104" t="str">
        <f t="shared" ca="1" si="17"/>
        <v>In Stock</v>
      </c>
      <c r="L104" s="2">
        <f t="shared" ca="1" si="18"/>
        <v>115</v>
      </c>
      <c r="M104" t="str">
        <f t="shared" ca="1" si="19"/>
        <v>Safe</v>
      </c>
    </row>
    <row r="105" spans="1:13" x14ac:dyDescent="0.25">
      <c r="A105" t="str">
        <f t="shared" si="10"/>
        <v>M104</v>
      </c>
      <c r="B105" t="str" cm="1">
        <f t="array" aca="1" ref="B105" ca="1">INDEX({"Paracetamol","Amoxicillin","Ibuprofen","Cetirizine","Metformin","Amlodipine","Omeprazole","Azithromycin","Losartan","Vitamin C"}, RANDBETWEEN(1,10))</f>
        <v>Losartan</v>
      </c>
      <c r="C105" t="str" cm="1">
        <f t="array" aca="1" ref="C105" ca="1">INDEX({"Painkiller","Antibiotic","Painkiller","Antihistamine","Diabetes","Hypertension","Antacid","Antibiotic","Hypertension","Supplement"},
MATCH(B105,{"Paracetamol","Amoxicillin","Ibuprofen","Cetirizine","Metformin","Amlodipine","Omeprazole","Azithromycin","Losartan","Vitamin C"},0))</f>
        <v>Hypertension</v>
      </c>
      <c r="D105" t="str" cm="1">
        <f t="array" aca="1" ref="D105" ca="1">INDEX({"MedSupply Co","HealthCorp","PharmaPlus","GlobalMed"}, RANDBETWEEN(1,4))</f>
        <v>MedSupply Co</v>
      </c>
      <c r="E105">
        <f t="shared" ca="1" si="11"/>
        <v>122</v>
      </c>
      <c r="F105">
        <f t="shared" ca="1" si="12"/>
        <v>23</v>
      </c>
      <c r="G105">
        <f t="shared" ca="1" si="13"/>
        <v>1.25</v>
      </c>
      <c r="H105" s="1">
        <f t="shared" ca="1" si="14"/>
        <v>46150</v>
      </c>
      <c r="I105" s="1">
        <f t="shared" ca="1" si="15"/>
        <v>46033</v>
      </c>
      <c r="J105">
        <f t="shared" ca="1" si="16"/>
        <v>152.5</v>
      </c>
      <c r="K105" t="str">
        <f t="shared" ca="1" si="17"/>
        <v>In Stock</v>
      </c>
      <c r="L105" s="2">
        <f t="shared" ca="1" si="18"/>
        <v>31</v>
      </c>
      <c r="M105" t="str">
        <f t="shared" ca="1" si="19"/>
        <v>Safe</v>
      </c>
    </row>
    <row r="106" spans="1:13" x14ac:dyDescent="0.25">
      <c r="A106" t="str">
        <f t="shared" si="10"/>
        <v>M105</v>
      </c>
      <c r="B106" t="str" cm="1">
        <f t="array" aca="1" ref="B106" ca="1">INDEX({"Paracetamol","Amoxicillin","Ibuprofen","Cetirizine","Metformin","Amlodipine","Omeprazole","Azithromycin","Losartan","Vitamin C"}, RANDBETWEEN(1,10))</f>
        <v>Amoxicillin</v>
      </c>
      <c r="C106" t="str" cm="1">
        <f t="array" aca="1" ref="C106" ca="1">INDEX({"Painkiller","Antibiotic","Painkiller","Antihistamine","Diabetes","Hypertension","Antacid","Antibiotic","Hypertension","Supplement"},
MATCH(B106,{"Paracetamol","Amoxicillin","Ibuprofen","Cetirizine","Metformin","Amlodipine","Omeprazole","Azithromycin","Losartan","Vitamin C"},0))</f>
        <v>Antibiotic</v>
      </c>
      <c r="D106" t="str" cm="1">
        <f t="array" aca="1" ref="D106" ca="1">INDEX({"MedSupply Co","HealthCorp","PharmaPlus","GlobalMed"}, RANDBETWEEN(1,4))</f>
        <v>PharmaPlus</v>
      </c>
      <c r="E106">
        <f t="shared" ca="1" si="11"/>
        <v>139</v>
      </c>
      <c r="F106">
        <f t="shared" ca="1" si="12"/>
        <v>93</v>
      </c>
      <c r="G106">
        <f t="shared" ca="1" si="13"/>
        <v>1.48</v>
      </c>
      <c r="H106" s="1">
        <f t="shared" ca="1" si="14"/>
        <v>46230</v>
      </c>
      <c r="I106" s="1">
        <f t="shared" ca="1" si="15"/>
        <v>45949</v>
      </c>
      <c r="J106">
        <f t="shared" ca="1" si="16"/>
        <v>205.72</v>
      </c>
      <c r="K106" t="str">
        <f t="shared" ca="1" si="17"/>
        <v>In Stock</v>
      </c>
      <c r="L106" s="2">
        <f t="shared" ca="1" si="18"/>
        <v>111</v>
      </c>
      <c r="M106" t="str">
        <f t="shared" ca="1" si="19"/>
        <v>Safe</v>
      </c>
    </row>
    <row r="107" spans="1:13" x14ac:dyDescent="0.25">
      <c r="A107" t="str">
        <f t="shared" si="10"/>
        <v>M106</v>
      </c>
      <c r="B107" t="str" cm="1">
        <f t="array" aca="1" ref="B107" ca="1">INDEX({"Paracetamol","Amoxicillin","Ibuprofen","Cetirizine","Metformin","Amlodipine","Omeprazole","Azithromycin","Losartan","Vitamin C"}, RANDBETWEEN(1,10))</f>
        <v>Omeprazole</v>
      </c>
      <c r="C107" t="str" cm="1">
        <f t="array" aca="1" ref="C107" ca="1">INDEX({"Painkiller","Antibiotic","Painkiller","Antihistamine","Diabetes","Hypertension","Antacid","Antibiotic","Hypertension","Supplement"},
MATCH(B107,{"Paracetamol","Amoxicillin","Ibuprofen","Cetirizine","Metformin","Amlodipine","Omeprazole","Azithromycin","Losartan","Vitamin C"},0))</f>
        <v>Antacid</v>
      </c>
      <c r="D107" t="str" cm="1">
        <f t="array" aca="1" ref="D107" ca="1">INDEX({"MedSupply Co","HealthCorp","PharmaPlus","GlobalMed"}, RANDBETWEEN(1,4))</f>
        <v>GlobalMed</v>
      </c>
      <c r="E107">
        <f t="shared" ca="1" si="11"/>
        <v>19</v>
      </c>
      <c r="F107">
        <f t="shared" ca="1" si="12"/>
        <v>51</v>
      </c>
      <c r="G107">
        <f t="shared" ca="1" si="13"/>
        <v>1.05</v>
      </c>
      <c r="H107" s="1">
        <f t="shared" ca="1" si="14"/>
        <v>46345</v>
      </c>
      <c r="I107" s="1">
        <f t="shared" ca="1" si="15"/>
        <v>45958</v>
      </c>
      <c r="J107">
        <f t="shared" ca="1" si="16"/>
        <v>19.95</v>
      </c>
      <c r="K107" t="str">
        <f t="shared" ca="1" si="17"/>
        <v>Low Stock</v>
      </c>
      <c r="L107" s="2">
        <f t="shared" ca="1" si="18"/>
        <v>226</v>
      </c>
      <c r="M107" t="str">
        <f t="shared" ca="1" si="19"/>
        <v>Safe</v>
      </c>
    </row>
    <row r="108" spans="1:13" x14ac:dyDescent="0.25">
      <c r="A108" t="str">
        <f t="shared" si="10"/>
        <v>M107</v>
      </c>
      <c r="B108" t="str" cm="1">
        <f t="array" aca="1" ref="B108" ca="1">INDEX({"Paracetamol","Amoxicillin","Ibuprofen","Cetirizine","Metformin","Amlodipine","Omeprazole","Azithromycin","Losartan","Vitamin C"}, RANDBETWEEN(1,10))</f>
        <v>Amoxicillin</v>
      </c>
      <c r="C108" t="str" cm="1">
        <f t="array" aca="1" ref="C108" ca="1">INDEX({"Painkiller","Antibiotic","Painkiller","Antihistamine","Diabetes","Hypertension","Antacid","Antibiotic","Hypertension","Supplement"},
MATCH(B108,{"Paracetamol","Amoxicillin","Ibuprofen","Cetirizine","Metformin","Amlodipine","Omeprazole","Azithromycin","Losartan","Vitamin C"},0))</f>
        <v>Antibiotic</v>
      </c>
      <c r="D108" t="str" cm="1">
        <f t="array" aca="1" ref="D108" ca="1">INDEX({"MedSupply Co","HealthCorp","PharmaPlus","GlobalMed"}, RANDBETWEEN(1,4))</f>
        <v>GlobalMed</v>
      </c>
      <c r="E108">
        <f t="shared" ca="1" si="11"/>
        <v>177</v>
      </c>
      <c r="F108">
        <f t="shared" ca="1" si="12"/>
        <v>76</v>
      </c>
      <c r="G108">
        <f t="shared" ca="1" si="13"/>
        <v>0.96</v>
      </c>
      <c r="H108" s="1">
        <f t="shared" ca="1" si="14"/>
        <v>46319</v>
      </c>
      <c r="I108" s="1">
        <f t="shared" ca="1" si="15"/>
        <v>46098</v>
      </c>
      <c r="J108">
        <f t="shared" ca="1" si="16"/>
        <v>169.92</v>
      </c>
      <c r="K108" t="str">
        <f t="shared" ca="1" si="17"/>
        <v>In Stock</v>
      </c>
      <c r="L108" s="2">
        <f t="shared" ca="1" si="18"/>
        <v>200</v>
      </c>
      <c r="M108" t="str">
        <f t="shared" ca="1" si="19"/>
        <v>Safe</v>
      </c>
    </row>
    <row r="109" spans="1:13" x14ac:dyDescent="0.25">
      <c r="A109" t="str">
        <f t="shared" si="10"/>
        <v>M108</v>
      </c>
      <c r="B109" t="str" cm="1">
        <f t="array" aca="1" ref="B109" ca="1">INDEX({"Paracetamol","Amoxicillin","Ibuprofen","Cetirizine","Metformin","Amlodipine","Omeprazole","Azithromycin","Losartan","Vitamin C"}, RANDBETWEEN(1,10))</f>
        <v>Amoxicillin</v>
      </c>
      <c r="C109" t="str" cm="1">
        <f t="array" aca="1" ref="C109" ca="1">INDEX({"Painkiller","Antibiotic","Painkiller","Antihistamine","Diabetes","Hypertension","Antacid","Antibiotic","Hypertension","Supplement"},
MATCH(B109,{"Paracetamol","Amoxicillin","Ibuprofen","Cetirizine","Metformin","Amlodipine","Omeprazole","Azithromycin","Losartan","Vitamin C"},0))</f>
        <v>Antibiotic</v>
      </c>
      <c r="D109" t="str" cm="1">
        <f t="array" aca="1" ref="D109" ca="1">INDEX({"MedSupply Co","HealthCorp","PharmaPlus","GlobalMed"}, RANDBETWEEN(1,4))</f>
        <v>MedSupply Co</v>
      </c>
      <c r="E109">
        <f t="shared" ca="1" si="11"/>
        <v>177</v>
      </c>
      <c r="F109">
        <f t="shared" ca="1" si="12"/>
        <v>92</v>
      </c>
      <c r="G109">
        <f t="shared" ca="1" si="13"/>
        <v>1.33</v>
      </c>
      <c r="H109" s="1">
        <f t="shared" ca="1" si="14"/>
        <v>46355</v>
      </c>
      <c r="I109" s="1">
        <f t="shared" ca="1" si="15"/>
        <v>46012</v>
      </c>
      <c r="J109">
        <f t="shared" ca="1" si="16"/>
        <v>235.41000000000003</v>
      </c>
      <c r="K109" t="str">
        <f t="shared" ca="1" si="17"/>
        <v>In Stock</v>
      </c>
      <c r="L109" s="2">
        <f t="shared" ca="1" si="18"/>
        <v>236</v>
      </c>
      <c r="M109" t="str">
        <f t="shared" ca="1" si="19"/>
        <v>Safe</v>
      </c>
    </row>
    <row r="110" spans="1:13" x14ac:dyDescent="0.25">
      <c r="A110" t="str">
        <f t="shared" si="10"/>
        <v>M109</v>
      </c>
      <c r="B110" t="str" cm="1">
        <f t="array" aca="1" ref="B110" ca="1">INDEX({"Paracetamol","Amoxicillin","Ibuprofen","Cetirizine","Metformin","Amlodipine","Omeprazole","Azithromycin","Losartan","Vitamin C"}, RANDBETWEEN(1,10))</f>
        <v>Omeprazole</v>
      </c>
      <c r="C110" t="str" cm="1">
        <f t="array" aca="1" ref="C110" ca="1">INDEX({"Painkiller","Antibiotic","Painkiller","Antihistamine","Diabetes","Hypertension","Antacid","Antibiotic","Hypertension","Supplement"},
MATCH(B110,{"Paracetamol","Amoxicillin","Ibuprofen","Cetirizine","Metformin","Amlodipine","Omeprazole","Azithromycin","Losartan","Vitamin C"},0))</f>
        <v>Antacid</v>
      </c>
      <c r="D110" t="str" cm="1">
        <f t="array" aca="1" ref="D110" ca="1">INDEX({"MedSupply Co","HealthCorp","PharmaPlus","GlobalMed"}, RANDBETWEEN(1,4))</f>
        <v>GlobalMed</v>
      </c>
      <c r="E110">
        <f t="shared" ca="1" si="11"/>
        <v>67</v>
      </c>
      <c r="F110">
        <f t="shared" ca="1" si="12"/>
        <v>52</v>
      </c>
      <c r="G110">
        <f t="shared" ca="1" si="13"/>
        <v>1.22</v>
      </c>
      <c r="H110" s="1">
        <f t="shared" ca="1" si="14"/>
        <v>46385</v>
      </c>
      <c r="I110" s="1">
        <f t="shared" ca="1" si="15"/>
        <v>45985</v>
      </c>
      <c r="J110">
        <f t="shared" ca="1" si="16"/>
        <v>81.739999999999995</v>
      </c>
      <c r="K110" t="str">
        <f t="shared" ca="1" si="17"/>
        <v>In Stock</v>
      </c>
      <c r="L110" s="2">
        <f t="shared" ca="1" si="18"/>
        <v>266</v>
      </c>
      <c r="M110" t="str">
        <f t="shared" ca="1" si="19"/>
        <v>Safe</v>
      </c>
    </row>
    <row r="111" spans="1:13" x14ac:dyDescent="0.25">
      <c r="A111" t="str">
        <f t="shared" si="10"/>
        <v>M110</v>
      </c>
      <c r="B111" t="str" cm="1">
        <f t="array" aca="1" ref="B111" ca="1">INDEX({"Paracetamol","Amoxicillin","Ibuprofen","Cetirizine","Metformin","Amlodipine","Omeprazole","Azithromycin","Losartan","Vitamin C"}, RANDBETWEEN(1,10))</f>
        <v>Cetirizine</v>
      </c>
      <c r="C111" t="str" cm="1">
        <f t="array" aca="1" ref="C111" ca="1">INDEX({"Painkiller","Antibiotic","Painkiller","Antihistamine","Diabetes","Hypertension","Antacid","Antibiotic","Hypertension","Supplement"},
MATCH(B111,{"Paracetamol","Amoxicillin","Ibuprofen","Cetirizine","Metformin","Amlodipine","Omeprazole","Azithromycin","Losartan","Vitamin C"},0))</f>
        <v>Antihistamine</v>
      </c>
      <c r="D111" t="str" cm="1">
        <f t="array" aca="1" ref="D111" ca="1">INDEX({"MedSupply Co","HealthCorp","PharmaPlus","GlobalMed"}, RANDBETWEEN(1,4))</f>
        <v>GlobalMed</v>
      </c>
      <c r="E111">
        <f t="shared" ca="1" si="11"/>
        <v>6</v>
      </c>
      <c r="F111">
        <f t="shared" ca="1" si="12"/>
        <v>77</v>
      </c>
      <c r="G111">
        <f t="shared" ca="1" si="13"/>
        <v>1.48</v>
      </c>
      <c r="H111" s="1">
        <f t="shared" ca="1" si="14"/>
        <v>46478</v>
      </c>
      <c r="I111" s="1">
        <f t="shared" ca="1" si="15"/>
        <v>46034</v>
      </c>
      <c r="J111">
        <f t="shared" ca="1" si="16"/>
        <v>8.879999999999999</v>
      </c>
      <c r="K111" t="str">
        <f t="shared" ca="1" si="17"/>
        <v>Low Stock</v>
      </c>
      <c r="L111" s="2">
        <f t="shared" ca="1" si="18"/>
        <v>359</v>
      </c>
      <c r="M111" t="str">
        <f t="shared" ca="1" si="19"/>
        <v>Safe</v>
      </c>
    </row>
    <row r="112" spans="1:13" x14ac:dyDescent="0.25">
      <c r="A112" t="str">
        <f t="shared" si="10"/>
        <v>M111</v>
      </c>
      <c r="B112" t="str" cm="1">
        <f t="array" aca="1" ref="B112" ca="1">INDEX({"Paracetamol","Amoxicillin","Ibuprofen","Cetirizine","Metformin","Amlodipine","Omeprazole","Azithromycin","Losartan","Vitamin C"}, RANDBETWEEN(1,10))</f>
        <v>Amlodipine</v>
      </c>
      <c r="C112" t="str" cm="1">
        <f t="array" aca="1" ref="C112" ca="1">INDEX({"Painkiller","Antibiotic","Painkiller","Antihistamine","Diabetes","Hypertension","Antacid","Antibiotic","Hypertension","Supplement"},
MATCH(B112,{"Paracetamol","Amoxicillin","Ibuprofen","Cetirizine","Metformin","Amlodipine","Omeprazole","Azithromycin","Losartan","Vitamin C"},0))</f>
        <v>Hypertension</v>
      </c>
      <c r="D112" t="str" cm="1">
        <f t="array" aca="1" ref="D112" ca="1">INDEX({"MedSupply Co","HealthCorp","PharmaPlus","GlobalMed"}, RANDBETWEEN(1,4))</f>
        <v>MedSupply Co</v>
      </c>
      <c r="E112">
        <f t="shared" ca="1" si="11"/>
        <v>99</v>
      </c>
      <c r="F112">
        <f t="shared" ca="1" si="12"/>
        <v>94</v>
      </c>
      <c r="G112">
        <f t="shared" ca="1" si="13"/>
        <v>1.92</v>
      </c>
      <c r="H112" s="1">
        <f t="shared" ca="1" si="14"/>
        <v>46307</v>
      </c>
      <c r="I112" s="1">
        <f t="shared" ca="1" si="15"/>
        <v>45945</v>
      </c>
      <c r="J112">
        <f t="shared" ca="1" si="16"/>
        <v>190.07999999999998</v>
      </c>
      <c r="K112" t="str">
        <f t="shared" ca="1" si="17"/>
        <v>In Stock</v>
      </c>
      <c r="L112" s="2">
        <f t="shared" ca="1" si="18"/>
        <v>188</v>
      </c>
      <c r="M112" t="str">
        <f t="shared" ca="1" si="19"/>
        <v>Safe</v>
      </c>
    </row>
    <row r="113" spans="1:13" x14ac:dyDescent="0.25">
      <c r="A113" t="str">
        <f t="shared" si="10"/>
        <v>M112</v>
      </c>
      <c r="B113" t="str" cm="1">
        <f t="array" aca="1" ref="B113" ca="1">INDEX({"Paracetamol","Amoxicillin","Ibuprofen","Cetirizine","Metformin","Amlodipine","Omeprazole","Azithromycin","Losartan","Vitamin C"}, RANDBETWEEN(1,10))</f>
        <v>Omeprazole</v>
      </c>
      <c r="C113" t="str" cm="1">
        <f t="array" aca="1" ref="C113" ca="1">INDEX({"Painkiller","Antibiotic","Painkiller","Antihistamine","Diabetes","Hypertension","Antacid","Antibiotic","Hypertension","Supplement"},
MATCH(B113,{"Paracetamol","Amoxicillin","Ibuprofen","Cetirizine","Metformin","Amlodipine","Omeprazole","Azithromycin","Losartan","Vitamin C"},0))</f>
        <v>Antacid</v>
      </c>
      <c r="D113" t="str" cm="1">
        <f t="array" aca="1" ref="D113" ca="1">INDEX({"MedSupply Co","HealthCorp","PharmaPlus","GlobalMed"}, RANDBETWEEN(1,4))</f>
        <v>PharmaPlus</v>
      </c>
      <c r="E113">
        <f t="shared" ca="1" si="11"/>
        <v>2</v>
      </c>
      <c r="F113">
        <f t="shared" ca="1" si="12"/>
        <v>76</v>
      </c>
      <c r="G113">
        <f t="shared" ca="1" si="13"/>
        <v>0.7</v>
      </c>
      <c r="H113" s="1">
        <f t="shared" ca="1" si="14"/>
        <v>46453</v>
      </c>
      <c r="I113" s="1">
        <f t="shared" ca="1" si="15"/>
        <v>45950</v>
      </c>
      <c r="J113">
        <f t="shared" ca="1" si="16"/>
        <v>1.4</v>
      </c>
      <c r="K113" t="str">
        <f t="shared" ca="1" si="17"/>
        <v>Low Stock</v>
      </c>
      <c r="L113" s="2">
        <f t="shared" ca="1" si="18"/>
        <v>334</v>
      </c>
      <c r="M113" t="str">
        <f t="shared" ca="1" si="19"/>
        <v>Safe</v>
      </c>
    </row>
    <row r="114" spans="1:13" x14ac:dyDescent="0.25">
      <c r="A114" t="str">
        <f t="shared" si="10"/>
        <v>M113</v>
      </c>
      <c r="B114" t="str" cm="1">
        <f t="array" aca="1" ref="B114" ca="1">INDEX({"Paracetamol","Amoxicillin","Ibuprofen","Cetirizine","Metformin","Amlodipine","Omeprazole","Azithromycin","Losartan","Vitamin C"}, RANDBETWEEN(1,10))</f>
        <v>Omeprazole</v>
      </c>
      <c r="C114" t="str" cm="1">
        <f t="array" aca="1" ref="C114" ca="1">INDEX({"Painkiller","Antibiotic","Painkiller","Antihistamine","Diabetes","Hypertension","Antacid","Antibiotic","Hypertension","Supplement"},
MATCH(B114,{"Paracetamol","Amoxicillin","Ibuprofen","Cetirizine","Metformin","Amlodipine","Omeprazole","Azithromycin","Losartan","Vitamin C"},0))</f>
        <v>Antacid</v>
      </c>
      <c r="D114" t="str" cm="1">
        <f t="array" aca="1" ref="D114" ca="1">INDEX({"MedSupply Co","HealthCorp","PharmaPlus","GlobalMed"}, RANDBETWEEN(1,4))</f>
        <v>HealthCorp</v>
      </c>
      <c r="E114">
        <f t="shared" ca="1" si="11"/>
        <v>163</v>
      </c>
      <c r="F114">
        <f t="shared" ca="1" si="12"/>
        <v>27</v>
      </c>
      <c r="G114">
        <f t="shared" ca="1" si="13"/>
        <v>0.86</v>
      </c>
      <c r="H114" s="1">
        <f t="shared" ca="1" si="14"/>
        <v>46349</v>
      </c>
      <c r="I114" s="1">
        <f t="shared" ca="1" si="15"/>
        <v>46005</v>
      </c>
      <c r="J114">
        <f t="shared" ca="1" si="16"/>
        <v>140.18</v>
      </c>
      <c r="K114" t="str">
        <f t="shared" ca="1" si="17"/>
        <v>In Stock</v>
      </c>
      <c r="L114" s="2">
        <f t="shared" ca="1" si="18"/>
        <v>230</v>
      </c>
      <c r="M114" t="str">
        <f t="shared" ca="1" si="19"/>
        <v>Safe</v>
      </c>
    </row>
    <row r="115" spans="1:13" x14ac:dyDescent="0.25">
      <c r="A115" t="str">
        <f t="shared" si="10"/>
        <v>M114</v>
      </c>
      <c r="B115" t="str" cm="1">
        <f t="array" aca="1" ref="B115" ca="1">INDEX({"Paracetamol","Amoxicillin","Ibuprofen","Cetirizine","Metformin","Amlodipine","Omeprazole","Azithromycin","Losartan","Vitamin C"}, RANDBETWEEN(1,10))</f>
        <v>Losartan</v>
      </c>
      <c r="C115" t="str" cm="1">
        <f t="array" aca="1" ref="C115" ca="1">INDEX({"Painkiller","Antibiotic","Painkiller","Antihistamine","Diabetes","Hypertension","Antacid","Antibiotic","Hypertension","Supplement"},
MATCH(B115,{"Paracetamol","Amoxicillin","Ibuprofen","Cetirizine","Metformin","Amlodipine","Omeprazole","Azithromycin","Losartan","Vitamin C"},0))</f>
        <v>Hypertension</v>
      </c>
      <c r="D115" t="str" cm="1">
        <f t="array" aca="1" ref="D115" ca="1">INDEX({"MedSupply Co","HealthCorp","PharmaPlus","GlobalMed"}, RANDBETWEEN(1,4))</f>
        <v>PharmaPlus</v>
      </c>
      <c r="E115">
        <f t="shared" ca="1" si="11"/>
        <v>121</v>
      </c>
      <c r="F115">
        <f t="shared" ca="1" si="12"/>
        <v>39</v>
      </c>
      <c r="G115">
        <f t="shared" ca="1" si="13"/>
        <v>0.72</v>
      </c>
      <c r="H115" s="1">
        <f t="shared" ca="1" si="14"/>
        <v>46268</v>
      </c>
      <c r="I115" s="1">
        <f t="shared" ca="1" si="15"/>
        <v>45941</v>
      </c>
      <c r="J115">
        <f t="shared" ca="1" si="16"/>
        <v>87.11999999999999</v>
      </c>
      <c r="K115" t="str">
        <f t="shared" ca="1" si="17"/>
        <v>In Stock</v>
      </c>
      <c r="L115" s="2">
        <f t="shared" ca="1" si="18"/>
        <v>149</v>
      </c>
      <c r="M115" t="str">
        <f t="shared" ca="1" si="19"/>
        <v>Safe</v>
      </c>
    </row>
    <row r="116" spans="1:13" x14ac:dyDescent="0.25">
      <c r="A116" t="str">
        <f t="shared" si="10"/>
        <v>M115</v>
      </c>
      <c r="B116" t="str" cm="1">
        <f t="array" aca="1" ref="B116" ca="1">INDEX({"Paracetamol","Amoxicillin","Ibuprofen","Cetirizine","Metformin","Amlodipine","Omeprazole","Azithromycin","Losartan","Vitamin C"}, RANDBETWEEN(1,10))</f>
        <v>Paracetamol</v>
      </c>
      <c r="C116" t="str" cm="1">
        <f t="array" aca="1" ref="C116" ca="1">INDEX({"Painkiller","Antibiotic","Painkiller","Antihistamine","Diabetes","Hypertension","Antacid","Antibiotic","Hypertension","Supplement"},
MATCH(B116,{"Paracetamol","Amoxicillin","Ibuprofen","Cetirizine","Metformin","Amlodipine","Omeprazole","Azithromycin","Losartan","Vitamin C"},0))</f>
        <v>Painkiller</v>
      </c>
      <c r="D116" t="str" cm="1">
        <f t="array" aca="1" ref="D116" ca="1">INDEX({"MedSupply Co","HealthCorp","PharmaPlus","GlobalMed"}, RANDBETWEEN(1,4))</f>
        <v>MedSupply Co</v>
      </c>
      <c r="E116">
        <f t="shared" ca="1" si="11"/>
        <v>95</v>
      </c>
      <c r="F116">
        <f t="shared" ca="1" si="12"/>
        <v>72</v>
      </c>
      <c r="G116">
        <f t="shared" ca="1" si="13"/>
        <v>0.56999999999999995</v>
      </c>
      <c r="H116" s="1">
        <f t="shared" ca="1" si="14"/>
        <v>46397</v>
      </c>
      <c r="I116" s="1">
        <f t="shared" ca="1" si="15"/>
        <v>46056</v>
      </c>
      <c r="J116">
        <f t="shared" ca="1" si="16"/>
        <v>54.15</v>
      </c>
      <c r="K116" t="str">
        <f t="shared" ca="1" si="17"/>
        <v>In Stock</v>
      </c>
      <c r="L116" s="2">
        <f t="shared" ca="1" si="18"/>
        <v>278</v>
      </c>
      <c r="M116" t="str">
        <f t="shared" ca="1" si="19"/>
        <v>Safe</v>
      </c>
    </row>
    <row r="117" spans="1:13" x14ac:dyDescent="0.25">
      <c r="A117" t="str">
        <f t="shared" si="10"/>
        <v>M116</v>
      </c>
      <c r="B117" t="str" cm="1">
        <f t="array" aca="1" ref="B117" ca="1">INDEX({"Paracetamol","Amoxicillin","Ibuprofen","Cetirizine","Metformin","Amlodipine","Omeprazole","Azithromycin","Losartan","Vitamin C"}, RANDBETWEEN(1,10))</f>
        <v>Losartan</v>
      </c>
      <c r="C117" t="str" cm="1">
        <f t="array" aca="1" ref="C117" ca="1">INDEX({"Painkiller","Antibiotic","Painkiller","Antihistamine","Diabetes","Hypertension","Antacid","Antibiotic","Hypertension","Supplement"},
MATCH(B117,{"Paracetamol","Amoxicillin","Ibuprofen","Cetirizine","Metformin","Amlodipine","Omeprazole","Azithromycin","Losartan","Vitamin C"},0))</f>
        <v>Hypertension</v>
      </c>
      <c r="D117" t="str" cm="1">
        <f t="array" aca="1" ref="D117" ca="1">INDEX({"MedSupply Co","HealthCorp","PharmaPlus","GlobalMed"}, RANDBETWEEN(1,4))</f>
        <v>MedSupply Co</v>
      </c>
      <c r="E117">
        <f t="shared" ca="1" si="11"/>
        <v>48</v>
      </c>
      <c r="F117">
        <f t="shared" ca="1" si="12"/>
        <v>94</v>
      </c>
      <c r="G117">
        <f t="shared" ca="1" si="13"/>
        <v>1.93</v>
      </c>
      <c r="H117" s="1">
        <f t="shared" ca="1" si="14"/>
        <v>46388</v>
      </c>
      <c r="I117" s="1">
        <f t="shared" ca="1" si="15"/>
        <v>46001</v>
      </c>
      <c r="J117">
        <f t="shared" ca="1" si="16"/>
        <v>92.64</v>
      </c>
      <c r="K117" t="str">
        <f t="shared" ca="1" si="17"/>
        <v>Low Stock</v>
      </c>
      <c r="L117" s="2">
        <f t="shared" ca="1" si="18"/>
        <v>269</v>
      </c>
      <c r="M117" t="str">
        <f t="shared" ca="1" si="19"/>
        <v>Safe</v>
      </c>
    </row>
    <row r="118" spans="1:13" x14ac:dyDescent="0.25">
      <c r="A118" t="str">
        <f t="shared" si="10"/>
        <v>M117</v>
      </c>
      <c r="B118" t="str" cm="1">
        <f t="array" aca="1" ref="B118" ca="1">INDEX({"Paracetamol","Amoxicillin","Ibuprofen","Cetirizine","Metformin","Amlodipine","Omeprazole","Azithromycin","Losartan","Vitamin C"}, RANDBETWEEN(1,10))</f>
        <v>Omeprazole</v>
      </c>
      <c r="C118" t="str" cm="1">
        <f t="array" aca="1" ref="C118" ca="1">INDEX({"Painkiller","Antibiotic","Painkiller","Antihistamine","Diabetes","Hypertension","Antacid","Antibiotic","Hypertension","Supplement"},
MATCH(B118,{"Paracetamol","Amoxicillin","Ibuprofen","Cetirizine","Metformin","Amlodipine","Omeprazole","Azithromycin","Losartan","Vitamin C"},0))</f>
        <v>Antacid</v>
      </c>
      <c r="D118" t="str" cm="1">
        <f t="array" aca="1" ref="D118" ca="1">INDEX({"MedSupply Co","HealthCorp","PharmaPlus","GlobalMed"}, RANDBETWEEN(1,4))</f>
        <v>GlobalMed</v>
      </c>
      <c r="E118">
        <f t="shared" ca="1" si="11"/>
        <v>167</v>
      </c>
      <c r="F118">
        <f t="shared" ca="1" si="12"/>
        <v>50</v>
      </c>
      <c r="G118">
        <f t="shared" ca="1" si="13"/>
        <v>1.95</v>
      </c>
      <c r="H118" s="1">
        <f t="shared" ca="1" si="14"/>
        <v>46288</v>
      </c>
      <c r="I118" s="1">
        <f t="shared" ca="1" si="15"/>
        <v>45960</v>
      </c>
      <c r="J118">
        <f t="shared" ca="1" si="16"/>
        <v>325.64999999999998</v>
      </c>
      <c r="K118" t="str">
        <f t="shared" ca="1" si="17"/>
        <v>In Stock</v>
      </c>
      <c r="L118" s="2">
        <f t="shared" ca="1" si="18"/>
        <v>169</v>
      </c>
      <c r="M118" t="str">
        <f t="shared" ca="1" si="19"/>
        <v>Safe</v>
      </c>
    </row>
    <row r="119" spans="1:13" x14ac:dyDescent="0.25">
      <c r="A119" t="str">
        <f t="shared" si="10"/>
        <v>M118</v>
      </c>
      <c r="B119" t="str" cm="1">
        <f t="array" aca="1" ref="B119" ca="1">INDEX({"Paracetamol","Amoxicillin","Ibuprofen","Cetirizine","Metformin","Amlodipine","Omeprazole","Azithromycin","Losartan","Vitamin C"}, RANDBETWEEN(1,10))</f>
        <v>Cetirizine</v>
      </c>
      <c r="C119" t="str" cm="1">
        <f t="array" aca="1" ref="C119" ca="1">INDEX({"Painkiller","Antibiotic","Painkiller","Antihistamine","Diabetes","Hypertension","Antacid","Antibiotic","Hypertension","Supplement"},
MATCH(B119,{"Paracetamol","Amoxicillin","Ibuprofen","Cetirizine","Metformin","Amlodipine","Omeprazole","Azithromycin","Losartan","Vitamin C"},0))</f>
        <v>Antihistamine</v>
      </c>
      <c r="D119" t="str" cm="1">
        <f t="array" aca="1" ref="D119" ca="1">INDEX({"MedSupply Co","HealthCorp","PharmaPlus","GlobalMed"}, RANDBETWEEN(1,4))</f>
        <v>GlobalMed</v>
      </c>
      <c r="E119">
        <f t="shared" ca="1" si="11"/>
        <v>105</v>
      </c>
      <c r="F119">
        <f t="shared" ca="1" si="12"/>
        <v>34</v>
      </c>
      <c r="G119">
        <f t="shared" ca="1" si="13"/>
        <v>1.57</v>
      </c>
      <c r="H119" s="1">
        <f t="shared" ca="1" si="14"/>
        <v>46483</v>
      </c>
      <c r="I119" s="1">
        <f t="shared" ca="1" si="15"/>
        <v>46097</v>
      </c>
      <c r="J119">
        <f t="shared" ca="1" si="16"/>
        <v>164.85</v>
      </c>
      <c r="K119" t="str">
        <f t="shared" ca="1" si="17"/>
        <v>In Stock</v>
      </c>
      <c r="L119" s="2">
        <f t="shared" ca="1" si="18"/>
        <v>364</v>
      </c>
      <c r="M119" t="str">
        <f t="shared" ca="1" si="19"/>
        <v>Safe</v>
      </c>
    </row>
    <row r="120" spans="1:13" x14ac:dyDescent="0.25">
      <c r="A120" t="str">
        <f t="shared" si="10"/>
        <v>M119</v>
      </c>
      <c r="B120" t="str" cm="1">
        <f t="array" aca="1" ref="B120" ca="1">INDEX({"Paracetamol","Amoxicillin","Ibuprofen","Cetirizine","Metformin","Amlodipine","Omeprazole","Azithromycin","Losartan","Vitamin C"}, RANDBETWEEN(1,10))</f>
        <v>Amoxicillin</v>
      </c>
      <c r="C120" t="str" cm="1">
        <f t="array" aca="1" ref="C120" ca="1">INDEX({"Painkiller","Antibiotic","Painkiller","Antihistamine","Diabetes","Hypertension","Antacid","Antibiotic","Hypertension","Supplement"},
MATCH(B120,{"Paracetamol","Amoxicillin","Ibuprofen","Cetirizine","Metformin","Amlodipine","Omeprazole","Azithromycin","Losartan","Vitamin C"},0))</f>
        <v>Antibiotic</v>
      </c>
      <c r="D120" t="str" cm="1">
        <f t="array" aca="1" ref="D120" ca="1">INDEX({"MedSupply Co","HealthCorp","PharmaPlus","GlobalMed"}, RANDBETWEEN(1,4))</f>
        <v>MedSupply Co</v>
      </c>
      <c r="E120">
        <f t="shared" ca="1" si="11"/>
        <v>22</v>
      </c>
      <c r="F120">
        <f t="shared" ca="1" si="12"/>
        <v>68</v>
      </c>
      <c r="G120">
        <f t="shared" ca="1" si="13"/>
        <v>1.94</v>
      </c>
      <c r="H120" s="1">
        <f t="shared" ca="1" si="14"/>
        <v>46262</v>
      </c>
      <c r="I120" s="1">
        <f t="shared" ca="1" si="15"/>
        <v>46041</v>
      </c>
      <c r="J120">
        <f t="shared" ca="1" si="16"/>
        <v>42.68</v>
      </c>
      <c r="K120" t="str">
        <f t="shared" ca="1" si="17"/>
        <v>Low Stock</v>
      </c>
      <c r="L120" s="2">
        <f t="shared" ca="1" si="18"/>
        <v>143</v>
      </c>
      <c r="M120" t="str">
        <f t="shared" ca="1" si="19"/>
        <v>Safe</v>
      </c>
    </row>
    <row r="121" spans="1:13" x14ac:dyDescent="0.25">
      <c r="A121" t="str">
        <f t="shared" si="10"/>
        <v>M120</v>
      </c>
      <c r="B121" t="str" cm="1">
        <f t="array" aca="1" ref="B121" ca="1">INDEX({"Paracetamol","Amoxicillin","Ibuprofen","Cetirizine","Metformin","Amlodipine","Omeprazole","Azithromycin","Losartan","Vitamin C"}, RANDBETWEEN(1,10))</f>
        <v>Azithromycin</v>
      </c>
      <c r="C121" t="str" cm="1">
        <f t="array" aca="1" ref="C121" ca="1">INDEX({"Painkiller","Antibiotic","Painkiller","Antihistamine","Diabetes","Hypertension","Antacid","Antibiotic","Hypertension","Supplement"},
MATCH(B121,{"Paracetamol","Amoxicillin","Ibuprofen","Cetirizine","Metformin","Amlodipine","Omeprazole","Azithromycin","Losartan","Vitamin C"},0))</f>
        <v>Antibiotic</v>
      </c>
      <c r="D121" t="str" cm="1">
        <f t="array" aca="1" ref="D121" ca="1">INDEX({"MedSupply Co","HealthCorp","PharmaPlus","GlobalMed"}, RANDBETWEEN(1,4))</f>
        <v>PharmaPlus</v>
      </c>
      <c r="E121">
        <f t="shared" ca="1" si="11"/>
        <v>96</v>
      </c>
      <c r="F121">
        <f t="shared" ca="1" si="12"/>
        <v>27</v>
      </c>
      <c r="G121">
        <f t="shared" ca="1" si="13"/>
        <v>0.82</v>
      </c>
      <c r="H121" s="1">
        <f t="shared" ca="1" si="14"/>
        <v>46415</v>
      </c>
      <c r="I121" s="1">
        <f t="shared" ca="1" si="15"/>
        <v>45972</v>
      </c>
      <c r="J121">
        <f t="shared" ca="1" si="16"/>
        <v>78.72</v>
      </c>
      <c r="K121" t="str">
        <f t="shared" ca="1" si="17"/>
        <v>In Stock</v>
      </c>
      <c r="L121" s="2">
        <f t="shared" ca="1" si="18"/>
        <v>296</v>
      </c>
      <c r="M121" t="str">
        <f t="shared" ca="1" si="19"/>
        <v>Safe</v>
      </c>
    </row>
    <row r="122" spans="1:13" x14ac:dyDescent="0.25">
      <c r="A122" t="str">
        <f t="shared" si="10"/>
        <v>M121</v>
      </c>
      <c r="B122" t="str" cm="1">
        <f t="array" aca="1" ref="B122" ca="1">INDEX({"Paracetamol","Amoxicillin","Ibuprofen","Cetirizine","Metformin","Amlodipine","Omeprazole","Azithromycin","Losartan","Vitamin C"}, RANDBETWEEN(1,10))</f>
        <v>Cetirizine</v>
      </c>
      <c r="C122" t="str" cm="1">
        <f t="array" aca="1" ref="C122" ca="1">INDEX({"Painkiller","Antibiotic","Painkiller","Antihistamine","Diabetes","Hypertension","Antacid","Antibiotic","Hypertension","Supplement"},
MATCH(B122,{"Paracetamol","Amoxicillin","Ibuprofen","Cetirizine","Metformin","Amlodipine","Omeprazole","Azithromycin","Losartan","Vitamin C"},0))</f>
        <v>Antihistamine</v>
      </c>
      <c r="D122" t="str" cm="1">
        <f t="array" aca="1" ref="D122" ca="1">INDEX({"MedSupply Co","HealthCorp","PharmaPlus","GlobalMed"}, RANDBETWEEN(1,4))</f>
        <v>MedSupply Co</v>
      </c>
      <c r="E122">
        <f t="shared" ca="1" si="11"/>
        <v>164</v>
      </c>
      <c r="F122">
        <f t="shared" ca="1" si="12"/>
        <v>29</v>
      </c>
      <c r="G122">
        <f t="shared" ca="1" si="13"/>
        <v>1.01</v>
      </c>
      <c r="H122" s="1">
        <f t="shared" ca="1" si="14"/>
        <v>46301</v>
      </c>
      <c r="I122" s="1">
        <f t="shared" ca="1" si="15"/>
        <v>46099</v>
      </c>
      <c r="J122">
        <f t="shared" ca="1" si="16"/>
        <v>165.64000000000001</v>
      </c>
      <c r="K122" t="str">
        <f t="shared" ca="1" si="17"/>
        <v>In Stock</v>
      </c>
      <c r="L122" s="2">
        <f t="shared" ca="1" si="18"/>
        <v>182</v>
      </c>
      <c r="M122" t="str">
        <f t="shared" ca="1" si="19"/>
        <v>Safe</v>
      </c>
    </row>
    <row r="123" spans="1:13" x14ac:dyDescent="0.25">
      <c r="A123" t="str">
        <f t="shared" si="10"/>
        <v>M122</v>
      </c>
      <c r="B123" t="str" cm="1">
        <f t="array" aca="1" ref="B123" ca="1">INDEX({"Paracetamol","Amoxicillin","Ibuprofen","Cetirizine","Metformin","Amlodipine","Omeprazole","Azithromycin","Losartan","Vitamin C"}, RANDBETWEEN(1,10))</f>
        <v>Azithromycin</v>
      </c>
      <c r="C123" t="str" cm="1">
        <f t="array" aca="1" ref="C123" ca="1">INDEX({"Painkiller","Antibiotic","Painkiller","Antihistamine","Diabetes","Hypertension","Antacid","Antibiotic","Hypertension","Supplement"},
MATCH(B123,{"Paracetamol","Amoxicillin","Ibuprofen","Cetirizine","Metformin","Amlodipine","Omeprazole","Azithromycin","Losartan","Vitamin C"},0))</f>
        <v>Antibiotic</v>
      </c>
      <c r="D123" t="str" cm="1">
        <f t="array" aca="1" ref="D123" ca="1">INDEX({"MedSupply Co","HealthCorp","PharmaPlus","GlobalMed"}, RANDBETWEEN(1,4))</f>
        <v>HealthCorp</v>
      </c>
      <c r="E123">
        <f t="shared" ca="1" si="11"/>
        <v>175</v>
      </c>
      <c r="F123">
        <f t="shared" ca="1" si="12"/>
        <v>53</v>
      </c>
      <c r="G123">
        <f t="shared" ca="1" si="13"/>
        <v>0.53</v>
      </c>
      <c r="H123" s="1">
        <f t="shared" ca="1" si="14"/>
        <v>46419</v>
      </c>
      <c r="I123" s="1">
        <f t="shared" ca="1" si="15"/>
        <v>46077</v>
      </c>
      <c r="J123">
        <f t="shared" ca="1" si="16"/>
        <v>92.75</v>
      </c>
      <c r="K123" t="str">
        <f t="shared" ca="1" si="17"/>
        <v>In Stock</v>
      </c>
      <c r="L123" s="2">
        <f t="shared" ca="1" si="18"/>
        <v>300</v>
      </c>
      <c r="M123" t="str">
        <f t="shared" ca="1" si="19"/>
        <v>Safe</v>
      </c>
    </row>
    <row r="124" spans="1:13" x14ac:dyDescent="0.25">
      <c r="A124" t="str">
        <f t="shared" si="10"/>
        <v>M123</v>
      </c>
      <c r="B124" t="str" cm="1">
        <f t="array" aca="1" ref="B124" ca="1">INDEX({"Paracetamol","Amoxicillin","Ibuprofen","Cetirizine","Metformin","Amlodipine","Omeprazole","Azithromycin","Losartan","Vitamin C"}, RANDBETWEEN(1,10))</f>
        <v>Omeprazole</v>
      </c>
      <c r="C124" t="str" cm="1">
        <f t="array" aca="1" ref="C124" ca="1">INDEX({"Painkiller","Antibiotic","Painkiller","Antihistamine","Diabetes","Hypertension","Antacid","Antibiotic","Hypertension","Supplement"},
MATCH(B124,{"Paracetamol","Amoxicillin","Ibuprofen","Cetirizine","Metformin","Amlodipine","Omeprazole","Azithromycin","Losartan","Vitamin C"},0))</f>
        <v>Antacid</v>
      </c>
      <c r="D124" t="str" cm="1">
        <f t="array" aca="1" ref="D124" ca="1">INDEX({"MedSupply Co","HealthCorp","PharmaPlus","GlobalMed"}, RANDBETWEEN(1,4))</f>
        <v>MedSupply Co</v>
      </c>
      <c r="E124">
        <f t="shared" ca="1" si="11"/>
        <v>110</v>
      </c>
      <c r="F124">
        <f t="shared" ca="1" si="12"/>
        <v>31</v>
      </c>
      <c r="G124">
        <f t="shared" ca="1" si="13"/>
        <v>1.9</v>
      </c>
      <c r="H124" s="1">
        <f t="shared" ca="1" si="14"/>
        <v>46409</v>
      </c>
      <c r="I124" s="1">
        <f t="shared" ca="1" si="15"/>
        <v>45999</v>
      </c>
      <c r="J124">
        <f t="shared" ca="1" si="16"/>
        <v>209</v>
      </c>
      <c r="K124" t="str">
        <f t="shared" ca="1" si="17"/>
        <v>In Stock</v>
      </c>
      <c r="L124" s="2">
        <f t="shared" ca="1" si="18"/>
        <v>290</v>
      </c>
      <c r="M124" t="str">
        <f t="shared" ca="1" si="19"/>
        <v>Safe</v>
      </c>
    </row>
    <row r="125" spans="1:13" x14ac:dyDescent="0.25">
      <c r="A125" t="str">
        <f t="shared" si="10"/>
        <v>M124</v>
      </c>
      <c r="B125" t="str" cm="1">
        <f t="array" aca="1" ref="B125" ca="1">INDEX({"Paracetamol","Amoxicillin","Ibuprofen","Cetirizine","Metformin","Amlodipine","Omeprazole","Azithromycin","Losartan","Vitamin C"}, RANDBETWEEN(1,10))</f>
        <v>Losartan</v>
      </c>
      <c r="C125" t="str" cm="1">
        <f t="array" aca="1" ref="C125" ca="1">INDEX({"Painkiller","Antibiotic","Painkiller","Antihistamine","Diabetes","Hypertension","Antacid","Antibiotic","Hypertension","Supplement"},
MATCH(B125,{"Paracetamol","Amoxicillin","Ibuprofen","Cetirizine","Metformin","Amlodipine","Omeprazole","Azithromycin","Losartan","Vitamin C"},0))</f>
        <v>Hypertension</v>
      </c>
      <c r="D125" t="str" cm="1">
        <f t="array" aca="1" ref="D125" ca="1">INDEX({"MedSupply Co","HealthCorp","PharmaPlus","GlobalMed"}, RANDBETWEEN(1,4))</f>
        <v>MedSupply Co</v>
      </c>
      <c r="E125">
        <f t="shared" ca="1" si="11"/>
        <v>26</v>
      </c>
      <c r="F125">
        <f t="shared" ca="1" si="12"/>
        <v>91</v>
      </c>
      <c r="G125">
        <f t="shared" ca="1" si="13"/>
        <v>0.51</v>
      </c>
      <c r="H125" s="1">
        <f t="shared" ca="1" si="14"/>
        <v>46336</v>
      </c>
      <c r="I125" s="1">
        <f t="shared" ca="1" si="15"/>
        <v>45998</v>
      </c>
      <c r="J125">
        <f t="shared" ca="1" si="16"/>
        <v>13.26</v>
      </c>
      <c r="K125" t="str">
        <f t="shared" ca="1" si="17"/>
        <v>Low Stock</v>
      </c>
      <c r="L125" s="2">
        <f t="shared" ca="1" si="18"/>
        <v>217</v>
      </c>
      <c r="M125" t="str">
        <f t="shared" ca="1" si="19"/>
        <v>Safe</v>
      </c>
    </row>
    <row r="126" spans="1:13" x14ac:dyDescent="0.25">
      <c r="A126" t="str">
        <f t="shared" si="10"/>
        <v>M125</v>
      </c>
      <c r="B126" t="str" cm="1">
        <f t="array" aca="1" ref="B126" ca="1">INDEX({"Paracetamol","Amoxicillin","Ibuprofen","Cetirizine","Metformin","Amlodipine","Omeprazole","Azithromycin","Losartan","Vitamin C"}, RANDBETWEEN(1,10))</f>
        <v>Metformin</v>
      </c>
      <c r="C126" t="str" cm="1">
        <f t="array" aca="1" ref="C126" ca="1">INDEX({"Painkiller","Antibiotic","Painkiller","Antihistamine","Diabetes","Hypertension","Antacid","Antibiotic","Hypertension","Supplement"},
MATCH(B126,{"Paracetamol","Amoxicillin","Ibuprofen","Cetirizine","Metformin","Amlodipine","Omeprazole","Azithromycin","Losartan","Vitamin C"},0))</f>
        <v>Diabetes</v>
      </c>
      <c r="D126" t="str" cm="1">
        <f t="array" aca="1" ref="D126" ca="1">INDEX({"MedSupply Co","HealthCorp","PharmaPlus","GlobalMed"}, RANDBETWEEN(1,4))</f>
        <v>GlobalMed</v>
      </c>
      <c r="E126">
        <f t="shared" ca="1" si="11"/>
        <v>53</v>
      </c>
      <c r="F126">
        <f t="shared" ca="1" si="12"/>
        <v>70</v>
      </c>
      <c r="G126">
        <f t="shared" ca="1" si="13"/>
        <v>1.28</v>
      </c>
      <c r="H126" s="1">
        <f t="shared" ca="1" si="14"/>
        <v>46310</v>
      </c>
      <c r="I126" s="1">
        <f t="shared" ca="1" si="15"/>
        <v>45987</v>
      </c>
      <c r="J126">
        <f t="shared" ca="1" si="16"/>
        <v>67.84</v>
      </c>
      <c r="K126" t="str">
        <f t="shared" ca="1" si="17"/>
        <v>Low Stock</v>
      </c>
      <c r="L126" s="2">
        <f t="shared" ca="1" si="18"/>
        <v>191</v>
      </c>
      <c r="M126" t="str">
        <f t="shared" ca="1" si="19"/>
        <v>Safe</v>
      </c>
    </row>
    <row r="127" spans="1:13" x14ac:dyDescent="0.25">
      <c r="A127" t="str">
        <f t="shared" si="10"/>
        <v>M126</v>
      </c>
      <c r="B127" t="str" cm="1">
        <f t="array" aca="1" ref="B127" ca="1">INDEX({"Paracetamol","Amoxicillin","Ibuprofen","Cetirizine","Metformin","Amlodipine","Omeprazole","Azithromycin","Losartan","Vitamin C"}, RANDBETWEEN(1,10))</f>
        <v>Metformin</v>
      </c>
      <c r="C127" t="str" cm="1">
        <f t="array" aca="1" ref="C127" ca="1">INDEX({"Painkiller","Antibiotic","Painkiller","Antihistamine","Diabetes","Hypertension","Antacid","Antibiotic","Hypertension","Supplement"},
MATCH(B127,{"Paracetamol","Amoxicillin","Ibuprofen","Cetirizine","Metformin","Amlodipine","Omeprazole","Azithromycin","Losartan","Vitamin C"},0))</f>
        <v>Diabetes</v>
      </c>
      <c r="D127" t="str" cm="1">
        <f t="array" aca="1" ref="D127" ca="1">INDEX({"MedSupply Co","HealthCorp","PharmaPlus","GlobalMed"}, RANDBETWEEN(1,4))</f>
        <v>MedSupply Co</v>
      </c>
      <c r="E127">
        <f t="shared" ca="1" si="11"/>
        <v>81</v>
      </c>
      <c r="F127">
        <f t="shared" ca="1" si="12"/>
        <v>59</v>
      </c>
      <c r="G127">
        <f t="shared" ca="1" si="13"/>
        <v>0.7</v>
      </c>
      <c r="H127" s="1">
        <f t="shared" ca="1" si="14"/>
        <v>46433</v>
      </c>
      <c r="I127" s="1">
        <f t="shared" ca="1" si="15"/>
        <v>46033</v>
      </c>
      <c r="J127">
        <f t="shared" ca="1" si="16"/>
        <v>56.699999999999996</v>
      </c>
      <c r="K127" t="str">
        <f t="shared" ca="1" si="17"/>
        <v>In Stock</v>
      </c>
      <c r="L127" s="2">
        <f t="shared" ca="1" si="18"/>
        <v>314</v>
      </c>
      <c r="M127" t="str">
        <f t="shared" ca="1" si="19"/>
        <v>Safe</v>
      </c>
    </row>
    <row r="128" spans="1:13" x14ac:dyDescent="0.25">
      <c r="A128" t="str">
        <f t="shared" si="10"/>
        <v>M127</v>
      </c>
      <c r="B128" t="str" cm="1">
        <f t="array" aca="1" ref="B128" ca="1">INDEX({"Paracetamol","Amoxicillin","Ibuprofen","Cetirizine","Metformin","Amlodipine","Omeprazole","Azithromycin","Losartan","Vitamin C"}, RANDBETWEEN(1,10))</f>
        <v>Metformin</v>
      </c>
      <c r="C128" t="str" cm="1">
        <f t="array" aca="1" ref="C128" ca="1">INDEX({"Painkiller","Antibiotic","Painkiller","Antihistamine","Diabetes","Hypertension","Antacid","Antibiotic","Hypertension","Supplement"},
MATCH(B128,{"Paracetamol","Amoxicillin","Ibuprofen","Cetirizine","Metformin","Amlodipine","Omeprazole","Azithromycin","Losartan","Vitamin C"},0))</f>
        <v>Diabetes</v>
      </c>
      <c r="D128" t="str" cm="1">
        <f t="array" aca="1" ref="D128" ca="1">INDEX({"MedSupply Co","HealthCorp","PharmaPlus","GlobalMed"}, RANDBETWEEN(1,4))</f>
        <v>PharmaPlus</v>
      </c>
      <c r="E128">
        <f t="shared" ca="1" si="11"/>
        <v>182</v>
      </c>
      <c r="F128">
        <f t="shared" ca="1" si="12"/>
        <v>93</v>
      </c>
      <c r="G128">
        <f t="shared" ca="1" si="13"/>
        <v>0.89</v>
      </c>
      <c r="H128" s="1">
        <f t="shared" ca="1" si="14"/>
        <v>46251</v>
      </c>
      <c r="I128" s="1">
        <f t="shared" ca="1" si="15"/>
        <v>46063</v>
      </c>
      <c r="J128">
        <f t="shared" ca="1" si="16"/>
        <v>161.97999999999999</v>
      </c>
      <c r="K128" t="str">
        <f t="shared" ca="1" si="17"/>
        <v>In Stock</v>
      </c>
      <c r="L128" s="2">
        <f t="shared" ca="1" si="18"/>
        <v>132</v>
      </c>
      <c r="M128" t="str">
        <f t="shared" ca="1" si="19"/>
        <v>Safe</v>
      </c>
    </row>
    <row r="129" spans="1:13" x14ac:dyDescent="0.25">
      <c r="A129" t="str">
        <f t="shared" si="10"/>
        <v>M128</v>
      </c>
      <c r="B129" t="str" cm="1">
        <f t="array" aca="1" ref="B129" ca="1">INDEX({"Paracetamol","Amoxicillin","Ibuprofen","Cetirizine","Metformin","Amlodipine","Omeprazole","Azithromycin","Losartan","Vitamin C"}, RANDBETWEEN(1,10))</f>
        <v>Cetirizine</v>
      </c>
      <c r="C129" t="str" cm="1">
        <f t="array" aca="1" ref="C129" ca="1">INDEX({"Painkiller","Antibiotic","Painkiller","Antihistamine","Diabetes","Hypertension","Antacid","Antibiotic","Hypertension","Supplement"},
MATCH(B129,{"Paracetamol","Amoxicillin","Ibuprofen","Cetirizine","Metformin","Amlodipine","Omeprazole","Azithromycin","Losartan","Vitamin C"},0))</f>
        <v>Antihistamine</v>
      </c>
      <c r="D129" t="str" cm="1">
        <f t="array" aca="1" ref="D129" ca="1">INDEX({"MedSupply Co","HealthCorp","PharmaPlus","GlobalMed"}, RANDBETWEEN(1,4))</f>
        <v>PharmaPlus</v>
      </c>
      <c r="E129">
        <f t="shared" ca="1" si="11"/>
        <v>63</v>
      </c>
      <c r="F129">
        <f t="shared" ca="1" si="12"/>
        <v>93</v>
      </c>
      <c r="G129">
        <f t="shared" ca="1" si="13"/>
        <v>1.35</v>
      </c>
      <c r="H129" s="1">
        <f t="shared" ca="1" si="14"/>
        <v>46246</v>
      </c>
      <c r="I129" s="1">
        <f t="shared" ca="1" si="15"/>
        <v>45946</v>
      </c>
      <c r="J129">
        <f t="shared" ca="1" si="16"/>
        <v>85.050000000000011</v>
      </c>
      <c r="K129" t="str">
        <f t="shared" ca="1" si="17"/>
        <v>Low Stock</v>
      </c>
      <c r="L129" s="2">
        <f t="shared" ca="1" si="18"/>
        <v>127</v>
      </c>
      <c r="M129" t="str">
        <f t="shared" ca="1" si="19"/>
        <v>Safe</v>
      </c>
    </row>
    <row r="130" spans="1:13" x14ac:dyDescent="0.25">
      <c r="A130" t="str">
        <f t="shared" si="10"/>
        <v>M129</v>
      </c>
      <c r="B130" t="str" cm="1">
        <f t="array" aca="1" ref="B130" ca="1">INDEX({"Paracetamol","Amoxicillin","Ibuprofen","Cetirizine","Metformin","Amlodipine","Omeprazole","Azithromycin","Losartan","Vitamin C"}, RANDBETWEEN(1,10))</f>
        <v>Ibuprofen</v>
      </c>
      <c r="C130" t="str" cm="1">
        <f t="array" aca="1" ref="C130" ca="1">INDEX({"Painkiller","Antibiotic","Painkiller","Antihistamine","Diabetes","Hypertension","Antacid","Antibiotic","Hypertension","Supplement"},
MATCH(B130,{"Paracetamol","Amoxicillin","Ibuprofen","Cetirizine","Metformin","Amlodipine","Omeprazole","Azithromycin","Losartan","Vitamin C"},0))</f>
        <v>Painkiller</v>
      </c>
      <c r="D130" t="str" cm="1">
        <f t="array" aca="1" ref="D130" ca="1">INDEX({"MedSupply Co","HealthCorp","PharmaPlus","GlobalMed"}, RANDBETWEEN(1,4))</f>
        <v>HealthCorp</v>
      </c>
      <c r="E130">
        <f t="shared" ca="1" si="11"/>
        <v>48</v>
      </c>
      <c r="F130">
        <f t="shared" ca="1" si="12"/>
        <v>74</v>
      </c>
      <c r="G130">
        <f t="shared" ca="1" si="13"/>
        <v>1.23</v>
      </c>
      <c r="H130" s="1">
        <f t="shared" ca="1" si="14"/>
        <v>46313</v>
      </c>
      <c r="I130" s="1">
        <f t="shared" ca="1" si="15"/>
        <v>46078</v>
      </c>
      <c r="J130">
        <f t="shared" ca="1" si="16"/>
        <v>59.04</v>
      </c>
      <c r="K130" t="str">
        <f t="shared" ca="1" si="17"/>
        <v>Low Stock</v>
      </c>
      <c r="L130" s="2">
        <f t="shared" ca="1" si="18"/>
        <v>194</v>
      </c>
      <c r="M130" t="str">
        <f t="shared" ca="1" si="19"/>
        <v>Safe</v>
      </c>
    </row>
    <row r="131" spans="1:13" x14ac:dyDescent="0.25">
      <c r="A131" t="str">
        <f t="shared" ref="A131:A194" si="20">"M"&amp;TEXT(ROW(A130),"000")</f>
        <v>M130</v>
      </c>
      <c r="B131" t="str" cm="1">
        <f t="array" aca="1" ref="B131" ca="1">INDEX({"Paracetamol","Amoxicillin","Ibuprofen","Cetirizine","Metformin","Amlodipine","Omeprazole","Azithromycin","Losartan","Vitamin C"}, RANDBETWEEN(1,10))</f>
        <v>Losartan</v>
      </c>
      <c r="C131" t="str" cm="1">
        <f t="array" aca="1" ref="C131" ca="1">INDEX({"Painkiller","Antibiotic","Painkiller","Antihistamine","Diabetes","Hypertension","Antacid","Antibiotic","Hypertension","Supplement"},
MATCH(B131,{"Paracetamol","Amoxicillin","Ibuprofen","Cetirizine","Metformin","Amlodipine","Omeprazole","Azithromycin","Losartan","Vitamin C"},0))</f>
        <v>Hypertension</v>
      </c>
      <c r="D131" t="str" cm="1">
        <f t="array" aca="1" ref="D131" ca="1">INDEX({"MedSupply Co","HealthCorp","PharmaPlus","GlobalMed"}, RANDBETWEEN(1,4))</f>
        <v>GlobalMed</v>
      </c>
      <c r="E131">
        <f t="shared" ref="E131:E194" ca="1" si="21">RANDBETWEEN(0,200)</f>
        <v>180</v>
      </c>
      <c r="F131">
        <f t="shared" ref="F131:F194" ca="1" si="22">RANDBETWEEN(20,100)</f>
        <v>66</v>
      </c>
      <c r="G131">
        <f t="shared" ref="G131:G194" ca="1" si="23">ROUND(RANDBETWEEN(50,200)/100,2)</f>
        <v>1.98</v>
      </c>
      <c r="H131" s="1">
        <f t="shared" ref="H131:H194" ca="1" si="24">TODAY()+RANDBETWEEN(30,365)</f>
        <v>46284</v>
      </c>
      <c r="I131" s="1">
        <f t="shared" ref="I131:I194" ca="1" si="25">TODAY()-RANDBETWEEN(1,180)</f>
        <v>45972</v>
      </c>
      <c r="J131">
        <f t="shared" ref="J131:J194" ca="1" si="26">E131*G131</f>
        <v>356.4</v>
      </c>
      <c r="K131" t="str">
        <f t="shared" ref="K131:K194" ca="1" si="27">IF(E131=0,"Out of Stock",IF(E131&lt;F131,"Low Stock","In Stock"))</f>
        <v>In Stock</v>
      </c>
      <c r="L131" s="2">
        <f t="shared" ref="L131:L194" ca="1" si="28">H131-TODAY()</f>
        <v>165</v>
      </c>
      <c r="M131" t="str">
        <f t="shared" ref="M131:M194" ca="1" si="29">IF(H131&lt;=TODAY()+30,"Expiring Soon","Safe")</f>
        <v>Safe</v>
      </c>
    </row>
    <row r="132" spans="1:13" x14ac:dyDescent="0.25">
      <c r="A132" t="str">
        <f t="shared" si="20"/>
        <v>M131</v>
      </c>
      <c r="B132" t="str" cm="1">
        <f t="array" aca="1" ref="B132" ca="1">INDEX({"Paracetamol","Amoxicillin","Ibuprofen","Cetirizine","Metformin","Amlodipine","Omeprazole","Azithromycin","Losartan","Vitamin C"}, RANDBETWEEN(1,10))</f>
        <v>Amoxicillin</v>
      </c>
      <c r="C132" t="str" cm="1">
        <f t="array" aca="1" ref="C132" ca="1">INDEX({"Painkiller","Antibiotic","Painkiller","Antihistamine","Diabetes","Hypertension","Antacid","Antibiotic","Hypertension","Supplement"},
MATCH(B132,{"Paracetamol","Amoxicillin","Ibuprofen","Cetirizine","Metformin","Amlodipine","Omeprazole","Azithromycin","Losartan","Vitamin C"},0))</f>
        <v>Antibiotic</v>
      </c>
      <c r="D132" t="str" cm="1">
        <f t="array" aca="1" ref="D132" ca="1">INDEX({"MedSupply Co","HealthCorp","PharmaPlus","GlobalMed"}, RANDBETWEEN(1,4))</f>
        <v>MedSupply Co</v>
      </c>
      <c r="E132">
        <f t="shared" ca="1" si="21"/>
        <v>87</v>
      </c>
      <c r="F132">
        <f t="shared" ca="1" si="22"/>
        <v>68</v>
      </c>
      <c r="G132">
        <f t="shared" ca="1" si="23"/>
        <v>1.1499999999999999</v>
      </c>
      <c r="H132" s="1">
        <f t="shared" ca="1" si="24"/>
        <v>46205</v>
      </c>
      <c r="I132" s="1">
        <f t="shared" ca="1" si="25"/>
        <v>45987</v>
      </c>
      <c r="J132">
        <f t="shared" ca="1" si="26"/>
        <v>100.05</v>
      </c>
      <c r="K132" t="str">
        <f t="shared" ca="1" si="27"/>
        <v>In Stock</v>
      </c>
      <c r="L132" s="2">
        <f t="shared" ca="1" si="28"/>
        <v>86</v>
      </c>
      <c r="M132" t="str">
        <f t="shared" ca="1" si="29"/>
        <v>Safe</v>
      </c>
    </row>
    <row r="133" spans="1:13" x14ac:dyDescent="0.25">
      <c r="A133" t="str">
        <f t="shared" si="20"/>
        <v>M132</v>
      </c>
      <c r="B133" t="str" cm="1">
        <f t="array" aca="1" ref="B133" ca="1">INDEX({"Paracetamol","Amoxicillin","Ibuprofen","Cetirizine","Metformin","Amlodipine","Omeprazole","Azithromycin","Losartan","Vitamin C"}, RANDBETWEEN(1,10))</f>
        <v>Cetirizine</v>
      </c>
      <c r="C133" t="str" cm="1">
        <f t="array" aca="1" ref="C133" ca="1">INDEX({"Painkiller","Antibiotic","Painkiller","Antihistamine","Diabetes","Hypertension","Antacid","Antibiotic","Hypertension","Supplement"},
MATCH(B133,{"Paracetamol","Amoxicillin","Ibuprofen","Cetirizine","Metformin","Amlodipine","Omeprazole","Azithromycin","Losartan","Vitamin C"},0))</f>
        <v>Antihistamine</v>
      </c>
      <c r="D133" t="str" cm="1">
        <f t="array" aca="1" ref="D133" ca="1">INDEX({"MedSupply Co","HealthCorp","PharmaPlus","GlobalMed"}, RANDBETWEEN(1,4))</f>
        <v>PharmaPlus</v>
      </c>
      <c r="E133">
        <f t="shared" ca="1" si="21"/>
        <v>130</v>
      </c>
      <c r="F133">
        <f t="shared" ca="1" si="22"/>
        <v>92</v>
      </c>
      <c r="G133">
        <f t="shared" ca="1" si="23"/>
        <v>0.76</v>
      </c>
      <c r="H133" s="1">
        <f t="shared" ca="1" si="24"/>
        <v>46384</v>
      </c>
      <c r="I133" s="1">
        <f t="shared" ca="1" si="25"/>
        <v>46026</v>
      </c>
      <c r="J133">
        <f t="shared" ca="1" si="26"/>
        <v>98.8</v>
      </c>
      <c r="K133" t="str">
        <f t="shared" ca="1" si="27"/>
        <v>In Stock</v>
      </c>
      <c r="L133" s="2">
        <f t="shared" ca="1" si="28"/>
        <v>265</v>
      </c>
      <c r="M133" t="str">
        <f t="shared" ca="1" si="29"/>
        <v>Safe</v>
      </c>
    </row>
    <row r="134" spans="1:13" x14ac:dyDescent="0.25">
      <c r="A134" t="str">
        <f t="shared" si="20"/>
        <v>M133</v>
      </c>
      <c r="B134" t="str" cm="1">
        <f t="array" aca="1" ref="B134" ca="1">INDEX({"Paracetamol","Amoxicillin","Ibuprofen","Cetirizine","Metformin","Amlodipine","Omeprazole","Azithromycin","Losartan","Vitamin C"}, RANDBETWEEN(1,10))</f>
        <v>Amlodipine</v>
      </c>
      <c r="C134" t="str" cm="1">
        <f t="array" aca="1" ref="C134" ca="1">INDEX({"Painkiller","Antibiotic","Painkiller","Antihistamine","Diabetes","Hypertension","Antacid","Antibiotic","Hypertension","Supplement"},
MATCH(B134,{"Paracetamol","Amoxicillin","Ibuprofen","Cetirizine","Metformin","Amlodipine","Omeprazole","Azithromycin","Losartan","Vitamin C"},0))</f>
        <v>Hypertension</v>
      </c>
      <c r="D134" t="str" cm="1">
        <f t="array" aca="1" ref="D134" ca="1">INDEX({"MedSupply Co","HealthCorp","PharmaPlus","GlobalMed"}, RANDBETWEEN(1,4))</f>
        <v>GlobalMed</v>
      </c>
      <c r="E134">
        <f t="shared" ca="1" si="21"/>
        <v>172</v>
      </c>
      <c r="F134">
        <f t="shared" ca="1" si="22"/>
        <v>54</v>
      </c>
      <c r="G134">
        <f t="shared" ca="1" si="23"/>
        <v>0.53</v>
      </c>
      <c r="H134" s="1">
        <f t="shared" ca="1" si="24"/>
        <v>46279</v>
      </c>
      <c r="I134" s="1">
        <f t="shared" ca="1" si="25"/>
        <v>45964</v>
      </c>
      <c r="J134">
        <f t="shared" ca="1" si="26"/>
        <v>91.160000000000011</v>
      </c>
      <c r="K134" t="str">
        <f t="shared" ca="1" si="27"/>
        <v>In Stock</v>
      </c>
      <c r="L134" s="2">
        <f t="shared" ca="1" si="28"/>
        <v>160</v>
      </c>
      <c r="M134" t="str">
        <f t="shared" ca="1" si="29"/>
        <v>Safe</v>
      </c>
    </row>
    <row r="135" spans="1:13" x14ac:dyDescent="0.25">
      <c r="A135" t="str">
        <f t="shared" si="20"/>
        <v>M134</v>
      </c>
      <c r="B135" t="str" cm="1">
        <f t="array" aca="1" ref="B135" ca="1">INDEX({"Paracetamol","Amoxicillin","Ibuprofen","Cetirizine","Metformin","Amlodipine","Omeprazole","Azithromycin","Losartan","Vitamin C"}, RANDBETWEEN(1,10))</f>
        <v>Metformin</v>
      </c>
      <c r="C135" t="str" cm="1">
        <f t="array" aca="1" ref="C135" ca="1">INDEX({"Painkiller","Antibiotic","Painkiller","Antihistamine","Diabetes","Hypertension","Antacid","Antibiotic","Hypertension","Supplement"},
MATCH(B135,{"Paracetamol","Amoxicillin","Ibuprofen","Cetirizine","Metformin","Amlodipine","Omeprazole","Azithromycin","Losartan","Vitamin C"},0))</f>
        <v>Diabetes</v>
      </c>
      <c r="D135" t="str" cm="1">
        <f t="array" aca="1" ref="D135" ca="1">INDEX({"MedSupply Co","HealthCorp","PharmaPlus","GlobalMed"}, RANDBETWEEN(1,4))</f>
        <v>MedSupply Co</v>
      </c>
      <c r="E135">
        <f t="shared" ca="1" si="21"/>
        <v>81</v>
      </c>
      <c r="F135">
        <f t="shared" ca="1" si="22"/>
        <v>25</v>
      </c>
      <c r="G135">
        <f t="shared" ca="1" si="23"/>
        <v>1.2</v>
      </c>
      <c r="H135" s="1">
        <f t="shared" ca="1" si="24"/>
        <v>46229</v>
      </c>
      <c r="I135" s="1">
        <f t="shared" ca="1" si="25"/>
        <v>45995</v>
      </c>
      <c r="J135">
        <f t="shared" ca="1" si="26"/>
        <v>97.2</v>
      </c>
      <c r="K135" t="str">
        <f t="shared" ca="1" si="27"/>
        <v>In Stock</v>
      </c>
      <c r="L135" s="2">
        <f t="shared" ca="1" si="28"/>
        <v>110</v>
      </c>
      <c r="M135" t="str">
        <f t="shared" ca="1" si="29"/>
        <v>Safe</v>
      </c>
    </row>
    <row r="136" spans="1:13" x14ac:dyDescent="0.25">
      <c r="A136" t="str">
        <f t="shared" si="20"/>
        <v>M135</v>
      </c>
      <c r="B136" t="str" cm="1">
        <f t="array" aca="1" ref="B136" ca="1">INDEX({"Paracetamol","Amoxicillin","Ibuprofen","Cetirizine","Metformin","Amlodipine","Omeprazole","Azithromycin","Losartan","Vitamin C"}, RANDBETWEEN(1,10))</f>
        <v>Azithromycin</v>
      </c>
      <c r="C136" t="str" cm="1">
        <f t="array" aca="1" ref="C136" ca="1">INDEX({"Painkiller","Antibiotic","Painkiller","Antihistamine","Diabetes","Hypertension","Antacid","Antibiotic","Hypertension","Supplement"},
MATCH(B136,{"Paracetamol","Amoxicillin","Ibuprofen","Cetirizine","Metformin","Amlodipine","Omeprazole","Azithromycin","Losartan","Vitamin C"},0))</f>
        <v>Antibiotic</v>
      </c>
      <c r="D136" t="str" cm="1">
        <f t="array" aca="1" ref="D136" ca="1">INDEX({"MedSupply Co","HealthCorp","PharmaPlus","GlobalMed"}, RANDBETWEEN(1,4))</f>
        <v>MedSupply Co</v>
      </c>
      <c r="E136">
        <f t="shared" ca="1" si="21"/>
        <v>191</v>
      </c>
      <c r="F136">
        <f t="shared" ca="1" si="22"/>
        <v>89</v>
      </c>
      <c r="G136">
        <f t="shared" ca="1" si="23"/>
        <v>0.68</v>
      </c>
      <c r="H136" s="1">
        <f t="shared" ca="1" si="24"/>
        <v>46388</v>
      </c>
      <c r="I136" s="1">
        <f t="shared" ca="1" si="25"/>
        <v>46110</v>
      </c>
      <c r="J136">
        <f t="shared" ca="1" si="26"/>
        <v>129.88</v>
      </c>
      <c r="K136" t="str">
        <f t="shared" ca="1" si="27"/>
        <v>In Stock</v>
      </c>
      <c r="L136" s="2">
        <f t="shared" ca="1" si="28"/>
        <v>269</v>
      </c>
      <c r="M136" t="str">
        <f t="shared" ca="1" si="29"/>
        <v>Safe</v>
      </c>
    </row>
    <row r="137" spans="1:13" x14ac:dyDescent="0.25">
      <c r="A137" t="str">
        <f t="shared" si="20"/>
        <v>M136</v>
      </c>
      <c r="B137" t="str" cm="1">
        <f t="array" aca="1" ref="B137" ca="1">INDEX({"Paracetamol","Amoxicillin","Ibuprofen","Cetirizine","Metformin","Amlodipine","Omeprazole","Azithromycin","Losartan","Vitamin C"}, RANDBETWEEN(1,10))</f>
        <v>Paracetamol</v>
      </c>
      <c r="C137" t="str" cm="1">
        <f t="array" aca="1" ref="C137" ca="1">INDEX({"Painkiller","Antibiotic","Painkiller","Antihistamine","Diabetes","Hypertension","Antacid","Antibiotic","Hypertension","Supplement"},
MATCH(B137,{"Paracetamol","Amoxicillin","Ibuprofen","Cetirizine","Metformin","Amlodipine","Omeprazole","Azithromycin","Losartan","Vitamin C"},0))</f>
        <v>Painkiller</v>
      </c>
      <c r="D137" t="str" cm="1">
        <f t="array" aca="1" ref="D137" ca="1">INDEX({"MedSupply Co","HealthCorp","PharmaPlus","GlobalMed"}, RANDBETWEEN(1,4))</f>
        <v>MedSupply Co</v>
      </c>
      <c r="E137">
        <f t="shared" ca="1" si="21"/>
        <v>13</v>
      </c>
      <c r="F137">
        <f t="shared" ca="1" si="22"/>
        <v>68</v>
      </c>
      <c r="G137">
        <f t="shared" ca="1" si="23"/>
        <v>1.94</v>
      </c>
      <c r="H137" s="1">
        <f t="shared" ca="1" si="24"/>
        <v>46264</v>
      </c>
      <c r="I137" s="1">
        <f t="shared" ca="1" si="25"/>
        <v>46057</v>
      </c>
      <c r="J137">
        <f t="shared" ca="1" si="26"/>
        <v>25.22</v>
      </c>
      <c r="K137" t="str">
        <f t="shared" ca="1" si="27"/>
        <v>Low Stock</v>
      </c>
      <c r="L137" s="2">
        <f t="shared" ca="1" si="28"/>
        <v>145</v>
      </c>
      <c r="M137" t="str">
        <f t="shared" ca="1" si="29"/>
        <v>Safe</v>
      </c>
    </row>
    <row r="138" spans="1:13" x14ac:dyDescent="0.25">
      <c r="A138" t="str">
        <f t="shared" si="20"/>
        <v>M137</v>
      </c>
      <c r="B138" t="str" cm="1">
        <f t="array" aca="1" ref="B138" ca="1">INDEX({"Paracetamol","Amoxicillin","Ibuprofen","Cetirizine","Metformin","Amlodipine","Omeprazole","Azithromycin","Losartan","Vitamin C"}, RANDBETWEEN(1,10))</f>
        <v>Omeprazole</v>
      </c>
      <c r="C138" t="str" cm="1">
        <f t="array" aca="1" ref="C138" ca="1">INDEX({"Painkiller","Antibiotic","Painkiller","Antihistamine","Diabetes","Hypertension","Antacid","Antibiotic","Hypertension","Supplement"},
MATCH(B138,{"Paracetamol","Amoxicillin","Ibuprofen","Cetirizine","Metformin","Amlodipine","Omeprazole","Azithromycin","Losartan","Vitamin C"},0))</f>
        <v>Antacid</v>
      </c>
      <c r="D138" t="str" cm="1">
        <f t="array" aca="1" ref="D138" ca="1">INDEX({"MedSupply Co","HealthCorp","PharmaPlus","GlobalMed"}, RANDBETWEEN(1,4))</f>
        <v>GlobalMed</v>
      </c>
      <c r="E138">
        <f t="shared" ca="1" si="21"/>
        <v>193</v>
      </c>
      <c r="F138">
        <f t="shared" ca="1" si="22"/>
        <v>56</v>
      </c>
      <c r="G138">
        <f t="shared" ca="1" si="23"/>
        <v>0.57999999999999996</v>
      </c>
      <c r="H138" s="1">
        <f t="shared" ca="1" si="24"/>
        <v>46476</v>
      </c>
      <c r="I138" s="1">
        <f t="shared" ca="1" si="25"/>
        <v>45949</v>
      </c>
      <c r="J138">
        <f t="shared" ca="1" si="26"/>
        <v>111.94</v>
      </c>
      <c r="K138" t="str">
        <f t="shared" ca="1" si="27"/>
        <v>In Stock</v>
      </c>
      <c r="L138" s="2">
        <f t="shared" ca="1" si="28"/>
        <v>357</v>
      </c>
      <c r="M138" t="str">
        <f t="shared" ca="1" si="29"/>
        <v>Safe</v>
      </c>
    </row>
    <row r="139" spans="1:13" x14ac:dyDescent="0.25">
      <c r="A139" t="str">
        <f t="shared" si="20"/>
        <v>M138</v>
      </c>
      <c r="B139" t="str" cm="1">
        <f t="array" aca="1" ref="B139" ca="1">INDEX({"Paracetamol","Amoxicillin","Ibuprofen","Cetirizine","Metformin","Amlodipine","Omeprazole","Azithromycin","Losartan","Vitamin C"}, RANDBETWEEN(1,10))</f>
        <v>Paracetamol</v>
      </c>
      <c r="C139" t="str" cm="1">
        <f t="array" aca="1" ref="C139" ca="1">INDEX({"Painkiller","Antibiotic","Painkiller","Antihistamine","Diabetes","Hypertension","Antacid","Antibiotic","Hypertension","Supplement"},
MATCH(B139,{"Paracetamol","Amoxicillin","Ibuprofen","Cetirizine","Metformin","Amlodipine","Omeprazole","Azithromycin","Losartan","Vitamin C"},0))</f>
        <v>Painkiller</v>
      </c>
      <c r="D139" t="str" cm="1">
        <f t="array" aca="1" ref="D139" ca="1">INDEX({"MedSupply Co","HealthCorp","PharmaPlus","GlobalMed"}, RANDBETWEEN(1,4))</f>
        <v>MedSupply Co</v>
      </c>
      <c r="E139">
        <f t="shared" ca="1" si="21"/>
        <v>0</v>
      </c>
      <c r="F139">
        <f t="shared" ca="1" si="22"/>
        <v>70</v>
      </c>
      <c r="G139">
        <f t="shared" ca="1" si="23"/>
        <v>0.53</v>
      </c>
      <c r="H139" s="1">
        <f t="shared" ca="1" si="24"/>
        <v>46219</v>
      </c>
      <c r="I139" s="1">
        <f t="shared" ca="1" si="25"/>
        <v>46023</v>
      </c>
      <c r="J139">
        <f t="shared" ca="1" si="26"/>
        <v>0</v>
      </c>
      <c r="K139" t="str">
        <f t="shared" ca="1" si="27"/>
        <v>Out of Stock</v>
      </c>
      <c r="L139" s="2">
        <f t="shared" ca="1" si="28"/>
        <v>100</v>
      </c>
      <c r="M139" t="str">
        <f t="shared" ca="1" si="29"/>
        <v>Safe</v>
      </c>
    </row>
    <row r="140" spans="1:13" x14ac:dyDescent="0.25">
      <c r="A140" t="str">
        <f t="shared" si="20"/>
        <v>M139</v>
      </c>
      <c r="B140" t="str" cm="1">
        <f t="array" aca="1" ref="B140" ca="1">INDEX({"Paracetamol","Amoxicillin","Ibuprofen","Cetirizine","Metformin","Amlodipine","Omeprazole","Azithromycin","Losartan","Vitamin C"}, RANDBETWEEN(1,10))</f>
        <v>Amlodipine</v>
      </c>
      <c r="C140" t="str" cm="1">
        <f t="array" aca="1" ref="C140" ca="1">INDEX({"Painkiller","Antibiotic","Painkiller","Antihistamine","Diabetes","Hypertension","Antacid","Antibiotic","Hypertension","Supplement"},
MATCH(B140,{"Paracetamol","Amoxicillin","Ibuprofen","Cetirizine","Metformin","Amlodipine","Omeprazole","Azithromycin","Losartan","Vitamin C"},0))</f>
        <v>Hypertension</v>
      </c>
      <c r="D140" t="str" cm="1">
        <f t="array" aca="1" ref="D140" ca="1">INDEX({"MedSupply Co","HealthCorp","PharmaPlus","GlobalMed"}, RANDBETWEEN(1,4))</f>
        <v>PharmaPlus</v>
      </c>
      <c r="E140">
        <f t="shared" ca="1" si="21"/>
        <v>189</v>
      </c>
      <c r="F140">
        <f t="shared" ca="1" si="22"/>
        <v>94</v>
      </c>
      <c r="G140">
        <f t="shared" ca="1" si="23"/>
        <v>1.57</v>
      </c>
      <c r="H140" s="1">
        <f t="shared" ca="1" si="24"/>
        <v>46195</v>
      </c>
      <c r="I140" s="1">
        <f t="shared" ca="1" si="25"/>
        <v>46043</v>
      </c>
      <c r="J140">
        <f t="shared" ca="1" si="26"/>
        <v>296.73</v>
      </c>
      <c r="K140" t="str">
        <f t="shared" ca="1" si="27"/>
        <v>In Stock</v>
      </c>
      <c r="L140" s="2">
        <f t="shared" ca="1" si="28"/>
        <v>76</v>
      </c>
      <c r="M140" t="str">
        <f t="shared" ca="1" si="29"/>
        <v>Safe</v>
      </c>
    </row>
    <row r="141" spans="1:13" x14ac:dyDescent="0.25">
      <c r="A141" t="str">
        <f t="shared" si="20"/>
        <v>M140</v>
      </c>
      <c r="B141" t="str" cm="1">
        <f t="array" aca="1" ref="B141" ca="1">INDEX({"Paracetamol","Amoxicillin","Ibuprofen","Cetirizine","Metformin","Amlodipine","Omeprazole","Azithromycin","Losartan","Vitamin C"}, RANDBETWEEN(1,10))</f>
        <v>Azithromycin</v>
      </c>
      <c r="C141" t="str" cm="1">
        <f t="array" aca="1" ref="C141" ca="1">INDEX({"Painkiller","Antibiotic","Painkiller","Antihistamine","Diabetes","Hypertension","Antacid","Antibiotic","Hypertension","Supplement"},
MATCH(B141,{"Paracetamol","Amoxicillin","Ibuprofen","Cetirizine","Metformin","Amlodipine","Omeprazole","Azithromycin","Losartan","Vitamin C"},0))</f>
        <v>Antibiotic</v>
      </c>
      <c r="D141" t="str" cm="1">
        <f t="array" aca="1" ref="D141" ca="1">INDEX({"MedSupply Co","HealthCorp","PharmaPlus","GlobalMed"}, RANDBETWEEN(1,4))</f>
        <v>PharmaPlus</v>
      </c>
      <c r="E141">
        <f t="shared" ca="1" si="21"/>
        <v>28</v>
      </c>
      <c r="F141">
        <f t="shared" ca="1" si="22"/>
        <v>41</v>
      </c>
      <c r="G141">
        <f t="shared" ca="1" si="23"/>
        <v>1.19</v>
      </c>
      <c r="H141" s="1">
        <f t="shared" ca="1" si="24"/>
        <v>46176</v>
      </c>
      <c r="I141" s="1">
        <f t="shared" ca="1" si="25"/>
        <v>46058</v>
      </c>
      <c r="J141">
        <f t="shared" ca="1" si="26"/>
        <v>33.32</v>
      </c>
      <c r="K141" t="str">
        <f t="shared" ca="1" si="27"/>
        <v>Low Stock</v>
      </c>
      <c r="L141" s="2">
        <f t="shared" ca="1" si="28"/>
        <v>57</v>
      </c>
      <c r="M141" t="str">
        <f t="shared" ca="1" si="29"/>
        <v>Safe</v>
      </c>
    </row>
    <row r="142" spans="1:13" x14ac:dyDescent="0.25">
      <c r="A142" t="str">
        <f t="shared" si="20"/>
        <v>M141</v>
      </c>
      <c r="B142" t="str" cm="1">
        <f t="array" aca="1" ref="B142" ca="1">INDEX({"Paracetamol","Amoxicillin","Ibuprofen","Cetirizine","Metformin","Amlodipine","Omeprazole","Azithromycin","Losartan","Vitamin C"}, RANDBETWEEN(1,10))</f>
        <v>Omeprazole</v>
      </c>
      <c r="C142" t="str" cm="1">
        <f t="array" aca="1" ref="C142" ca="1">INDEX({"Painkiller","Antibiotic","Painkiller","Antihistamine","Diabetes","Hypertension","Antacid","Antibiotic","Hypertension","Supplement"},
MATCH(B142,{"Paracetamol","Amoxicillin","Ibuprofen","Cetirizine","Metformin","Amlodipine","Omeprazole","Azithromycin","Losartan","Vitamin C"},0))</f>
        <v>Antacid</v>
      </c>
      <c r="D142" t="str" cm="1">
        <f t="array" aca="1" ref="D142" ca="1">INDEX({"MedSupply Co","HealthCorp","PharmaPlus","GlobalMed"}, RANDBETWEEN(1,4))</f>
        <v>GlobalMed</v>
      </c>
      <c r="E142">
        <f t="shared" ca="1" si="21"/>
        <v>76</v>
      </c>
      <c r="F142">
        <f t="shared" ca="1" si="22"/>
        <v>65</v>
      </c>
      <c r="G142">
        <f t="shared" ca="1" si="23"/>
        <v>1.43</v>
      </c>
      <c r="H142" s="1">
        <f t="shared" ca="1" si="24"/>
        <v>46378</v>
      </c>
      <c r="I142" s="1">
        <f t="shared" ca="1" si="25"/>
        <v>45980</v>
      </c>
      <c r="J142">
        <f t="shared" ca="1" si="26"/>
        <v>108.67999999999999</v>
      </c>
      <c r="K142" t="str">
        <f t="shared" ca="1" si="27"/>
        <v>In Stock</v>
      </c>
      <c r="L142" s="2">
        <f t="shared" ca="1" si="28"/>
        <v>259</v>
      </c>
      <c r="M142" t="str">
        <f t="shared" ca="1" si="29"/>
        <v>Safe</v>
      </c>
    </row>
    <row r="143" spans="1:13" x14ac:dyDescent="0.25">
      <c r="A143" t="str">
        <f t="shared" si="20"/>
        <v>M142</v>
      </c>
      <c r="B143" t="str" cm="1">
        <f t="array" aca="1" ref="B143" ca="1">INDEX({"Paracetamol","Amoxicillin","Ibuprofen","Cetirizine","Metformin","Amlodipine","Omeprazole","Azithromycin","Losartan","Vitamin C"}, RANDBETWEEN(1,10))</f>
        <v>Metformin</v>
      </c>
      <c r="C143" t="str" cm="1">
        <f t="array" aca="1" ref="C143" ca="1">INDEX({"Painkiller","Antibiotic","Painkiller","Antihistamine","Diabetes","Hypertension","Antacid","Antibiotic","Hypertension","Supplement"},
MATCH(B143,{"Paracetamol","Amoxicillin","Ibuprofen","Cetirizine","Metformin","Amlodipine","Omeprazole","Azithromycin","Losartan","Vitamin C"},0))</f>
        <v>Diabetes</v>
      </c>
      <c r="D143" t="str" cm="1">
        <f t="array" aca="1" ref="D143" ca="1">INDEX({"MedSupply Co","HealthCorp","PharmaPlus","GlobalMed"}, RANDBETWEEN(1,4))</f>
        <v>HealthCorp</v>
      </c>
      <c r="E143">
        <f t="shared" ca="1" si="21"/>
        <v>58</v>
      </c>
      <c r="F143">
        <f t="shared" ca="1" si="22"/>
        <v>69</v>
      </c>
      <c r="G143">
        <f t="shared" ca="1" si="23"/>
        <v>1.37</v>
      </c>
      <c r="H143" s="1">
        <f t="shared" ca="1" si="24"/>
        <v>46314</v>
      </c>
      <c r="I143" s="1">
        <f t="shared" ca="1" si="25"/>
        <v>45988</v>
      </c>
      <c r="J143">
        <f t="shared" ca="1" si="26"/>
        <v>79.460000000000008</v>
      </c>
      <c r="K143" t="str">
        <f t="shared" ca="1" si="27"/>
        <v>Low Stock</v>
      </c>
      <c r="L143" s="2">
        <f t="shared" ca="1" si="28"/>
        <v>195</v>
      </c>
      <c r="M143" t="str">
        <f t="shared" ca="1" si="29"/>
        <v>Safe</v>
      </c>
    </row>
    <row r="144" spans="1:13" x14ac:dyDescent="0.25">
      <c r="A144" t="str">
        <f t="shared" si="20"/>
        <v>M143</v>
      </c>
      <c r="B144" t="str" cm="1">
        <f t="array" aca="1" ref="B144" ca="1">INDEX({"Paracetamol","Amoxicillin","Ibuprofen","Cetirizine","Metformin","Amlodipine","Omeprazole","Azithromycin","Losartan","Vitamin C"}, RANDBETWEEN(1,10))</f>
        <v>Cetirizine</v>
      </c>
      <c r="C144" t="str" cm="1">
        <f t="array" aca="1" ref="C144" ca="1">INDEX({"Painkiller","Antibiotic","Painkiller","Antihistamine","Diabetes","Hypertension","Antacid","Antibiotic","Hypertension","Supplement"},
MATCH(B144,{"Paracetamol","Amoxicillin","Ibuprofen","Cetirizine","Metformin","Amlodipine","Omeprazole","Azithromycin","Losartan","Vitamin C"},0))</f>
        <v>Antihistamine</v>
      </c>
      <c r="D144" t="str" cm="1">
        <f t="array" aca="1" ref="D144" ca="1">INDEX({"MedSupply Co","HealthCorp","PharmaPlus","GlobalMed"}, RANDBETWEEN(1,4))</f>
        <v>MedSupply Co</v>
      </c>
      <c r="E144">
        <f t="shared" ca="1" si="21"/>
        <v>102</v>
      </c>
      <c r="F144">
        <f t="shared" ca="1" si="22"/>
        <v>45</v>
      </c>
      <c r="G144">
        <f t="shared" ca="1" si="23"/>
        <v>1.32</v>
      </c>
      <c r="H144" s="1">
        <f t="shared" ca="1" si="24"/>
        <v>46412</v>
      </c>
      <c r="I144" s="1">
        <f t="shared" ca="1" si="25"/>
        <v>46106</v>
      </c>
      <c r="J144">
        <f t="shared" ca="1" si="26"/>
        <v>134.64000000000001</v>
      </c>
      <c r="K144" t="str">
        <f t="shared" ca="1" si="27"/>
        <v>In Stock</v>
      </c>
      <c r="L144" s="2">
        <f t="shared" ca="1" si="28"/>
        <v>293</v>
      </c>
      <c r="M144" t="str">
        <f t="shared" ca="1" si="29"/>
        <v>Safe</v>
      </c>
    </row>
    <row r="145" spans="1:13" x14ac:dyDescent="0.25">
      <c r="A145" t="str">
        <f t="shared" si="20"/>
        <v>M144</v>
      </c>
      <c r="B145" t="str" cm="1">
        <f t="array" aca="1" ref="B145" ca="1">INDEX({"Paracetamol","Amoxicillin","Ibuprofen","Cetirizine","Metformin","Amlodipine","Omeprazole","Azithromycin","Losartan","Vitamin C"}, RANDBETWEEN(1,10))</f>
        <v>Losartan</v>
      </c>
      <c r="C145" t="str" cm="1">
        <f t="array" aca="1" ref="C145" ca="1">INDEX({"Painkiller","Antibiotic","Painkiller","Antihistamine","Diabetes","Hypertension","Antacid","Antibiotic","Hypertension","Supplement"},
MATCH(B145,{"Paracetamol","Amoxicillin","Ibuprofen","Cetirizine","Metformin","Amlodipine","Omeprazole","Azithromycin","Losartan","Vitamin C"},0))</f>
        <v>Hypertension</v>
      </c>
      <c r="D145" t="str" cm="1">
        <f t="array" aca="1" ref="D145" ca="1">INDEX({"MedSupply Co","HealthCorp","PharmaPlus","GlobalMed"}, RANDBETWEEN(1,4))</f>
        <v>PharmaPlus</v>
      </c>
      <c r="E145">
        <f t="shared" ca="1" si="21"/>
        <v>68</v>
      </c>
      <c r="F145">
        <f t="shared" ca="1" si="22"/>
        <v>20</v>
      </c>
      <c r="G145">
        <f t="shared" ca="1" si="23"/>
        <v>1.18</v>
      </c>
      <c r="H145" s="1">
        <f t="shared" ca="1" si="24"/>
        <v>46184</v>
      </c>
      <c r="I145" s="1">
        <f t="shared" ca="1" si="25"/>
        <v>46020</v>
      </c>
      <c r="J145">
        <f t="shared" ca="1" si="26"/>
        <v>80.239999999999995</v>
      </c>
      <c r="K145" t="str">
        <f t="shared" ca="1" si="27"/>
        <v>In Stock</v>
      </c>
      <c r="L145" s="2">
        <f t="shared" ca="1" si="28"/>
        <v>65</v>
      </c>
      <c r="M145" t="str">
        <f t="shared" ca="1" si="29"/>
        <v>Safe</v>
      </c>
    </row>
    <row r="146" spans="1:13" x14ac:dyDescent="0.25">
      <c r="A146" t="str">
        <f t="shared" si="20"/>
        <v>M145</v>
      </c>
      <c r="B146" t="str" cm="1">
        <f t="array" aca="1" ref="B146" ca="1">INDEX({"Paracetamol","Amoxicillin","Ibuprofen","Cetirizine","Metformin","Amlodipine","Omeprazole","Azithromycin","Losartan","Vitamin C"}, RANDBETWEEN(1,10))</f>
        <v>Paracetamol</v>
      </c>
      <c r="C146" t="str" cm="1">
        <f t="array" aca="1" ref="C146" ca="1">INDEX({"Painkiller","Antibiotic","Painkiller","Antihistamine","Diabetes","Hypertension","Antacid","Antibiotic","Hypertension","Supplement"},
MATCH(B146,{"Paracetamol","Amoxicillin","Ibuprofen","Cetirizine","Metformin","Amlodipine","Omeprazole","Azithromycin","Losartan","Vitamin C"},0))</f>
        <v>Painkiller</v>
      </c>
      <c r="D146" t="str" cm="1">
        <f t="array" aca="1" ref="D146" ca="1">INDEX({"MedSupply Co","HealthCorp","PharmaPlus","GlobalMed"}, RANDBETWEEN(1,4))</f>
        <v>GlobalMed</v>
      </c>
      <c r="E146">
        <f t="shared" ca="1" si="21"/>
        <v>178</v>
      </c>
      <c r="F146">
        <f t="shared" ca="1" si="22"/>
        <v>78</v>
      </c>
      <c r="G146">
        <f t="shared" ca="1" si="23"/>
        <v>0.9</v>
      </c>
      <c r="H146" s="1">
        <f t="shared" ca="1" si="24"/>
        <v>46302</v>
      </c>
      <c r="I146" s="1">
        <f t="shared" ca="1" si="25"/>
        <v>46044</v>
      </c>
      <c r="J146">
        <f t="shared" ca="1" si="26"/>
        <v>160.20000000000002</v>
      </c>
      <c r="K146" t="str">
        <f t="shared" ca="1" si="27"/>
        <v>In Stock</v>
      </c>
      <c r="L146" s="2">
        <f t="shared" ca="1" si="28"/>
        <v>183</v>
      </c>
      <c r="M146" t="str">
        <f t="shared" ca="1" si="29"/>
        <v>Safe</v>
      </c>
    </row>
    <row r="147" spans="1:13" x14ac:dyDescent="0.25">
      <c r="A147" t="str">
        <f t="shared" si="20"/>
        <v>M146</v>
      </c>
      <c r="B147" t="str" cm="1">
        <f t="array" aca="1" ref="B147" ca="1">INDEX({"Paracetamol","Amoxicillin","Ibuprofen","Cetirizine","Metformin","Amlodipine","Omeprazole","Azithromycin","Losartan","Vitamin C"}, RANDBETWEEN(1,10))</f>
        <v>Omeprazole</v>
      </c>
      <c r="C147" t="str" cm="1">
        <f t="array" aca="1" ref="C147" ca="1">INDEX({"Painkiller","Antibiotic","Painkiller","Antihistamine","Diabetes","Hypertension","Antacid","Antibiotic","Hypertension","Supplement"},
MATCH(B147,{"Paracetamol","Amoxicillin","Ibuprofen","Cetirizine","Metformin","Amlodipine","Omeprazole","Azithromycin","Losartan","Vitamin C"},0))</f>
        <v>Antacid</v>
      </c>
      <c r="D147" t="str" cm="1">
        <f t="array" aca="1" ref="D147" ca="1">INDEX({"MedSupply Co","HealthCorp","PharmaPlus","GlobalMed"}, RANDBETWEEN(1,4))</f>
        <v>GlobalMed</v>
      </c>
      <c r="E147">
        <f t="shared" ca="1" si="21"/>
        <v>175</v>
      </c>
      <c r="F147">
        <f t="shared" ca="1" si="22"/>
        <v>81</v>
      </c>
      <c r="G147">
        <f t="shared" ca="1" si="23"/>
        <v>1.37</v>
      </c>
      <c r="H147" s="1">
        <f t="shared" ca="1" si="24"/>
        <v>46335</v>
      </c>
      <c r="I147" s="1">
        <f t="shared" ca="1" si="25"/>
        <v>45979</v>
      </c>
      <c r="J147">
        <f t="shared" ca="1" si="26"/>
        <v>239.75000000000003</v>
      </c>
      <c r="K147" t="str">
        <f t="shared" ca="1" si="27"/>
        <v>In Stock</v>
      </c>
      <c r="L147" s="2">
        <f t="shared" ca="1" si="28"/>
        <v>216</v>
      </c>
      <c r="M147" t="str">
        <f t="shared" ca="1" si="29"/>
        <v>Safe</v>
      </c>
    </row>
    <row r="148" spans="1:13" x14ac:dyDescent="0.25">
      <c r="A148" t="str">
        <f t="shared" si="20"/>
        <v>M147</v>
      </c>
      <c r="B148" t="str" cm="1">
        <f t="array" aca="1" ref="B148" ca="1">INDEX({"Paracetamol","Amoxicillin","Ibuprofen","Cetirizine","Metformin","Amlodipine","Omeprazole","Azithromycin","Losartan","Vitamin C"}, RANDBETWEEN(1,10))</f>
        <v>Metformin</v>
      </c>
      <c r="C148" t="str" cm="1">
        <f t="array" aca="1" ref="C148" ca="1">INDEX({"Painkiller","Antibiotic","Painkiller","Antihistamine","Diabetes","Hypertension","Antacid","Antibiotic","Hypertension","Supplement"},
MATCH(B148,{"Paracetamol","Amoxicillin","Ibuprofen","Cetirizine","Metformin","Amlodipine","Omeprazole","Azithromycin","Losartan","Vitamin C"},0))</f>
        <v>Diabetes</v>
      </c>
      <c r="D148" t="str" cm="1">
        <f t="array" aca="1" ref="D148" ca="1">INDEX({"MedSupply Co","HealthCorp","PharmaPlus","GlobalMed"}, RANDBETWEEN(1,4))</f>
        <v>HealthCorp</v>
      </c>
      <c r="E148">
        <f t="shared" ca="1" si="21"/>
        <v>116</v>
      </c>
      <c r="F148">
        <f t="shared" ca="1" si="22"/>
        <v>77</v>
      </c>
      <c r="G148">
        <f t="shared" ca="1" si="23"/>
        <v>1.45</v>
      </c>
      <c r="H148" s="1">
        <f t="shared" ca="1" si="24"/>
        <v>46455</v>
      </c>
      <c r="I148" s="1">
        <f t="shared" ca="1" si="25"/>
        <v>46069</v>
      </c>
      <c r="J148">
        <f t="shared" ca="1" si="26"/>
        <v>168.2</v>
      </c>
      <c r="K148" t="str">
        <f t="shared" ca="1" si="27"/>
        <v>In Stock</v>
      </c>
      <c r="L148" s="2">
        <f t="shared" ca="1" si="28"/>
        <v>336</v>
      </c>
      <c r="M148" t="str">
        <f t="shared" ca="1" si="29"/>
        <v>Safe</v>
      </c>
    </row>
    <row r="149" spans="1:13" x14ac:dyDescent="0.25">
      <c r="A149" t="str">
        <f t="shared" si="20"/>
        <v>M148</v>
      </c>
      <c r="B149" t="str" cm="1">
        <f t="array" aca="1" ref="B149" ca="1">INDEX({"Paracetamol","Amoxicillin","Ibuprofen","Cetirizine","Metformin","Amlodipine","Omeprazole","Azithromycin","Losartan","Vitamin C"}, RANDBETWEEN(1,10))</f>
        <v>Metformin</v>
      </c>
      <c r="C149" t="str" cm="1">
        <f t="array" aca="1" ref="C149" ca="1">INDEX({"Painkiller","Antibiotic","Painkiller","Antihistamine","Diabetes","Hypertension","Antacid","Antibiotic","Hypertension","Supplement"},
MATCH(B149,{"Paracetamol","Amoxicillin","Ibuprofen","Cetirizine","Metformin","Amlodipine","Omeprazole","Azithromycin","Losartan","Vitamin C"},0))</f>
        <v>Diabetes</v>
      </c>
      <c r="D149" t="str" cm="1">
        <f t="array" aca="1" ref="D149" ca="1">INDEX({"MedSupply Co","HealthCorp","PharmaPlus","GlobalMed"}, RANDBETWEEN(1,4))</f>
        <v>PharmaPlus</v>
      </c>
      <c r="E149">
        <f t="shared" ca="1" si="21"/>
        <v>124</v>
      </c>
      <c r="F149">
        <f t="shared" ca="1" si="22"/>
        <v>27</v>
      </c>
      <c r="G149">
        <f t="shared" ca="1" si="23"/>
        <v>1.03</v>
      </c>
      <c r="H149" s="1">
        <f t="shared" ca="1" si="24"/>
        <v>46272</v>
      </c>
      <c r="I149" s="1">
        <f t="shared" ca="1" si="25"/>
        <v>46030</v>
      </c>
      <c r="J149">
        <f t="shared" ca="1" si="26"/>
        <v>127.72</v>
      </c>
      <c r="K149" t="str">
        <f t="shared" ca="1" si="27"/>
        <v>In Stock</v>
      </c>
      <c r="L149" s="2">
        <f t="shared" ca="1" si="28"/>
        <v>153</v>
      </c>
      <c r="M149" t="str">
        <f t="shared" ca="1" si="29"/>
        <v>Safe</v>
      </c>
    </row>
    <row r="150" spans="1:13" x14ac:dyDescent="0.25">
      <c r="A150" t="str">
        <f t="shared" si="20"/>
        <v>M149</v>
      </c>
      <c r="B150" t="str" cm="1">
        <f t="array" aca="1" ref="B150" ca="1">INDEX({"Paracetamol","Amoxicillin","Ibuprofen","Cetirizine","Metformin","Amlodipine","Omeprazole","Azithromycin","Losartan","Vitamin C"}, RANDBETWEEN(1,10))</f>
        <v>Vitamin C</v>
      </c>
      <c r="C150" t="str" cm="1">
        <f t="array" aca="1" ref="C150" ca="1">INDEX({"Painkiller","Antibiotic","Painkiller","Antihistamine","Diabetes","Hypertension","Antacid","Antibiotic","Hypertension","Supplement"},
MATCH(B150,{"Paracetamol","Amoxicillin","Ibuprofen","Cetirizine","Metformin","Amlodipine","Omeprazole","Azithromycin","Losartan","Vitamin C"},0))</f>
        <v>Supplement</v>
      </c>
      <c r="D150" t="str" cm="1">
        <f t="array" aca="1" ref="D150" ca="1">INDEX({"MedSupply Co","HealthCorp","PharmaPlus","GlobalMed"}, RANDBETWEEN(1,4))</f>
        <v>PharmaPlus</v>
      </c>
      <c r="E150">
        <f t="shared" ca="1" si="21"/>
        <v>69</v>
      </c>
      <c r="F150">
        <f t="shared" ca="1" si="22"/>
        <v>87</v>
      </c>
      <c r="G150">
        <f t="shared" ca="1" si="23"/>
        <v>1.97</v>
      </c>
      <c r="H150" s="1">
        <f t="shared" ca="1" si="24"/>
        <v>46213</v>
      </c>
      <c r="I150" s="1">
        <f t="shared" ca="1" si="25"/>
        <v>46026</v>
      </c>
      <c r="J150">
        <f t="shared" ca="1" si="26"/>
        <v>135.93</v>
      </c>
      <c r="K150" t="str">
        <f t="shared" ca="1" si="27"/>
        <v>Low Stock</v>
      </c>
      <c r="L150" s="2">
        <f t="shared" ca="1" si="28"/>
        <v>94</v>
      </c>
      <c r="M150" t="str">
        <f t="shared" ca="1" si="29"/>
        <v>Safe</v>
      </c>
    </row>
    <row r="151" spans="1:13" x14ac:dyDescent="0.25">
      <c r="A151" t="str">
        <f t="shared" si="20"/>
        <v>M150</v>
      </c>
      <c r="B151" t="str" cm="1">
        <f t="array" aca="1" ref="B151" ca="1">INDEX({"Paracetamol","Amoxicillin","Ibuprofen","Cetirizine","Metformin","Amlodipine","Omeprazole","Azithromycin","Losartan","Vitamin C"}, RANDBETWEEN(1,10))</f>
        <v>Amlodipine</v>
      </c>
      <c r="C151" t="str" cm="1">
        <f t="array" aca="1" ref="C151" ca="1">INDEX({"Painkiller","Antibiotic","Painkiller","Antihistamine","Diabetes","Hypertension","Antacid","Antibiotic","Hypertension","Supplement"},
MATCH(B151,{"Paracetamol","Amoxicillin","Ibuprofen","Cetirizine","Metformin","Amlodipine","Omeprazole","Azithromycin","Losartan","Vitamin C"},0))</f>
        <v>Hypertension</v>
      </c>
      <c r="D151" t="str" cm="1">
        <f t="array" aca="1" ref="D151" ca="1">INDEX({"MedSupply Co","HealthCorp","PharmaPlus","GlobalMed"}, RANDBETWEEN(1,4))</f>
        <v>HealthCorp</v>
      </c>
      <c r="E151">
        <f t="shared" ca="1" si="21"/>
        <v>132</v>
      </c>
      <c r="F151">
        <f t="shared" ca="1" si="22"/>
        <v>100</v>
      </c>
      <c r="G151">
        <f t="shared" ca="1" si="23"/>
        <v>0.73</v>
      </c>
      <c r="H151" s="1">
        <f t="shared" ca="1" si="24"/>
        <v>46395</v>
      </c>
      <c r="I151" s="1">
        <f t="shared" ca="1" si="25"/>
        <v>46062</v>
      </c>
      <c r="J151">
        <f t="shared" ca="1" si="26"/>
        <v>96.36</v>
      </c>
      <c r="K151" t="str">
        <f t="shared" ca="1" si="27"/>
        <v>In Stock</v>
      </c>
      <c r="L151" s="2">
        <f t="shared" ca="1" si="28"/>
        <v>276</v>
      </c>
      <c r="M151" t="str">
        <f t="shared" ca="1" si="29"/>
        <v>Safe</v>
      </c>
    </row>
    <row r="152" spans="1:13" x14ac:dyDescent="0.25">
      <c r="A152" t="str">
        <f t="shared" si="20"/>
        <v>M151</v>
      </c>
      <c r="B152" t="str" cm="1">
        <f t="array" aca="1" ref="B152" ca="1">INDEX({"Paracetamol","Amoxicillin","Ibuprofen","Cetirizine","Metformin","Amlodipine","Omeprazole","Azithromycin","Losartan","Vitamin C"}, RANDBETWEEN(1,10))</f>
        <v>Amoxicillin</v>
      </c>
      <c r="C152" t="str" cm="1">
        <f t="array" aca="1" ref="C152" ca="1">INDEX({"Painkiller","Antibiotic","Painkiller","Antihistamine","Diabetes","Hypertension","Antacid","Antibiotic","Hypertension","Supplement"},
MATCH(B152,{"Paracetamol","Amoxicillin","Ibuprofen","Cetirizine","Metformin","Amlodipine","Omeprazole","Azithromycin","Losartan","Vitamin C"},0))</f>
        <v>Antibiotic</v>
      </c>
      <c r="D152" t="str" cm="1">
        <f t="array" aca="1" ref="D152" ca="1">INDEX({"MedSupply Co","HealthCorp","PharmaPlus","GlobalMed"}, RANDBETWEEN(1,4))</f>
        <v>MedSupply Co</v>
      </c>
      <c r="E152">
        <f t="shared" ca="1" si="21"/>
        <v>161</v>
      </c>
      <c r="F152">
        <f t="shared" ca="1" si="22"/>
        <v>59</v>
      </c>
      <c r="G152">
        <f t="shared" ca="1" si="23"/>
        <v>1.83</v>
      </c>
      <c r="H152" s="1">
        <f t="shared" ca="1" si="24"/>
        <v>46222</v>
      </c>
      <c r="I152" s="1">
        <f t="shared" ca="1" si="25"/>
        <v>46065</v>
      </c>
      <c r="J152">
        <f t="shared" ca="1" si="26"/>
        <v>294.63</v>
      </c>
      <c r="K152" t="str">
        <f t="shared" ca="1" si="27"/>
        <v>In Stock</v>
      </c>
      <c r="L152" s="2">
        <f t="shared" ca="1" si="28"/>
        <v>103</v>
      </c>
      <c r="M152" t="str">
        <f t="shared" ca="1" si="29"/>
        <v>Safe</v>
      </c>
    </row>
    <row r="153" spans="1:13" x14ac:dyDescent="0.25">
      <c r="A153" t="str">
        <f t="shared" si="20"/>
        <v>M152</v>
      </c>
      <c r="B153" t="str" cm="1">
        <f t="array" aca="1" ref="B153" ca="1">INDEX({"Paracetamol","Amoxicillin","Ibuprofen","Cetirizine","Metformin","Amlodipine","Omeprazole","Azithromycin","Losartan","Vitamin C"}, RANDBETWEEN(1,10))</f>
        <v>Metformin</v>
      </c>
      <c r="C153" t="str" cm="1">
        <f t="array" aca="1" ref="C153" ca="1">INDEX({"Painkiller","Antibiotic","Painkiller","Antihistamine","Diabetes","Hypertension","Antacid","Antibiotic","Hypertension","Supplement"},
MATCH(B153,{"Paracetamol","Amoxicillin","Ibuprofen","Cetirizine","Metformin","Amlodipine","Omeprazole","Azithromycin","Losartan","Vitamin C"},0))</f>
        <v>Diabetes</v>
      </c>
      <c r="D153" t="str" cm="1">
        <f t="array" aca="1" ref="D153" ca="1">INDEX({"MedSupply Co","HealthCorp","PharmaPlus","GlobalMed"}, RANDBETWEEN(1,4))</f>
        <v>HealthCorp</v>
      </c>
      <c r="E153">
        <f t="shared" ca="1" si="21"/>
        <v>22</v>
      </c>
      <c r="F153">
        <f t="shared" ca="1" si="22"/>
        <v>61</v>
      </c>
      <c r="G153">
        <f t="shared" ca="1" si="23"/>
        <v>0.81</v>
      </c>
      <c r="H153" s="1">
        <f t="shared" ca="1" si="24"/>
        <v>46280</v>
      </c>
      <c r="I153" s="1">
        <f t="shared" ca="1" si="25"/>
        <v>45940</v>
      </c>
      <c r="J153">
        <f t="shared" ca="1" si="26"/>
        <v>17.82</v>
      </c>
      <c r="K153" t="str">
        <f t="shared" ca="1" si="27"/>
        <v>Low Stock</v>
      </c>
      <c r="L153" s="2">
        <f t="shared" ca="1" si="28"/>
        <v>161</v>
      </c>
      <c r="M153" t="str">
        <f t="shared" ca="1" si="29"/>
        <v>Safe</v>
      </c>
    </row>
    <row r="154" spans="1:13" x14ac:dyDescent="0.25">
      <c r="A154" t="str">
        <f t="shared" si="20"/>
        <v>M153</v>
      </c>
      <c r="B154" t="str" cm="1">
        <f t="array" aca="1" ref="B154" ca="1">INDEX({"Paracetamol","Amoxicillin","Ibuprofen","Cetirizine","Metformin","Amlodipine","Omeprazole","Azithromycin","Losartan","Vitamin C"}, RANDBETWEEN(1,10))</f>
        <v>Ibuprofen</v>
      </c>
      <c r="C154" t="str" cm="1">
        <f t="array" aca="1" ref="C154" ca="1">INDEX({"Painkiller","Antibiotic","Painkiller","Antihistamine","Diabetes","Hypertension","Antacid","Antibiotic","Hypertension","Supplement"},
MATCH(B154,{"Paracetamol","Amoxicillin","Ibuprofen","Cetirizine","Metformin","Amlodipine","Omeprazole","Azithromycin","Losartan","Vitamin C"},0))</f>
        <v>Painkiller</v>
      </c>
      <c r="D154" t="str" cm="1">
        <f t="array" aca="1" ref="D154" ca="1">INDEX({"MedSupply Co","HealthCorp","PharmaPlus","GlobalMed"}, RANDBETWEEN(1,4))</f>
        <v>MedSupply Co</v>
      </c>
      <c r="E154">
        <f t="shared" ca="1" si="21"/>
        <v>95</v>
      </c>
      <c r="F154">
        <f t="shared" ca="1" si="22"/>
        <v>83</v>
      </c>
      <c r="G154">
        <f t="shared" ca="1" si="23"/>
        <v>1.58</v>
      </c>
      <c r="H154" s="1">
        <f t="shared" ca="1" si="24"/>
        <v>46412</v>
      </c>
      <c r="I154" s="1">
        <f t="shared" ca="1" si="25"/>
        <v>46101</v>
      </c>
      <c r="J154">
        <f t="shared" ca="1" si="26"/>
        <v>150.1</v>
      </c>
      <c r="K154" t="str">
        <f t="shared" ca="1" si="27"/>
        <v>In Stock</v>
      </c>
      <c r="L154" s="2">
        <f t="shared" ca="1" si="28"/>
        <v>293</v>
      </c>
      <c r="M154" t="str">
        <f t="shared" ca="1" si="29"/>
        <v>Safe</v>
      </c>
    </row>
    <row r="155" spans="1:13" x14ac:dyDescent="0.25">
      <c r="A155" t="str">
        <f t="shared" si="20"/>
        <v>M154</v>
      </c>
      <c r="B155" t="str" cm="1">
        <f t="array" aca="1" ref="B155" ca="1">INDEX({"Paracetamol","Amoxicillin","Ibuprofen","Cetirizine","Metformin","Amlodipine","Omeprazole","Azithromycin","Losartan","Vitamin C"}, RANDBETWEEN(1,10))</f>
        <v>Omeprazole</v>
      </c>
      <c r="C155" t="str" cm="1">
        <f t="array" aca="1" ref="C155" ca="1">INDEX({"Painkiller","Antibiotic","Painkiller","Antihistamine","Diabetes","Hypertension","Antacid","Antibiotic","Hypertension","Supplement"},
MATCH(B155,{"Paracetamol","Amoxicillin","Ibuprofen","Cetirizine","Metformin","Amlodipine","Omeprazole","Azithromycin","Losartan","Vitamin C"},0))</f>
        <v>Antacid</v>
      </c>
      <c r="D155" t="str" cm="1">
        <f t="array" aca="1" ref="D155" ca="1">INDEX({"MedSupply Co","HealthCorp","PharmaPlus","GlobalMed"}, RANDBETWEEN(1,4))</f>
        <v>GlobalMed</v>
      </c>
      <c r="E155">
        <f t="shared" ca="1" si="21"/>
        <v>34</v>
      </c>
      <c r="F155">
        <f t="shared" ca="1" si="22"/>
        <v>32</v>
      </c>
      <c r="G155">
        <f t="shared" ca="1" si="23"/>
        <v>1.38</v>
      </c>
      <c r="H155" s="1">
        <f t="shared" ca="1" si="24"/>
        <v>46483</v>
      </c>
      <c r="I155" s="1">
        <f t="shared" ca="1" si="25"/>
        <v>46017</v>
      </c>
      <c r="J155">
        <f t="shared" ca="1" si="26"/>
        <v>46.919999999999995</v>
      </c>
      <c r="K155" t="str">
        <f t="shared" ca="1" si="27"/>
        <v>In Stock</v>
      </c>
      <c r="L155" s="2">
        <f t="shared" ca="1" si="28"/>
        <v>364</v>
      </c>
      <c r="M155" t="str">
        <f t="shared" ca="1" si="29"/>
        <v>Safe</v>
      </c>
    </row>
    <row r="156" spans="1:13" x14ac:dyDescent="0.25">
      <c r="A156" t="str">
        <f t="shared" si="20"/>
        <v>M155</v>
      </c>
      <c r="B156" t="str" cm="1">
        <f t="array" aca="1" ref="B156" ca="1">INDEX({"Paracetamol","Amoxicillin","Ibuprofen","Cetirizine","Metformin","Amlodipine","Omeprazole","Azithromycin","Losartan","Vitamin C"}, RANDBETWEEN(1,10))</f>
        <v>Amlodipine</v>
      </c>
      <c r="C156" t="str" cm="1">
        <f t="array" aca="1" ref="C156" ca="1">INDEX({"Painkiller","Antibiotic","Painkiller","Antihistamine","Diabetes","Hypertension","Antacid","Antibiotic","Hypertension","Supplement"},
MATCH(B156,{"Paracetamol","Amoxicillin","Ibuprofen","Cetirizine","Metformin","Amlodipine","Omeprazole","Azithromycin","Losartan","Vitamin C"},0))</f>
        <v>Hypertension</v>
      </c>
      <c r="D156" t="str" cm="1">
        <f t="array" aca="1" ref="D156" ca="1">INDEX({"MedSupply Co","HealthCorp","PharmaPlus","GlobalMed"}, RANDBETWEEN(1,4))</f>
        <v>GlobalMed</v>
      </c>
      <c r="E156">
        <f t="shared" ca="1" si="21"/>
        <v>49</v>
      </c>
      <c r="F156">
        <f t="shared" ca="1" si="22"/>
        <v>80</v>
      </c>
      <c r="G156">
        <f t="shared" ca="1" si="23"/>
        <v>0.84</v>
      </c>
      <c r="H156" s="1">
        <f t="shared" ca="1" si="24"/>
        <v>46197</v>
      </c>
      <c r="I156" s="1">
        <f t="shared" ca="1" si="25"/>
        <v>45983</v>
      </c>
      <c r="J156">
        <f t="shared" ca="1" si="26"/>
        <v>41.16</v>
      </c>
      <c r="K156" t="str">
        <f t="shared" ca="1" si="27"/>
        <v>Low Stock</v>
      </c>
      <c r="L156" s="2">
        <f t="shared" ca="1" si="28"/>
        <v>78</v>
      </c>
      <c r="M156" t="str">
        <f t="shared" ca="1" si="29"/>
        <v>Safe</v>
      </c>
    </row>
    <row r="157" spans="1:13" x14ac:dyDescent="0.25">
      <c r="A157" t="str">
        <f t="shared" si="20"/>
        <v>M156</v>
      </c>
      <c r="B157" t="str" cm="1">
        <f t="array" aca="1" ref="B157" ca="1">INDEX({"Paracetamol","Amoxicillin","Ibuprofen","Cetirizine","Metformin","Amlodipine","Omeprazole","Azithromycin","Losartan","Vitamin C"}, RANDBETWEEN(1,10))</f>
        <v>Omeprazole</v>
      </c>
      <c r="C157" t="str" cm="1">
        <f t="array" aca="1" ref="C157" ca="1">INDEX({"Painkiller","Antibiotic","Painkiller","Antihistamine","Diabetes","Hypertension","Antacid","Antibiotic","Hypertension","Supplement"},
MATCH(B157,{"Paracetamol","Amoxicillin","Ibuprofen","Cetirizine","Metformin","Amlodipine","Omeprazole","Azithromycin","Losartan","Vitamin C"},0))</f>
        <v>Antacid</v>
      </c>
      <c r="D157" t="str" cm="1">
        <f t="array" aca="1" ref="D157" ca="1">INDEX({"MedSupply Co","HealthCorp","PharmaPlus","GlobalMed"}, RANDBETWEEN(1,4))</f>
        <v>PharmaPlus</v>
      </c>
      <c r="E157">
        <f t="shared" ca="1" si="21"/>
        <v>60</v>
      </c>
      <c r="F157">
        <f t="shared" ca="1" si="22"/>
        <v>51</v>
      </c>
      <c r="G157">
        <f t="shared" ca="1" si="23"/>
        <v>1.54</v>
      </c>
      <c r="H157" s="1">
        <f t="shared" ca="1" si="24"/>
        <v>46300</v>
      </c>
      <c r="I157" s="1">
        <f t="shared" ca="1" si="25"/>
        <v>46088</v>
      </c>
      <c r="J157">
        <f t="shared" ca="1" si="26"/>
        <v>92.4</v>
      </c>
      <c r="K157" t="str">
        <f t="shared" ca="1" si="27"/>
        <v>In Stock</v>
      </c>
      <c r="L157" s="2">
        <f t="shared" ca="1" si="28"/>
        <v>181</v>
      </c>
      <c r="M157" t="str">
        <f t="shared" ca="1" si="29"/>
        <v>Safe</v>
      </c>
    </row>
    <row r="158" spans="1:13" x14ac:dyDescent="0.25">
      <c r="A158" t="str">
        <f t="shared" si="20"/>
        <v>M157</v>
      </c>
      <c r="B158" t="str" cm="1">
        <f t="array" aca="1" ref="B158" ca="1">INDEX({"Paracetamol","Amoxicillin","Ibuprofen","Cetirizine","Metformin","Amlodipine","Omeprazole","Azithromycin","Losartan","Vitamin C"}, RANDBETWEEN(1,10))</f>
        <v>Metformin</v>
      </c>
      <c r="C158" t="str" cm="1">
        <f t="array" aca="1" ref="C158" ca="1">INDEX({"Painkiller","Antibiotic","Painkiller","Antihistamine","Diabetes","Hypertension","Antacid","Antibiotic","Hypertension","Supplement"},
MATCH(B158,{"Paracetamol","Amoxicillin","Ibuprofen","Cetirizine","Metformin","Amlodipine","Omeprazole","Azithromycin","Losartan","Vitamin C"},0))</f>
        <v>Diabetes</v>
      </c>
      <c r="D158" t="str" cm="1">
        <f t="array" aca="1" ref="D158" ca="1">INDEX({"MedSupply Co","HealthCorp","PharmaPlus","GlobalMed"}, RANDBETWEEN(1,4))</f>
        <v>PharmaPlus</v>
      </c>
      <c r="E158">
        <f t="shared" ca="1" si="21"/>
        <v>92</v>
      </c>
      <c r="F158">
        <f t="shared" ca="1" si="22"/>
        <v>41</v>
      </c>
      <c r="G158">
        <f t="shared" ca="1" si="23"/>
        <v>1.9</v>
      </c>
      <c r="H158" s="1">
        <f t="shared" ca="1" si="24"/>
        <v>46295</v>
      </c>
      <c r="I158" s="1">
        <f t="shared" ca="1" si="25"/>
        <v>46060</v>
      </c>
      <c r="J158">
        <f t="shared" ca="1" si="26"/>
        <v>174.79999999999998</v>
      </c>
      <c r="K158" t="str">
        <f t="shared" ca="1" si="27"/>
        <v>In Stock</v>
      </c>
      <c r="L158" s="2">
        <f t="shared" ca="1" si="28"/>
        <v>176</v>
      </c>
      <c r="M158" t="str">
        <f t="shared" ca="1" si="29"/>
        <v>Safe</v>
      </c>
    </row>
    <row r="159" spans="1:13" x14ac:dyDescent="0.25">
      <c r="A159" t="str">
        <f t="shared" si="20"/>
        <v>M158</v>
      </c>
      <c r="B159" t="str" cm="1">
        <f t="array" aca="1" ref="B159" ca="1">INDEX({"Paracetamol","Amoxicillin","Ibuprofen","Cetirizine","Metformin","Amlodipine","Omeprazole","Azithromycin","Losartan","Vitamin C"}, RANDBETWEEN(1,10))</f>
        <v>Paracetamol</v>
      </c>
      <c r="C159" t="str" cm="1">
        <f t="array" aca="1" ref="C159" ca="1">INDEX({"Painkiller","Antibiotic","Painkiller","Antihistamine","Diabetes","Hypertension","Antacid","Antibiotic","Hypertension","Supplement"},
MATCH(B159,{"Paracetamol","Amoxicillin","Ibuprofen","Cetirizine","Metformin","Amlodipine","Omeprazole","Azithromycin","Losartan","Vitamin C"},0))</f>
        <v>Painkiller</v>
      </c>
      <c r="D159" t="str" cm="1">
        <f t="array" aca="1" ref="D159" ca="1">INDEX({"MedSupply Co","HealthCorp","PharmaPlus","GlobalMed"}, RANDBETWEEN(1,4))</f>
        <v>MedSupply Co</v>
      </c>
      <c r="E159">
        <f t="shared" ca="1" si="21"/>
        <v>192</v>
      </c>
      <c r="F159">
        <f t="shared" ca="1" si="22"/>
        <v>82</v>
      </c>
      <c r="G159">
        <f t="shared" ca="1" si="23"/>
        <v>1.69</v>
      </c>
      <c r="H159" s="1">
        <f t="shared" ca="1" si="24"/>
        <v>46420</v>
      </c>
      <c r="I159" s="1">
        <f t="shared" ca="1" si="25"/>
        <v>46041</v>
      </c>
      <c r="J159">
        <f t="shared" ca="1" si="26"/>
        <v>324.48</v>
      </c>
      <c r="K159" t="str">
        <f t="shared" ca="1" si="27"/>
        <v>In Stock</v>
      </c>
      <c r="L159" s="2">
        <f t="shared" ca="1" si="28"/>
        <v>301</v>
      </c>
      <c r="M159" t="str">
        <f t="shared" ca="1" si="29"/>
        <v>Safe</v>
      </c>
    </row>
    <row r="160" spans="1:13" x14ac:dyDescent="0.25">
      <c r="A160" t="str">
        <f t="shared" si="20"/>
        <v>M159</v>
      </c>
      <c r="B160" t="str" cm="1">
        <f t="array" aca="1" ref="B160" ca="1">INDEX({"Paracetamol","Amoxicillin","Ibuprofen","Cetirizine","Metformin","Amlodipine","Omeprazole","Azithromycin","Losartan","Vitamin C"}, RANDBETWEEN(1,10))</f>
        <v>Omeprazole</v>
      </c>
      <c r="C160" t="str" cm="1">
        <f t="array" aca="1" ref="C160" ca="1">INDEX({"Painkiller","Antibiotic","Painkiller","Antihistamine","Diabetes","Hypertension","Antacid","Antibiotic","Hypertension","Supplement"},
MATCH(B160,{"Paracetamol","Amoxicillin","Ibuprofen","Cetirizine","Metformin","Amlodipine","Omeprazole","Azithromycin","Losartan","Vitamin C"},0))</f>
        <v>Antacid</v>
      </c>
      <c r="D160" t="str" cm="1">
        <f t="array" aca="1" ref="D160" ca="1">INDEX({"MedSupply Co","HealthCorp","PharmaPlus","GlobalMed"}, RANDBETWEEN(1,4))</f>
        <v>PharmaPlus</v>
      </c>
      <c r="E160">
        <f t="shared" ca="1" si="21"/>
        <v>9</v>
      </c>
      <c r="F160">
        <f t="shared" ca="1" si="22"/>
        <v>98</v>
      </c>
      <c r="G160">
        <f t="shared" ca="1" si="23"/>
        <v>1.6</v>
      </c>
      <c r="H160" s="1">
        <f t="shared" ca="1" si="24"/>
        <v>46280</v>
      </c>
      <c r="I160" s="1">
        <f t="shared" ca="1" si="25"/>
        <v>45988</v>
      </c>
      <c r="J160">
        <f t="shared" ca="1" si="26"/>
        <v>14.4</v>
      </c>
      <c r="K160" t="str">
        <f t="shared" ca="1" si="27"/>
        <v>Low Stock</v>
      </c>
      <c r="L160" s="2">
        <f t="shared" ca="1" si="28"/>
        <v>161</v>
      </c>
      <c r="M160" t="str">
        <f t="shared" ca="1" si="29"/>
        <v>Safe</v>
      </c>
    </row>
    <row r="161" spans="1:13" x14ac:dyDescent="0.25">
      <c r="A161" t="str">
        <f t="shared" si="20"/>
        <v>M160</v>
      </c>
      <c r="B161" t="str" cm="1">
        <f t="array" aca="1" ref="B161" ca="1">INDEX({"Paracetamol","Amoxicillin","Ibuprofen","Cetirizine","Metformin","Amlodipine","Omeprazole","Azithromycin","Losartan","Vitamin C"}, RANDBETWEEN(1,10))</f>
        <v>Losartan</v>
      </c>
      <c r="C161" t="str" cm="1">
        <f t="array" aca="1" ref="C161" ca="1">INDEX({"Painkiller","Antibiotic","Painkiller","Antihistamine","Diabetes","Hypertension","Antacid","Antibiotic","Hypertension","Supplement"},
MATCH(B161,{"Paracetamol","Amoxicillin","Ibuprofen","Cetirizine","Metformin","Amlodipine","Omeprazole","Azithromycin","Losartan","Vitamin C"},0))</f>
        <v>Hypertension</v>
      </c>
      <c r="D161" t="str" cm="1">
        <f t="array" aca="1" ref="D161" ca="1">INDEX({"MedSupply Co","HealthCorp","PharmaPlus","GlobalMed"}, RANDBETWEEN(1,4))</f>
        <v>PharmaPlus</v>
      </c>
      <c r="E161">
        <f t="shared" ca="1" si="21"/>
        <v>7</v>
      </c>
      <c r="F161">
        <f t="shared" ca="1" si="22"/>
        <v>57</v>
      </c>
      <c r="G161">
        <f t="shared" ca="1" si="23"/>
        <v>0.79</v>
      </c>
      <c r="H161" s="1">
        <f t="shared" ca="1" si="24"/>
        <v>46155</v>
      </c>
      <c r="I161" s="1">
        <f t="shared" ca="1" si="25"/>
        <v>46030</v>
      </c>
      <c r="J161">
        <f t="shared" ca="1" si="26"/>
        <v>5.53</v>
      </c>
      <c r="K161" t="str">
        <f t="shared" ca="1" si="27"/>
        <v>Low Stock</v>
      </c>
      <c r="L161" s="2">
        <f t="shared" ca="1" si="28"/>
        <v>36</v>
      </c>
      <c r="M161" t="str">
        <f t="shared" ca="1" si="29"/>
        <v>Safe</v>
      </c>
    </row>
    <row r="162" spans="1:13" x14ac:dyDescent="0.25">
      <c r="A162" t="str">
        <f t="shared" si="20"/>
        <v>M161</v>
      </c>
      <c r="B162" t="str" cm="1">
        <f t="array" aca="1" ref="B162" ca="1">INDEX({"Paracetamol","Amoxicillin","Ibuprofen","Cetirizine","Metformin","Amlodipine","Omeprazole","Azithromycin","Losartan","Vitamin C"}, RANDBETWEEN(1,10))</f>
        <v>Azithromycin</v>
      </c>
      <c r="C162" t="str" cm="1">
        <f t="array" aca="1" ref="C162" ca="1">INDEX({"Painkiller","Antibiotic","Painkiller","Antihistamine","Diabetes","Hypertension","Antacid","Antibiotic","Hypertension","Supplement"},
MATCH(B162,{"Paracetamol","Amoxicillin","Ibuprofen","Cetirizine","Metformin","Amlodipine","Omeprazole","Azithromycin","Losartan","Vitamin C"},0))</f>
        <v>Antibiotic</v>
      </c>
      <c r="D162" t="str" cm="1">
        <f t="array" aca="1" ref="D162" ca="1">INDEX({"MedSupply Co","HealthCorp","PharmaPlus","GlobalMed"}, RANDBETWEEN(1,4))</f>
        <v>GlobalMed</v>
      </c>
      <c r="E162">
        <f t="shared" ca="1" si="21"/>
        <v>128</v>
      </c>
      <c r="F162">
        <f t="shared" ca="1" si="22"/>
        <v>32</v>
      </c>
      <c r="G162">
        <f t="shared" ca="1" si="23"/>
        <v>1.87</v>
      </c>
      <c r="H162" s="1">
        <f t="shared" ca="1" si="24"/>
        <v>46262</v>
      </c>
      <c r="I162" s="1">
        <f t="shared" ca="1" si="25"/>
        <v>46093</v>
      </c>
      <c r="J162">
        <f t="shared" ca="1" si="26"/>
        <v>239.36</v>
      </c>
      <c r="K162" t="str">
        <f t="shared" ca="1" si="27"/>
        <v>In Stock</v>
      </c>
      <c r="L162" s="2">
        <f t="shared" ca="1" si="28"/>
        <v>143</v>
      </c>
      <c r="M162" t="str">
        <f t="shared" ca="1" si="29"/>
        <v>Safe</v>
      </c>
    </row>
    <row r="163" spans="1:13" x14ac:dyDescent="0.25">
      <c r="A163" t="str">
        <f t="shared" si="20"/>
        <v>M162</v>
      </c>
      <c r="B163" t="str" cm="1">
        <f t="array" aca="1" ref="B163" ca="1">INDEX({"Paracetamol","Amoxicillin","Ibuprofen","Cetirizine","Metformin","Amlodipine","Omeprazole","Azithromycin","Losartan","Vitamin C"}, RANDBETWEEN(1,10))</f>
        <v>Omeprazole</v>
      </c>
      <c r="C163" t="str" cm="1">
        <f t="array" aca="1" ref="C163" ca="1">INDEX({"Painkiller","Antibiotic","Painkiller","Antihistamine","Diabetes","Hypertension","Antacid","Antibiotic","Hypertension","Supplement"},
MATCH(B163,{"Paracetamol","Amoxicillin","Ibuprofen","Cetirizine","Metformin","Amlodipine","Omeprazole","Azithromycin","Losartan","Vitamin C"},0))</f>
        <v>Antacid</v>
      </c>
      <c r="D163" t="str" cm="1">
        <f t="array" aca="1" ref="D163" ca="1">INDEX({"MedSupply Co","HealthCorp","PharmaPlus","GlobalMed"}, RANDBETWEEN(1,4))</f>
        <v>HealthCorp</v>
      </c>
      <c r="E163">
        <f t="shared" ca="1" si="21"/>
        <v>7</v>
      </c>
      <c r="F163">
        <f t="shared" ca="1" si="22"/>
        <v>40</v>
      </c>
      <c r="G163">
        <f t="shared" ca="1" si="23"/>
        <v>1.93</v>
      </c>
      <c r="H163" s="1">
        <f t="shared" ca="1" si="24"/>
        <v>46236</v>
      </c>
      <c r="I163" s="1">
        <f t="shared" ca="1" si="25"/>
        <v>45956</v>
      </c>
      <c r="J163">
        <f t="shared" ca="1" si="26"/>
        <v>13.51</v>
      </c>
      <c r="K163" t="str">
        <f t="shared" ca="1" si="27"/>
        <v>Low Stock</v>
      </c>
      <c r="L163" s="2">
        <f t="shared" ca="1" si="28"/>
        <v>117</v>
      </c>
      <c r="M163" t="str">
        <f t="shared" ca="1" si="29"/>
        <v>Safe</v>
      </c>
    </row>
    <row r="164" spans="1:13" x14ac:dyDescent="0.25">
      <c r="A164" t="str">
        <f t="shared" si="20"/>
        <v>M163</v>
      </c>
      <c r="B164" t="str" cm="1">
        <f t="array" aca="1" ref="B164" ca="1">INDEX({"Paracetamol","Amoxicillin","Ibuprofen","Cetirizine","Metformin","Amlodipine","Omeprazole","Azithromycin","Losartan","Vitamin C"}, RANDBETWEEN(1,10))</f>
        <v>Metformin</v>
      </c>
      <c r="C164" t="str" cm="1">
        <f t="array" aca="1" ref="C164" ca="1">INDEX({"Painkiller","Antibiotic","Painkiller","Antihistamine","Diabetes","Hypertension","Antacid","Antibiotic","Hypertension","Supplement"},
MATCH(B164,{"Paracetamol","Amoxicillin","Ibuprofen","Cetirizine","Metformin","Amlodipine","Omeprazole","Azithromycin","Losartan","Vitamin C"},0))</f>
        <v>Diabetes</v>
      </c>
      <c r="D164" t="str" cm="1">
        <f t="array" aca="1" ref="D164" ca="1">INDEX({"MedSupply Co","HealthCorp","PharmaPlus","GlobalMed"}, RANDBETWEEN(1,4))</f>
        <v>GlobalMed</v>
      </c>
      <c r="E164">
        <f t="shared" ca="1" si="21"/>
        <v>98</v>
      </c>
      <c r="F164">
        <f t="shared" ca="1" si="22"/>
        <v>36</v>
      </c>
      <c r="G164">
        <f t="shared" ca="1" si="23"/>
        <v>0.93</v>
      </c>
      <c r="H164" s="1">
        <f t="shared" ca="1" si="24"/>
        <v>46217</v>
      </c>
      <c r="I164" s="1">
        <f t="shared" ca="1" si="25"/>
        <v>45976</v>
      </c>
      <c r="J164">
        <f t="shared" ca="1" si="26"/>
        <v>91.14</v>
      </c>
      <c r="K164" t="str">
        <f t="shared" ca="1" si="27"/>
        <v>In Stock</v>
      </c>
      <c r="L164" s="2">
        <f t="shared" ca="1" si="28"/>
        <v>98</v>
      </c>
      <c r="M164" t="str">
        <f t="shared" ca="1" si="29"/>
        <v>Safe</v>
      </c>
    </row>
    <row r="165" spans="1:13" x14ac:dyDescent="0.25">
      <c r="A165" t="str">
        <f t="shared" si="20"/>
        <v>M164</v>
      </c>
      <c r="B165" t="str" cm="1">
        <f t="array" aca="1" ref="B165" ca="1">INDEX({"Paracetamol","Amoxicillin","Ibuprofen","Cetirizine","Metformin","Amlodipine","Omeprazole","Azithromycin","Losartan","Vitamin C"}, RANDBETWEEN(1,10))</f>
        <v>Metformin</v>
      </c>
      <c r="C165" t="str" cm="1">
        <f t="array" aca="1" ref="C165" ca="1">INDEX({"Painkiller","Antibiotic","Painkiller","Antihistamine","Diabetes","Hypertension","Antacid","Antibiotic","Hypertension","Supplement"},
MATCH(B165,{"Paracetamol","Amoxicillin","Ibuprofen","Cetirizine","Metformin","Amlodipine","Omeprazole","Azithromycin","Losartan","Vitamin C"},0))</f>
        <v>Diabetes</v>
      </c>
      <c r="D165" t="str" cm="1">
        <f t="array" aca="1" ref="D165" ca="1">INDEX({"MedSupply Co","HealthCorp","PharmaPlus","GlobalMed"}, RANDBETWEEN(1,4))</f>
        <v>MedSupply Co</v>
      </c>
      <c r="E165">
        <f t="shared" ca="1" si="21"/>
        <v>174</v>
      </c>
      <c r="F165">
        <f t="shared" ca="1" si="22"/>
        <v>39</v>
      </c>
      <c r="G165">
        <f t="shared" ca="1" si="23"/>
        <v>1.75</v>
      </c>
      <c r="H165" s="1">
        <f t="shared" ca="1" si="24"/>
        <v>46260</v>
      </c>
      <c r="I165" s="1">
        <f t="shared" ca="1" si="25"/>
        <v>46036</v>
      </c>
      <c r="J165">
        <f t="shared" ca="1" si="26"/>
        <v>304.5</v>
      </c>
      <c r="K165" t="str">
        <f t="shared" ca="1" si="27"/>
        <v>In Stock</v>
      </c>
      <c r="L165" s="2">
        <f t="shared" ca="1" si="28"/>
        <v>141</v>
      </c>
      <c r="M165" t="str">
        <f t="shared" ca="1" si="29"/>
        <v>Safe</v>
      </c>
    </row>
    <row r="166" spans="1:13" x14ac:dyDescent="0.25">
      <c r="A166" t="str">
        <f t="shared" si="20"/>
        <v>M165</v>
      </c>
      <c r="B166" t="str" cm="1">
        <f t="array" aca="1" ref="B166" ca="1">INDEX({"Paracetamol","Amoxicillin","Ibuprofen","Cetirizine","Metformin","Amlodipine","Omeprazole","Azithromycin","Losartan","Vitamin C"}, RANDBETWEEN(1,10))</f>
        <v>Azithromycin</v>
      </c>
      <c r="C166" t="str" cm="1">
        <f t="array" aca="1" ref="C166" ca="1">INDEX({"Painkiller","Antibiotic","Painkiller","Antihistamine","Diabetes","Hypertension","Antacid","Antibiotic","Hypertension","Supplement"},
MATCH(B166,{"Paracetamol","Amoxicillin","Ibuprofen","Cetirizine","Metformin","Amlodipine","Omeprazole","Azithromycin","Losartan","Vitamin C"},0))</f>
        <v>Antibiotic</v>
      </c>
      <c r="D166" t="str" cm="1">
        <f t="array" aca="1" ref="D166" ca="1">INDEX({"MedSupply Co","HealthCorp","PharmaPlus","GlobalMed"}, RANDBETWEEN(1,4))</f>
        <v>HealthCorp</v>
      </c>
      <c r="E166">
        <f t="shared" ca="1" si="21"/>
        <v>109</v>
      </c>
      <c r="F166">
        <f t="shared" ca="1" si="22"/>
        <v>66</v>
      </c>
      <c r="G166">
        <f t="shared" ca="1" si="23"/>
        <v>1.27</v>
      </c>
      <c r="H166" s="1">
        <f t="shared" ca="1" si="24"/>
        <v>46170</v>
      </c>
      <c r="I166" s="1">
        <f t="shared" ca="1" si="25"/>
        <v>46035</v>
      </c>
      <c r="J166">
        <f t="shared" ca="1" si="26"/>
        <v>138.43</v>
      </c>
      <c r="K166" t="str">
        <f t="shared" ca="1" si="27"/>
        <v>In Stock</v>
      </c>
      <c r="L166" s="2">
        <f t="shared" ca="1" si="28"/>
        <v>51</v>
      </c>
      <c r="M166" t="str">
        <f t="shared" ca="1" si="29"/>
        <v>Safe</v>
      </c>
    </row>
    <row r="167" spans="1:13" x14ac:dyDescent="0.25">
      <c r="A167" t="str">
        <f t="shared" si="20"/>
        <v>M166</v>
      </c>
      <c r="B167" t="str" cm="1">
        <f t="array" aca="1" ref="B167" ca="1">INDEX({"Paracetamol","Amoxicillin","Ibuprofen","Cetirizine","Metformin","Amlodipine","Omeprazole","Azithromycin","Losartan","Vitamin C"}, RANDBETWEEN(1,10))</f>
        <v>Ibuprofen</v>
      </c>
      <c r="C167" t="str" cm="1">
        <f t="array" aca="1" ref="C167" ca="1">INDEX({"Painkiller","Antibiotic","Painkiller","Antihistamine","Diabetes","Hypertension","Antacid","Antibiotic","Hypertension","Supplement"},
MATCH(B167,{"Paracetamol","Amoxicillin","Ibuprofen","Cetirizine","Metformin","Amlodipine","Omeprazole","Azithromycin","Losartan","Vitamin C"},0))</f>
        <v>Painkiller</v>
      </c>
      <c r="D167" t="str" cm="1">
        <f t="array" aca="1" ref="D167" ca="1">INDEX({"MedSupply Co","HealthCorp","PharmaPlus","GlobalMed"}, RANDBETWEEN(1,4))</f>
        <v>GlobalMed</v>
      </c>
      <c r="E167">
        <f t="shared" ca="1" si="21"/>
        <v>149</v>
      </c>
      <c r="F167">
        <f t="shared" ca="1" si="22"/>
        <v>30</v>
      </c>
      <c r="G167">
        <f t="shared" ca="1" si="23"/>
        <v>1.93</v>
      </c>
      <c r="H167" s="1">
        <f t="shared" ca="1" si="24"/>
        <v>46251</v>
      </c>
      <c r="I167" s="1">
        <f t="shared" ca="1" si="25"/>
        <v>45962</v>
      </c>
      <c r="J167">
        <f t="shared" ca="1" si="26"/>
        <v>287.57</v>
      </c>
      <c r="K167" t="str">
        <f t="shared" ca="1" si="27"/>
        <v>In Stock</v>
      </c>
      <c r="L167" s="2">
        <f t="shared" ca="1" si="28"/>
        <v>132</v>
      </c>
      <c r="M167" t="str">
        <f t="shared" ca="1" si="29"/>
        <v>Safe</v>
      </c>
    </row>
    <row r="168" spans="1:13" x14ac:dyDescent="0.25">
      <c r="A168" t="str">
        <f t="shared" si="20"/>
        <v>M167</v>
      </c>
      <c r="B168" t="str" cm="1">
        <f t="array" aca="1" ref="B168" ca="1">INDEX({"Paracetamol","Amoxicillin","Ibuprofen","Cetirizine","Metformin","Amlodipine","Omeprazole","Azithromycin","Losartan","Vitamin C"}, RANDBETWEEN(1,10))</f>
        <v>Cetirizine</v>
      </c>
      <c r="C168" t="str" cm="1">
        <f t="array" aca="1" ref="C168" ca="1">INDEX({"Painkiller","Antibiotic","Painkiller","Antihistamine","Diabetes","Hypertension","Antacid","Antibiotic","Hypertension","Supplement"},
MATCH(B168,{"Paracetamol","Amoxicillin","Ibuprofen","Cetirizine","Metformin","Amlodipine","Omeprazole","Azithromycin","Losartan","Vitamin C"},0))</f>
        <v>Antihistamine</v>
      </c>
      <c r="D168" t="str" cm="1">
        <f t="array" aca="1" ref="D168" ca="1">INDEX({"MedSupply Co","HealthCorp","PharmaPlus","GlobalMed"}, RANDBETWEEN(1,4))</f>
        <v>PharmaPlus</v>
      </c>
      <c r="E168">
        <f t="shared" ca="1" si="21"/>
        <v>129</v>
      </c>
      <c r="F168">
        <f t="shared" ca="1" si="22"/>
        <v>80</v>
      </c>
      <c r="G168">
        <f t="shared" ca="1" si="23"/>
        <v>1.49</v>
      </c>
      <c r="H168" s="1">
        <f t="shared" ca="1" si="24"/>
        <v>46192</v>
      </c>
      <c r="I168" s="1">
        <f t="shared" ca="1" si="25"/>
        <v>46026</v>
      </c>
      <c r="J168">
        <f t="shared" ca="1" si="26"/>
        <v>192.21</v>
      </c>
      <c r="K168" t="str">
        <f t="shared" ca="1" si="27"/>
        <v>In Stock</v>
      </c>
      <c r="L168" s="2">
        <f t="shared" ca="1" si="28"/>
        <v>73</v>
      </c>
      <c r="M168" t="str">
        <f t="shared" ca="1" si="29"/>
        <v>Safe</v>
      </c>
    </row>
    <row r="169" spans="1:13" x14ac:dyDescent="0.25">
      <c r="A169" t="str">
        <f t="shared" si="20"/>
        <v>M168</v>
      </c>
      <c r="B169" t="str" cm="1">
        <f t="array" aca="1" ref="B169" ca="1">INDEX({"Paracetamol","Amoxicillin","Ibuprofen","Cetirizine","Metformin","Amlodipine","Omeprazole","Azithromycin","Losartan","Vitamin C"}, RANDBETWEEN(1,10))</f>
        <v>Amoxicillin</v>
      </c>
      <c r="C169" t="str" cm="1">
        <f t="array" aca="1" ref="C169" ca="1">INDEX({"Painkiller","Antibiotic","Painkiller","Antihistamine","Diabetes","Hypertension","Antacid","Antibiotic","Hypertension","Supplement"},
MATCH(B169,{"Paracetamol","Amoxicillin","Ibuprofen","Cetirizine","Metformin","Amlodipine","Omeprazole","Azithromycin","Losartan","Vitamin C"},0))</f>
        <v>Antibiotic</v>
      </c>
      <c r="D169" t="str" cm="1">
        <f t="array" aca="1" ref="D169" ca="1">INDEX({"MedSupply Co","HealthCorp","PharmaPlus","GlobalMed"}, RANDBETWEEN(1,4))</f>
        <v>HealthCorp</v>
      </c>
      <c r="E169">
        <f t="shared" ca="1" si="21"/>
        <v>150</v>
      </c>
      <c r="F169">
        <f t="shared" ca="1" si="22"/>
        <v>57</v>
      </c>
      <c r="G169">
        <f t="shared" ca="1" si="23"/>
        <v>1.38</v>
      </c>
      <c r="H169" s="1">
        <f t="shared" ca="1" si="24"/>
        <v>46472</v>
      </c>
      <c r="I169" s="1">
        <f t="shared" ca="1" si="25"/>
        <v>46109</v>
      </c>
      <c r="J169">
        <f t="shared" ca="1" si="26"/>
        <v>206.99999999999997</v>
      </c>
      <c r="K169" t="str">
        <f t="shared" ca="1" si="27"/>
        <v>In Stock</v>
      </c>
      <c r="L169" s="2">
        <f t="shared" ca="1" si="28"/>
        <v>353</v>
      </c>
      <c r="M169" t="str">
        <f t="shared" ca="1" si="29"/>
        <v>Safe</v>
      </c>
    </row>
    <row r="170" spans="1:13" x14ac:dyDescent="0.25">
      <c r="A170" t="str">
        <f t="shared" si="20"/>
        <v>M169</v>
      </c>
      <c r="B170" t="str" cm="1">
        <f t="array" aca="1" ref="B170" ca="1">INDEX({"Paracetamol","Amoxicillin","Ibuprofen","Cetirizine","Metformin","Amlodipine","Omeprazole","Azithromycin","Losartan","Vitamin C"}, RANDBETWEEN(1,10))</f>
        <v>Azithromycin</v>
      </c>
      <c r="C170" t="str" cm="1">
        <f t="array" aca="1" ref="C170" ca="1">INDEX({"Painkiller","Antibiotic","Painkiller","Antihistamine","Diabetes","Hypertension","Antacid","Antibiotic","Hypertension","Supplement"},
MATCH(B170,{"Paracetamol","Amoxicillin","Ibuprofen","Cetirizine","Metformin","Amlodipine","Omeprazole","Azithromycin","Losartan","Vitamin C"},0))</f>
        <v>Antibiotic</v>
      </c>
      <c r="D170" t="str" cm="1">
        <f t="array" aca="1" ref="D170" ca="1">INDEX({"MedSupply Co","HealthCorp","PharmaPlus","GlobalMed"}, RANDBETWEEN(1,4))</f>
        <v>HealthCorp</v>
      </c>
      <c r="E170">
        <f t="shared" ca="1" si="21"/>
        <v>179</v>
      </c>
      <c r="F170">
        <f t="shared" ca="1" si="22"/>
        <v>78</v>
      </c>
      <c r="G170">
        <f t="shared" ca="1" si="23"/>
        <v>1.89</v>
      </c>
      <c r="H170" s="1">
        <f t="shared" ca="1" si="24"/>
        <v>46259</v>
      </c>
      <c r="I170" s="1">
        <f t="shared" ca="1" si="25"/>
        <v>46079</v>
      </c>
      <c r="J170">
        <f t="shared" ca="1" si="26"/>
        <v>338.31</v>
      </c>
      <c r="K170" t="str">
        <f t="shared" ca="1" si="27"/>
        <v>In Stock</v>
      </c>
      <c r="L170" s="2">
        <f t="shared" ca="1" si="28"/>
        <v>140</v>
      </c>
      <c r="M170" t="str">
        <f t="shared" ca="1" si="29"/>
        <v>Safe</v>
      </c>
    </row>
    <row r="171" spans="1:13" x14ac:dyDescent="0.25">
      <c r="A171" t="str">
        <f t="shared" si="20"/>
        <v>M170</v>
      </c>
      <c r="B171" t="str" cm="1">
        <f t="array" aca="1" ref="B171" ca="1">INDEX({"Paracetamol","Amoxicillin","Ibuprofen","Cetirizine","Metformin","Amlodipine","Omeprazole","Azithromycin","Losartan","Vitamin C"}, RANDBETWEEN(1,10))</f>
        <v>Amlodipine</v>
      </c>
      <c r="C171" t="str" cm="1">
        <f t="array" aca="1" ref="C171" ca="1">INDEX({"Painkiller","Antibiotic","Painkiller","Antihistamine","Diabetes","Hypertension","Antacid","Antibiotic","Hypertension","Supplement"},
MATCH(B171,{"Paracetamol","Amoxicillin","Ibuprofen","Cetirizine","Metformin","Amlodipine","Omeprazole","Azithromycin","Losartan","Vitamin C"},0))</f>
        <v>Hypertension</v>
      </c>
      <c r="D171" t="str" cm="1">
        <f t="array" aca="1" ref="D171" ca="1">INDEX({"MedSupply Co","HealthCorp","PharmaPlus","GlobalMed"}, RANDBETWEEN(1,4))</f>
        <v>PharmaPlus</v>
      </c>
      <c r="E171">
        <f t="shared" ca="1" si="21"/>
        <v>196</v>
      </c>
      <c r="F171">
        <f t="shared" ca="1" si="22"/>
        <v>84</v>
      </c>
      <c r="G171">
        <f t="shared" ca="1" si="23"/>
        <v>1.75</v>
      </c>
      <c r="H171" s="1">
        <f t="shared" ca="1" si="24"/>
        <v>46482</v>
      </c>
      <c r="I171" s="1">
        <f t="shared" ca="1" si="25"/>
        <v>45965</v>
      </c>
      <c r="J171">
        <f t="shared" ca="1" si="26"/>
        <v>343</v>
      </c>
      <c r="K171" t="str">
        <f t="shared" ca="1" si="27"/>
        <v>In Stock</v>
      </c>
      <c r="L171" s="2">
        <f t="shared" ca="1" si="28"/>
        <v>363</v>
      </c>
      <c r="M171" t="str">
        <f t="shared" ca="1" si="29"/>
        <v>Safe</v>
      </c>
    </row>
    <row r="172" spans="1:13" x14ac:dyDescent="0.25">
      <c r="A172" t="str">
        <f t="shared" si="20"/>
        <v>M171</v>
      </c>
      <c r="B172" t="str" cm="1">
        <f t="array" aca="1" ref="B172" ca="1">INDEX({"Paracetamol","Amoxicillin","Ibuprofen","Cetirizine","Metformin","Amlodipine","Omeprazole","Azithromycin","Losartan","Vitamin C"}, RANDBETWEEN(1,10))</f>
        <v>Paracetamol</v>
      </c>
      <c r="C172" t="str" cm="1">
        <f t="array" aca="1" ref="C172" ca="1">INDEX({"Painkiller","Antibiotic","Painkiller","Antihistamine","Diabetes","Hypertension","Antacid","Antibiotic","Hypertension","Supplement"},
MATCH(B172,{"Paracetamol","Amoxicillin","Ibuprofen","Cetirizine","Metformin","Amlodipine","Omeprazole","Azithromycin","Losartan","Vitamin C"},0))</f>
        <v>Painkiller</v>
      </c>
      <c r="D172" t="str" cm="1">
        <f t="array" aca="1" ref="D172" ca="1">INDEX({"MedSupply Co","HealthCorp","PharmaPlus","GlobalMed"}, RANDBETWEEN(1,4))</f>
        <v>MedSupply Co</v>
      </c>
      <c r="E172">
        <f t="shared" ca="1" si="21"/>
        <v>69</v>
      </c>
      <c r="F172">
        <f t="shared" ca="1" si="22"/>
        <v>63</v>
      </c>
      <c r="G172">
        <f t="shared" ca="1" si="23"/>
        <v>1.31</v>
      </c>
      <c r="H172" s="1">
        <f t="shared" ca="1" si="24"/>
        <v>46168</v>
      </c>
      <c r="I172" s="1">
        <f t="shared" ca="1" si="25"/>
        <v>46097</v>
      </c>
      <c r="J172">
        <f t="shared" ca="1" si="26"/>
        <v>90.39</v>
      </c>
      <c r="K172" t="str">
        <f t="shared" ca="1" si="27"/>
        <v>In Stock</v>
      </c>
      <c r="L172" s="2">
        <f t="shared" ca="1" si="28"/>
        <v>49</v>
      </c>
      <c r="M172" t="str">
        <f t="shared" ca="1" si="29"/>
        <v>Safe</v>
      </c>
    </row>
    <row r="173" spans="1:13" x14ac:dyDescent="0.25">
      <c r="A173" t="str">
        <f t="shared" si="20"/>
        <v>M172</v>
      </c>
      <c r="B173" t="str" cm="1">
        <f t="array" aca="1" ref="B173" ca="1">INDEX({"Paracetamol","Amoxicillin","Ibuprofen","Cetirizine","Metformin","Amlodipine","Omeprazole","Azithromycin","Losartan","Vitamin C"}, RANDBETWEEN(1,10))</f>
        <v>Cetirizine</v>
      </c>
      <c r="C173" t="str" cm="1">
        <f t="array" aca="1" ref="C173" ca="1">INDEX({"Painkiller","Antibiotic","Painkiller","Antihistamine","Diabetes","Hypertension","Antacid","Antibiotic","Hypertension","Supplement"},
MATCH(B173,{"Paracetamol","Amoxicillin","Ibuprofen","Cetirizine","Metformin","Amlodipine","Omeprazole","Azithromycin","Losartan","Vitamin C"},0))</f>
        <v>Antihistamine</v>
      </c>
      <c r="D173" t="str" cm="1">
        <f t="array" aca="1" ref="D173" ca="1">INDEX({"MedSupply Co","HealthCorp","PharmaPlus","GlobalMed"}, RANDBETWEEN(1,4))</f>
        <v>GlobalMed</v>
      </c>
      <c r="E173">
        <f t="shared" ca="1" si="21"/>
        <v>132</v>
      </c>
      <c r="F173">
        <f t="shared" ca="1" si="22"/>
        <v>66</v>
      </c>
      <c r="G173">
        <f t="shared" ca="1" si="23"/>
        <v>1.41</v>
      </c>
      <c r="H173" s="1">
        <f t="shared" ca="1" si="24"/>
        <v>46287</v>
      </c>
      <c r="I173" s="1">
        <f t="shared" ca="1" si="25"/>
        <v>46089</v>
      </c>
      <c r="J173">
        <f t="shared" ca="1" si="26"/>
        <v>186.11999999999998</v>
      </c>
      <c r="K173" t="str">
        <f t="shared" ca="1" si="27"/>
        <v>In Stock</v>
      </c>
      <c r="L173" s="2">
        <f t="shared" ca="1" si="28"/>
        <v>168</v>
      </c>
      <c r="M173" t="str">
        <f t="shared" ca="1" si="29"/>
        <v>Safe</v>
      </c>
    </row>
    <row r="174" spans="1:13" x14ac:dyDescent="0.25">
      <c r="A174" t="str">
        <f t="shared" si="20"/>
        <v>M173</v>
      </c>
      <c r="B174" t="str" cm="1">
        <f t="array" aca="1" ref="B174" ca="1">INDEX({"Paracetamol","Amoxicillin","Ibuprofen","Cetirizine","Metformin","Amlodipine","Omeprazole","Azithromycin","Losartan","Vitamin C"}, RANDBETWEEN(1,10))</f>
        <v>Amoxicillin</v>
      </c>
      <c r="C174" t="str" cm="1">
        <f t="array" aca="1" ref="C174" ca="1">INDEX({"Painkiller","Antibiotic","Painkiller","Antihistamine","Diabetes","Hypertension","Antacid","Antibiotic","Hypertension","Supplement"},
MATCH(B174,{"Paracetamol","Amoxicillin","Ibuprofen","Cetirizine","Metformin","Amlodipine","Omeprazole","Azithromycin","Losartan","Vitamin C"},0))</f>
        <v>Antibiotic</v>
      </c>
      <c r="D174" t="str" cm="1">
        <f t="array" aca="1" ref="D174" ca="1">INDEX({"MedSupply Co","HealthCorp","PharmaPlus","GlobalMed"}, RANDBETWEEN(1,4))</f>
        <v>PharmaPlus</v>
      </c>
      <c r="E174">
        <f t="shared" ca="1" si="21"/>
        <v>91</v>
      </c>
      <c r="F174">
        <f t="shared" ca="1" si="22"/>
        <v>28</v>
      </c>
      <c r="G174">
        <f t="shared" ca="1" si="23"/>
        <v>0.64</v>
      </c>
      <c r="H174" s="1">
        <f t="shared" ca="1" si="24"/>
        <v>46381</v>
      </c>
      <c r="I174" s="1">
        <f t="shared" ca="1" si="25"/>
        <v>46026</v>
      </c>
      <c r="J174">
        <f t="shared" ca="1" si="26"/>
        <v>58.24</v>
      </c>
      <c r="K174" t="str">
        <f t="shared" ca="1" si="27"/>
        <v>In Stock</v>
      </c>
      <c r="L174" s="2">
        <f t="shared" ca="1" si="28"/>
        <v>262</v>
      </c>
      <c r="M174" t="str">
        <f t="shared" ca="1" si="29"/>
        <v>Safe</v>
      </c>
    </row>
    <row r="175" spans="1:13" x14ac:dyDescent="0.25">
      <c r="A175" t="str">
        <f t="shared" si="20"/>
        <v>M174</v>
      </c>
      <c r="B175" t="str" cm="1">
        <f t="array" aca="1" ref="B175" ca="1">INDEX({"Paracetamol","Amoxicillin","Ibuprofen","Cetirizine","Metformin","Amlodipine","Omeprazole","Azithromycin","Losartan","Vitamin C"}, RANDBETWEEN(1,10))</f>
        <v>Metformin</v>
      </c>
      <c r="C175" t="str" cm="1">
        <f t="array" aca="1" ref="C175" ca="1">INDEX({"Painkiller","Antibiotic","Painkiller","Antihistamine","Diabetes","Hypertension","Antacid","Antibiotic","Hypertension","Supplement"},
MATCH(B175,{"Paracetamol","Amoxicillin","Ibuprofen","Cetirizine","Metformin","Amlodipine","Omeprazole","Azithromycin","Losartan","Vitamin C"},0))</f>
        <v>Diabetes</v>
      </c>
      <c r="D175" t="str" cm="1">
        <f t="array" aca="1" ref="D175" ca="1">INDEX({"MedSupply Co","HealthCorp","PharmaPlus","GlobalMed"}, RANDBETWEEN(1,4))</f>
        <v>PharmaPlus</v>
      </c>
      <c r="E175">
        <f t="shared" ca="1" si="21"/>
        <v>170</v>
      </c>
      <c r="F175">
        <f t="shared" ca="1" si="22"/>
        <v>78</v>
      </c>
      <c r="G175">
        <f t="shared" ca="1" si="23"/>
        <v>1.57</v>
      </c>
      <c r="H175" s="1">
        <f t="shared" ca="1" si="24"/>
        <v>46286</v>
      </c>
      <c r="I175" s="1">
        <f t="shared" ca="1" si="25"/>
        <v>45944</v>
      </c>
      <c r="J175">
        <f t="shared" ca="1" si="26"/>
        <v>266.90000000000003</v>
      </c>
      <c r="K175" t="str">
        <f t="shared" ca="1" si="27"/>
        <v>In Stock</v>
      </c>
      <c r="L175" s="2">
        <f t="shared" ca="1" si="28"/>
        <v>167</v>
      </c>
      <c r="M175" t="str">
        <f t="shared" ca="1" si="29"/>
        <v>Safe</v>
      </c>
    </row>
    <row r="176" spans="1:13" x14ac:dyDescent="0.25">
      <c r="A176" t="str">
        <f t="shared" si="20"/>
        <v>M175</v>
      </c>
      <c r="B176" t="str" cm="1">
        <f t="array" aca="1" ref="B176" ca="1">INDEX({"Paracetamol","Amoxicillin","Ibuprofen","Cetirizine","Metformin","Amlodipine","Omeprazole","Azithromycin","Losartan","Vitamin C"}, RANDBETWEEN(1,10))</f>
        <v>Azithromycin</v>
      </c>
      <c r="C176" t="str" cm="1">
        <f t="array" aca="1" ref="C176" ca="1">INDEX({"Painkiller","Antibiotic","Painkiller","Antihistamine","Diabetes","Hypertension","Antacid","Antibiotic","Hypertension","Supplement"},
MATCH(B176,{"Paracetamol","Amoxicillin","Ibuprofen","Cetirizine","Metformin","Amlodipine","Omeprazole","Azithromycin","Losartan","Vitamin C"},0))</f>
        <v>Antibiotic</v>
      </c>
      <c r="D176" t="str" cm="1">
        <f t="array" aca="1" ref="D176" ca="1">INDEX({"MedSupply Co","HealthCorp","PharmaPlus","GlobalMed"}, RANDBETWEEN(1,4))</f>
        <v>HealthCorp</v>
      </c>
      <c r="E176">
        <f t="shared" ca="1" si="21"/>
        <v>7</v>
      </c>
      <c r="F176">
        <f t="shared" ca="1" si="22"/>
        <v>66</v>
      </c>
      <c r="G176">
        <f t="shared" ca="1" si="23"/>
        <v>1.1299999999999999</v>
      </c>
      <c r="H176" s="1">
        <f t="shared" ca="1" si="24"/>
        <v>46211</v>
      </c>
      <c r="I176" s="1">
        <f t="shared" ca="1" si="25"/>
        <v>46011</v>
      </c>
      <c r="J176">
        <f t="shared" ca="1" si="26"/>
        <v>7.9099999999999993</v>
      </c>
      <c r="K176" t="str">
        <f t="shared" ca="1" si="27"/>
        <v>Low Stock</v>
      </c>
      <c r="L176" s="2">
        <f t="shared" ca="1" si="28"/>
        <v>92</v>
      </c>
      <c r="M176" t="str">
        <f t="shared" ca="1" si="29"/>
        <v>Safe</v>
      </c>
    </row>
    <row r="177" spans="1:13" x14ac:dyDescent="0.25">
      <c r="A177" t="str">
        <f t="shared" si="20"/>
        <v>M176</v>
      </c>
      <c r="B177" t="str" cm="1">
        <f t="array" aca="1" ref="B177" ca="1">INDEX({"Paracetamol","Amoxicillin","Ibuprofen","Cetirizine","Metformin","Amlodipine","Omeprazole","Azithromycin","Losartan","Vitamin C"}, RANDBETWEEN(1,10))</f>
        <v>Amoxicillin</v>
      </c>
      <c r="C177" t="str" cm="1">
        <f t="array" aca="1" ref="C177" ca="1">INDEX({"Painkiller","Antibiotic","Painkiller","Antihistamine","Diabetes","Hypertension","Antacid","Antibiotic","Hypertension","Supplement"},
MATCH(B177,{"Paracetamol","Amoxicillin","Ibuprofen","Cetirizine","Metformin","Amlodipine","Omeprazole","Azithromycin","Losartan","Vitamin C"},0))</f>
        <v>Antibiotic</v>
      </c>
      <c r="D177" t="str" cm="1">
        <f t="array" aca="1" ref="D177" ca="1">INDEX({"MedSupply Co","HealthCorp","PharmaPlus","GlobalMed"}, RANDBETWEEN(1,4))</f>
        <v>MedSupply Co</v>
      </c>
      <c r="E177">
        <f t="shared" ca="1" si="21"/>
        <v>191</v>
      </c>
      <c r="F177">
        <f t="shared" ca="1" si="22"/>
        <v>47</v>
      </c>
      <c r="G177">
        <f t="shared" ca="1" si="23"/>
        <v>0.56999999999999995</v>
      </c>
      <c r="H177" s="1">
        <f t="shared" ca="1" si="24"/>
        <v>46256</v>
      </c>
      <c r="I177" s="1">
        <f t="shared" ca="1" si="25"/>
        <v>45949</v>
      </c>
      <c r="J177">
        <f t="shared" ca="1" si="26"/>
        <v>108.86999999999999</v>
      </c>
      <c r="K177" t="str">
        <f t="shared" ca="1" si="27"/>
        <v>In Stock</v>
      </c>
      <c r="L177" s="2">
        <f t="shared" ca="1" si="28"/>
        <v>137</v>
      </c>
      <c r="M177" t="str">
        <f t="shared" ca="1" si="29"/>
        <v>Safe</v>
      </c>
    </row>
    <row r="178" spans="1:13" x14ac:dyDescent="0.25">
      <c r="A178" t="str">
        <f t="shared" si="20"/>
        <v>M177</v>
      </c>
      <c r="B178" t="str" cm="1">
        <f t="array" aca="1" ref="B178" ca="1">INDEX({"Paracetamol","Amoxicillin","Ibuprofen","Cetirizine","Metformin","Amlodipine","Omeprazole","Azithromycin","Losartan","Vitamin C"}, RANDBETWEEN(1,10))</f>
        <v>Paracetamol</v>
      </c>
      <c r="C178" t="str" cm="1">
        <f t="array" aca="1" ref="C178" ca="1">INDEX({"Painkiller","Antibiotic","Painkiller","Antihistamine","Diabetes","Hypertension","Antacid","Antibiotic","Hypertension","Supplement"},
MATCH(B178,{"Paracetamol","Amoxicillin","Ibuprofen","Cetirizine","Metformin","Amlodipine","Omeprazole","Azithromycin","Losartan","Vitamin C"},0))</f>
        <v>Painkiller</v>
      </c>
      <c r="D178" t="str" cm="1">
        <f t="array" aca="1" ref="D178" ca="1">INDEX({"MedSupply Co","HealthCorp","PharmaPlus","GlobalMed"}, RANDBETWEEN(1,4))</f>
        <v>MedSupply Co</v>
      </c>
      <c r="E178">
        <f t="shared" ca="1" si="21"/>
        <v>103</v>
      </c>
      <c r="F178">
        <f t="shared" ca="1" si="22"/>
        <v>29</v>
      </c>
      <c r="G178">
        <f t="shared" ca="1" si="23"/>
        <v>1.99</v>
      </c>
      <c r="H178" s="1">
        <f t="shared" ca="1" si="24"/>
        <v>46287</v>
      </c>
      <c r="I178" s="1">
        <f t="shared" ca="1" si="25"/>
        <v>46008</v>
      </c>
      <c r="J178">
        <f t="shared" ca="1" si="26"/>
        <v>204.97</v>
      </c>
      <c r="K178" t="str">
        <f t="shared" ca="1" si="27"/>
        <v>In Stock</v>
      </c>
      <c r="L178" s="2">
        <f t="shared" ca="1" si="28"/>
        <v>168</v>
      </c>
      <c r="M178" t="str">
        <f t="shared" ca="1" si="29"/>
        <v>Safe</v>
      </c>
    </row>
    <row r="179" spans="1:13" x14ac:dyDescent="0.25">
      <c r="A179" t="str">
        <f t="shared" si="20"/>
        <v>M178</v>
      </c>
      <c r="B179" t="str" cm="1">
        <f t="array" aca="1" ref="B179" ca="1">INDEX({"Paracetamol","Amoxicillin","Ibuprofen","Cetirizine","Metformin","Amlodipine","Omeprazole","Azithromycin","Losartan","Vitamin C"}, RANDBETWEEN(1,10))</f>
        <v>Ibuprofen</v>
      </c>
      <c r="C179" t="str" cm="1">
        <f t="array" aca="1" ref="C179" ca="1">INDEX({"Painkiller","Antibiotic","Painkiller","Antihistamine","Diabetes","Hypertension","Antacid","Antibiotic","Hypertension","Supplement"},
MATCH(B179,{"Paracetamol","Amoxicillin","Ibuprofen","Cetirizine","Metformin","Amlodipine","Omeprazole","Azithromycin","Losartan","Vitamin C"},0))</f>
        <v>Painkiller</v>
      </c>
      <c r="D179" t="str" cm="1">
        <f t="array" aca="1" ref="D179" ca="1">INDEX({"MedSupply Co","HealthCorp","PharmaPlus","GlobalMed"}, RANDBETWEEN(1,4))</f>
        <v>GlobalMed</v>
      </c>
      <c r="E179">
        <f t="shared" ca="1" si="21"/>
        <v>110</v>
      </c>
      <c r="F179">
        <f t="shared" ca="1" si="22"/>
        <v>73</v>
      </c>
      <c r="G179">
        <f t="shared" ca="1" si="23"/>
        <v>1.8</v>
      </c>
      <c r="H179" s="1">
        <f t="shared" ca="1" si="24"/>
        <v>46286</v>
      </c>
      <c r="I179" s="1">
        <f t="shared" ca="1" si="25"/>
        <v>45956</v>
      </c>
      <c r="J179">
        <f t="shared" ca="1" si="26"/>
        <v>198</v>
      </c>
      <c r="K179" t="str">
        <f t="shared" ca="1" si="27"/>
        <v>In Stock</v>
      </c>
      <c r="L179" s="2">
        <f t="shared" ca="1" si="28"/>
        <v>167</v>
      </c>
      <c r="M179" t="str">
        <f t="shared" ca="1" si="29"/>
        <v>Safe</v>
      </c>
    </row>
    <row r="180" spans="1:13" x14ac:dyDescent="0.25">
      <c r="A180" t="str">
        <f t="shared" si="20"/>
        <v>M179</v>
      </c>
      <c r="B180" t="str" cm="1">
        <f t="array" aca="1" ref="B180" ca="1">INDEX({"Paracetamol","Amoxicillin","Ibuprofen","Cetirizine","Metformin","Amlodipine","Omeprazole","Azithromycin","Losartan","Vitamin C"}, RANDBETWEEN(1,10))</f>
        <v>Losartan</v>
      </c>
      <c r="C180" t="str" cm="1">
        <f t="array" aca="1" ref="C180" ca="1">INDEX({"Painkiller","Antibiotic","Painkiller","Antihistamine","Diabetes","Hypertension","Antacid","Antibiotic","Hypertension","Supplement"},
MATCH(B180,{"Paracetamol","Amoxicillin","Ibuprofen","Cetirizine","Metformin","Amlodipine","Omeprazole","Azithromycin","Losartan","Vitamin C"},0))</f>
        <v>Hypertension</v>
      </c>
      <c r="D180" t="str" cm="1">
        <f t="array" aca="1" ref="D180" ca="1">INDEX({"MedSupply Co","HealthCorp","PharmaPlus","GlobalMed"}, RANDBETWEEN(1,4))</f>
        <v>MedSupply Co</v>
      </c>
      <c r="E180">
        <f t="shared" ca="1" si="21"/>
        <v>82</v>
      </c>
      <c r="F180">
        <f t="shared" ca="1" si="22"/>
        <v>42</v>
      </c>
      <c r="G180">
        <f t="shared" ca="1" si="23"/>
        <v>1.32</v>
      </c>
      <c r="H180" s="1">
        <f t="shared" ca="1" si="24"/>
        <v>46429</v>
      </c>
      <c r="I180" s="1">
        <f t="shared" ca="1" si="25"/>
        <v>46067</v>
      </c>
      <c r="J180">
        <f t="shared" ca="1" si="26"/>
        <v>108.24000000000001</v>
      </c>
      <c r="K180" t="str">
        <f t="shared" ca="1" si="27"/>
        <v>In Stock</v>
      </c>
      <c r="L180" s="2">
        <f t="shared" ca="1" si="28"/>
        <v>310</v>
      </c>
      <c r="M180" t="str">
        <f t="shared" ca="1" si="29"/>
        <v>Safe</v>
      </c>
    </row>
    <row r="181" spans="1:13" x14ac:dyDescent="0.25">
      <c r="A181" t="str">
        <f t="shared" si="20"/>
        <v>M180</v>
      </c>
      <c r="B181" t="str" cm="1">
        <f t="array" aca="1" ref="B181" ca="1">INDEX({"Paracetamol","Amoxicillin","Ibuprofen","Cetirizine","Metformin","Amlodipine","Omeprazole","Azithromycin","Losartan","Vitamin C"}, RANDBETWEEN(1,10))</f>
        <v>Ibuprofen</v>
      </c>
      <c r="C181" t="str" cm="1">
        <f t="array" aca="1" ref="C181" ca="1">INDEX({"Painkiller","Antibiotic","Painkiller","Antihistamine","Diabetes","Hypertension","Antacid","Antibiotic","Hypertension","Supplement"},
MATCH(B181,{"Paracetamol","Amoxicillin","Ibuprofen","Cetirizine","Metformin","Amlodipine","Omeprazole","Azithromycin","Losartan","Vitamin C"},0))</f>
        <v>Painkiller</v>
      </c>
      <c r="D181" t="str" cm="1">
        <f t="array" aca="1" ref="D181" ca="1">INDEX({"MedSupply Co","HealthCorp","PharmaPlus","GlobalMed"}, RANDBETWEEN(1,4))</f>
        <v>HealthCorp</v>
      </c>
      <c r="E181">
        <f t="shared" ca="1" si="21"/>
        <v>152</v>
      </c>
      <c r="F181">
        <f t="shared" ca="1" si="22"/>
        <v>64</v>
      </c>
      <c r="G181">
        <f t="shared" ca="1" si="23"/>
        <v>0.92</v>
      </c>
      <c r="H181" s="1">
        <f t="shared" ca="1" si="24"/>
        <v>46360</v>
      </c>
      <c r="I181" s="1">
        <f t="shared" ca="1" si="25"/>
        <v>45994</v>
      </c>
      <c r="J181">
        <f t="shared" ca="1" si="26"/>
        <v>139.84</v>
      </c>
      <c r="K181" t="str">
        <f t="shared" ca="1" si="27"/>
        <v>In Stock</v>
      </c>
      <c r="L181" s="2">
        <f t="shared" ca="1" si="28"/>
        <v>241</v>
      </c>
      <c r="M181" t="str">
        <f t="shared" ca="1" si="29"/>
        <v>Safe</v>
      </c>
    </row>
    <row r="182" spans="1:13" x14ac:dyDescent="0.25">
      <c r="A182" t="str">
        <f t="shared" si="20"/>
        <v>M181</v>
      </c>
      <c r="B182" t="str" cm="1">
        <f t="array" aca="1" ref="B182" ca="1">INDEX({"Paracetamol","Amoxicillin","Ibuprofen","Cetirizine","Metformin","Amlodipine","Omeprazole","Azithromycin","Losartan","Vitamin C"}, RANDBETWEEN(1,10))</f>
        <v>Amoxicillin</v>
      </c>
      <c r="C182" t="str" cm="1">
        <f t="array" aca="1" ref="C182" ca="1">INDEX({"Painkiller","Antibiotic","Painkiller","Antihistamine","Diabetes","Hypertension","Antacid","Antibiotic","Hypertension","Supplement"},
MATCH(B182,{"Paracetamol","Amoxicillin","Ibuprofen","Cetirizine","Metformin","Amlodipine","Omeprazole","Azithromycin","Losartan","Vitamin C"},0))</f>
        <v>Antibiotic</v>
      </c>
      <c r="D182" t="str" cm="1">
        <f t="array" aca="1" ref="D182" ca="1">INDEX({"MedSupply Co","HealthCorp","PharmaPlus","GlobalMed"}, RANDBETWEEN(1,4))</f>
        <v>GlobalMed</v>
      </c>
      <c r="E182">
        <f t="shared" ca="1" si="21"/>
        <v>8</v>
      </c>
      <c r="F182">
        <f t="shared" ca="1" si="22"/>
        <v>34</v>
      </c>
      <c r="G182">
        <f t="shared" ca="1" si="23"/>
        <v>1.9</v>
      </c>
      <c r="H182" s="1">
        <f t="shared" ca="1" si="24"/>
        <v>46337</v>
      </c>
      <c r="I182" s="1">
        <f t="shared" ca="1" si="25"/>
        <v>46069</v>
      </c>
      <c r="J182">
        <f t="shared" ca="1" si="26"/>
        <v>15.2</v>
      </c>
      <c r="K182" t="str">
        <f t="shared" ca="1" si="27"/>
        <v>Low Stock</v>
      </c>
      <c r="L182" s="2">
        <f t="shared" ca="1" si="28"/>
        <v>218</v>
      </c>
      <c r="M182" t="str">
        <f t="shared" ca="1" si="29"/>
        <v>Safe</v>
      </c>
    </row>
    <row r="183" spans="1:13" x14ac:dyDescent="0.25">
      <c r="A183" t="str">
        <f t="shared" si="20"/>
        <v>M182</v>
      </c>
      <c r="B183" t="str" cm="1">
        <f t="array" aca="1" ref="B183" ca="1">INDEX({"Paracetamol","Amoxicillin","Ibuprofen","Cetirizine","Metformin","Amlodipine","Omeprazole","Azithromycin","Losartan","Vitamin C"}, RANDBETWEEN(1,10))</f>
        <v>Azithromycin</v>
      </c>
      <c r="C183" t="str" cm="1">
        <f t="array" aca="1" ref="C183" ca="1">INDEX({"Painkiller","Antibiotic","Painkiller","Antihistamine","Diabetes","Hypertension","Antacid","Antibiotic","Hypertension","Supplement"},
MATCH(B183,{"Paracetamol","Amoxicillin","Ibuprofen","Cetirizine","Metformin","Amlodipine","Omeprazole","Azithromycin","Losartan","Vitamin C"},0))</f>
        <v>Antibiotic</v>
      </c>
      <c r="D183" t="str" cm="1">
        <f t="array" aca="1" ref="D183" ca="1">INDEX({"MedSupply Co","HealthCorp","PharmaPlus","GlobalMed"}, RANDBETWEEN(1,4))</f>
        <v>PharmaPlus</v>
      </c>
      <c r="E183">
        <f t="shared" ca="1" si="21"/>
        <v>21</v>
      </c>
      <c r="F183">
        <f t="shared" ca="1" si="22"/>
        <v>44</v>
      </c>
      <c r="G183">
        <f t="shared" ca="1" si="23"/>
        <v>0.85</v>
      </c>
      <c r="H183" s="1">
        <f t="shared" ca="1" si="24"/>
        <v>46347</v>
      </c>
      <c r="I183" s="1">
        <f t="shared" ca="1" si="25"/>
        <v>46032</v>
      </c>
      <c r="J183">
        <f t="shared" ca="1" si="26"/>
        <v>17.849999999999998</v>
      </c>
      <c r="K183" t="str">
        <f t="shared" ca="1" si="27"/>
        <v>Low Stock</v>
      </c>
      <c r="L183" s="2">
        <f t="shared" ca="1" si="28"/>
        <v>228</v>
      </c>
      <c r="M183" t="str">
        <f t="shared" ca="1" si="29"/>
        <v>Safe</v>
      </c>
    </row>
    <row r="184" spans="1:13" x14ac:dyDescent="0.25">
      <c r="A184" t="str">
        <f t="shared" si="20"/>
        <v>M183</v>
      </c>
      <c r="B184" t="str" cm="1">
        <f t="array" aca="1" ref="B184" ca="1">INDEX({"Paracetamol","Amoxicillin","Ibuprofen","Cetirizine","Metformin","Amlodipine","Omeprazole","Azithromycin","Losartan","Vitamin C"}, RANDBETWEEN(1,10))</f>
        <v>Metformin</v>
      </c>
      <c r="C184" t="str" cm="1">
        <f t="array" aca="1" ref="C184" ca="1">INDEX({"Painkiller","Antibiotic","Painkiller","Antihistamine","Diabetes","Hypertension","Antacid","Antibiotic","Hypertension","Supplement"},
MATCH(B184,{"Paracetamol","Amoxicillin","Ibuprofen","Cetirizine","Metformin","Amlodipine","Omeprazole","Azithromycin","Losartan","Vitamin C"},0))</f>
        <v>Diabetes</v>
      </c>
      <c r="D184" t="str" cm="1">
        <f t="array" aca="1" ref="D184" ca="1">INDEX({"MedSupply Co","HealthCorp","PharmaPlus","GlobalMed"}, RANDBETWEEN(1,4))</f>
        <v>GlobalMed</v>
      </c>
      <c r="E184">
        <f t="shared" ca="1" si="21"/>
        <v>166</v>
      </c>
      <c r="F184">
        <f t="shared" ca="1" si="22"/>
        <v>24</v>
      </c>
      <c r="G184">
        <f t="shared" ca="1" si="23"/>
        <v>1.72</v>
      </c>
      <c r="H184" s="1">
        <f t="shared" ca="1" si="24"/>
        <v>46415</v>
      </c>
      <c r="I184" s="1">
        <f t="shared" ca="1" si="25"/>
        <v>45972</v>
      </c>
      <c r="J184">
        <f t="shared" ca="1" si="26"/>
        <v>285.52</v>
      </c>
      <c r="K184" t="str">
        <f t="shared" ca="1" si="27"/>
        <v>In Stock</v>
      </c>
      <c r="L184" s="2">
        <f t="shared" ca="1" si="28"/>
        <v>296</v>
      </c>
      <c r="M184" t="str">
        <f t="shared" ca="1" si="29"/>
        <v>Safe</v>
      </c>
    </row>
    <row r="185" spans="1:13" x14ac:dyDescent="0.25">
      <c r="A185" t="str">
        <f t="shared" si="20"/>
        <v>M184</v>
      </c>
      <c r="B185" t="str" cm="1">
        <f t="array" aca="1" ref="B185" ca="1">INDEX({"Paracetamol","Amoxicillin","Ibuprofen","Cetirizine","Metformin","Amlodipine","Omeprazole","Azithromycin","Losartan","Vitamin C"}, RANDBETWEEN(1,10))</f>
        <v>Amoxicillin</v>
      </c>
      <c r="C185" t="str" cm="1">
        <f t="array" aca="1" ref="C185" ca="1">INDEX({"Painkiller","Antibiotic","Painkiller","Antihistamine","Diabetes","Hypertension","Antacid","Antibiotic","Hypertension","Supplement"},
MATCH(B185,{"Paracetamol","Amoxicillin","Ibuprofen","Cetirizine","Metformin","Amlodipine","Omeprazole","Azithromycin","Losartan","Vitamin C"},0))</f>
        <v>Antibiotic</v>
      </c>
      <c r="D185" t="str" cm="1">
        <f t="array" aca="1" ref="D185" ca="1">INDEX({"MedSupply Co","HealthCorp","PharmaPlus","GlobalMed"}, RANDBETWEEN(1,4))</f>
        <v>PharmaPlus</v>
      </c>
      <c r="E185">
        <f t="shared" ca="1" si="21"/>
        <v>164</v>
      </c>
      <c r="F185">
        <f t="shared" ca="1" si="22"/>
        <v>79</v>
      </c>
      <c r="G185">
        <f t="shared" ca="1" si="23"/>
        <v>1.52</v>
      </c>
      <c r="H185" s="1">
        <f t="shared" ca="1" si="24"/>
        <v>46484</v>
      </c>
      <c r="I185" s="1">
        <f t="shared" ca="1" si="25"/>
        <v>45985</v>
      </c>
      <c r="J185">
        <f t="shared" ca="1" si="26"/>
        <v>249.28</v>
      </c>
      <c r="K185" t="str">
        <f t="shared" ca="1" si="27"/>
        <v>In Stock</v>
      </c>
      <c r="L185" s="2">
        <f t="shared" ca="1" si="28"/>
        <v>365</v>
      </c>
      <c r="M185" t="str">
        <f t="shared" ca="1" si="29"/>
        <v>Safe</v>
      </c>
    </row>
    <row r="186" spans="1:13" x14ac:dyDescent="0.25">
      <c r="A186" t="str">
        <f t="shared" si="20"/>
        <v>M185</v>
      </c>
      <c r="B186" t="str" cm="1">
        <f t="array" aca="1" ref="B186" ca="1">INDEX({"Paracetamol","Amoxicillin","Ibuprofen","Cetirizine","Metformin","Amlodipine","Omeprazole","Azithromycin","Losartan","Vitamin C"}, RANDBETWEEN(1,10))</f>
        <v>Amlodipine</v>
      </c>
      <c r="C186" t="str" cm="1">
        <f t="array" aca="1" ref="C186" ca="1">INDEX({"Painkiller","Antibiotic","Painkiller","Antihistamine","Diabetes","Hypertension","Antacid","Antibiotic","Hypertension","Supplement"},
MATCH(B186,{"Paracetamol","Amoxicillin","Ibuprofen","Cetirizine","Metformin","Amlodipine","Omeprazole","Azithromycin","Losartan","Vitamin C"},0))</f>
        <v>Hypertension</v>
      </c>
      <c r="D186" t="str" cm="1">
        <f t="array" aca="1" ref="D186" ca="1">INDEX({"MedSupply Co","HealthCorp","PharmaPlus","GlobalMed"}, RANDBETWEEN(1,4))</f>
        <v>GlobalMed</v>
      </c>
      <c r="E186">
        <f t="shared" ca="1" si="21"/>
        <v>96</v>
      </c>
      <c r="F186">
        <f t="shared" ca="1" si="22"/>
        <v>21</v>
      </c>
      <c r="G186">
        <f t="shared" ca="1" si="23"/>
        <v>1.7</v>
      </c>
      <c r="H186" s="1">
        <f t="shared" ca="1" si="24"/>
        <v>46178</v>
      </c>
      <c r="I186" s="1">
        <f t="shared" ca="1" si="25"/>
        <v>45983</v>
      </c>
      <c r="J186">
        <f t="shared" ca="1" si="26"/>
        <v>163.19999999999999</v>
      </c>
      <c r="K186" t="str">
        <f t="shared" ca="1" si="27"/>
        <v>In Stock</v>
      </c>
      <c r="L186" s="2">
        <f t="shared" ca="1" si="28"/>
        <v>59</v>
      </c>
      <c r="M186" t="str">
        <f t="shared" ca="1" si="29"/>
        <v>Safe</v>
      </c>
    </row>
    <row r="187" spans="1:13" x14ac:dyDescent="0.25">
      <c r="A187" t="str">
        <f t="shared" si="20"/>
        <v>M186</v>
      </c>
      <c r="B187" t="str" cm="1">
        <f t="array" aca="1" ref="B187" ca="1">INDEX({"Paracetamol","Amoxicillin","Ibuprofen","Cetirizine","Metformin","Amlodipine","Omeprazole","Azithromycin","Losartan","Vitamin C"}, RANDBETWEEN(1,10))</f>
        <v>Metformin</v>
      </c>
      <c r="C187" t="str" cm="1">
        <f t="array" aca="1" ref="C187" ca="1">INDEX({"Painkiller","Antibiotic","Painkiller","Antihistamine","Diabetes","Hypertension","Antacid","Antibiotic","Hypertension","Supplement"},
MATCH(B187,{"Paracetamol","Amoxicillin","Ibuprofen","Cetirizine","Metformin","Amlodipine","Omeprazole","Azithromycin","Losartan","Vitamin C"},0))</f>
        <v>Diabetes</v>
      </c>
      <c r="D187" t="str" cm="1">
        <f t="array" aca="1" ref="D187" ca="1">INDEX({"MedSupply Co","HealthCorp","PharmaPlus","GlobalMed"}, RANDBETWEEN(1,4))</f>
        <v>PharmaPlus</v>
      </c>
      <c r="E187">
        <f t="shared" ca="1" si="21"/>
        <v>94</v>
      </c>
      <c r="F187">
        <f t="shared" ca="1" si="22"/>
        <v>59</v>
      </c>
      <c r="G187">
        <f t="shared" ca="1" si="23"/>
        <v>1.7</v>
      </c>
      <c r="H187" s="1">
        <f t="shared" ca="1" si="24"/>
        <v>46390</v>
      </c>
      <c r="I187" s="1">
        <f t="shared" ca="1" si="25"/>
        <v>45941</v>
      </c>
      <c r="J187">
        <f t="shared" ca="1" si="26"/>
        <v>159.79999999999998</v>
      </c>
      <c r="K187" t="str">
        <f t="shared" ca="1" si="27"/>
        <v>In Stock</v>
      </c>
      <c r="L187" s="2">
        <f t="shared" ca="1" si="28"/>
        <v>271</v>
      </c>
      <c r="M187" t="str">
        <f t="shared" ca="1" si="29"/>
        <v>Safe</v>
      </c>
    </row>
    <row r="188" spans="1:13" x14ac:dyDescent="0.25">
      <c r="A188" t="str">
        <f t="shared" si="20"/>
        <v>M187</v>
      </c>
      <c r="B188" t="str" cm="1">
        <f t="array" aca="1" ref="B188" ca="1">INDEX({"Paracetamol","Amoxicillin","Ibuprofen","Cetirizine","Metformin","Amlodipine","Omeprazole","Azithromycin","Losartan","Vitamin C"}, RANDBETWEEN(1,10))</f>
        <v>Omeprazole</v>
      </c>
      <c r="C188" t="str" cm="1">
        <f t="array" aca="1" ref="C188" ca="1">INDEX({"Painkiller","Antibiotic","Painkiller","Antihistamine","Diabetes","Hypertension","Antacid","Antibiotic","Hypertension","Supplement"},
MATCH(B188,{"Paracetamol","Amoxicillin","Ibuprofen","Cetirizine","Metformin","Amlodipine","Omeprazole","Azithromycin","Losartan","Vitamin C"},0))</f>
        <v>Antacid</v>
      </c>
      <c r="D188" t="str" cm="1">
        <f t="array" aca="1" ref="D188" ca="1">INDEX({"MedSupply Co","HealthCorp","PharmaPlus","GlobalMed"}, RANDBETWEEN(1,4))</f>
        <v>PharmaPlus</v>
      </c>
      <c r="E188">
        <f t="shared" ca="1" si="21"/>
        <v>152</v>
      </c>
      <c r="F188">
        <f t="shared" ca="1" si="22"/>
        <v>44</v>
      </c>
      <c r="G188">
        <f t="shared" ca="1" si="23"/>
        <v>1.96</v>
      </c>
      <c r="H188" s="1">
        <f t="shared" ca="1" si="24"/>
        <v>46427</v>
      </c>
      <c r="I188" s="1">
        <f t="shared" ca="1" si="25"/>
        <v>46019</v>
      </c>
      <c r="J188">
        <f t="shared" ca="1" si="26"/>
        <v>297.92</v>
      </c>
      <c r="K188" t="str">
        <f t="shared" ca="1" si="27"/>
        <v>In Stock</v>
      </c>
      <c r="L188" s="2">
        <f t="shared" ca="1" si="28"/>
        <v>308</v>
      </c>
      <c r="M188" t="str">
        <f t="shared" ca="1" si="29"/>
        <v>Safe</v>
      </c>
    </row>
    <row r="189" spans="1:13" x14ac:dyDescent="0.25">
      <c r="A189" t="str">
        <f t="shared" si="20"/>
        <v>M188</v>
      </c>
      <c r="B189" t="str" cm="1">
        <f t="array" aca="1" ref="B189" ca="1">INDEX({"Paracetamol","Amoxicillin","Ibuprofen","Cetirizine","Metformin","Amlodipine","Omeprazole","Azithromycin","Losartan","Vitamin C"}, RANDBETWEEN(1,10))</f>
        <v>Amlodipine</v>
      </c>
      <c r="C189" t="str" cm="1">
        <f t="array" aca="1" ref="C189" ca="1">INDEX({"Painkiller","Antibiotic","Painkiller","Antihistamine","Diabetes","Hypertension","Antacid","Antibiotic","Hypertension","Supplement"},
MATCH(B189,{"Paracetamol","Amoxicillin","Ibuprofen","Cetirizine","Metformin","Amlodipine","Omeprazole","Azithromycin","Losartan","Vitamin C"},0))</f>
        <v>Hypertension</v>
      </c>
      <c r="D189" t="str" cm="1">
        <f t="array" aca="1" ref="D189" ca="1">INDEX({"MedSupply Co","HealthCorp","PharmaPlus","GlobalMed"}, RANDBETWEEN(1,4))</f>
        <v>GlobalMed</v>
      </c>
      <c r="E189">
        <f t="shared" ca="1" si="21"/>
        <v>3</v>
      </c>
      <c r="F189">
        <f t="shared" ca="1" si="22"/>
        <v>88</v>
      </c>
      <c r="G189">
        <f t="shared" ca="1" si="23"/>
        <v>1.32</v>
      </c>
      <c r="H189" s="1">
        <f t="shared" ca="1" si="24"/>
        <v>46234</v>
      </c>
      <c r="I189" s="1">
        <f t="shared" ca="1" si="25"/>
        <v>46037</v>
      </c>
      <c r="J189">
        <f t="shared" ca="1" si="26"/>
        <v>3.96</v>
      </c>
      <c r="K189" t="str">
        <f t="shared" ca="1" si="27"/>
        <v>Low Stock</v>
      </c>
      <c r="L189" s="2">
        <f t="shared" ca="1" si="28"/>
        <v>115</v>
      </c>
      <c r="M189" t="str">
        <f t="shared" ca="1" si="29"/>
        <v>Safe</v>
      </c>
    </row>
    <row r="190" spans="1:13" x14ac:dyDescent="0.25">
      <c r="A190" t="str">
        <f t="shared" si="20"/>
        <v>M189</v>
      </c>
      <c r="B190" t="str" cm="1">
        <f t="array" aca="1" ref="B190" ca="1">INDEX({"Paracetamol","Amoxicillin","Ibuprofen","Cetirizine","Metformin","Amlodipine","Omeprazole","Azithromycin","Losartan","Vitamin C"}, RANDBETWEEN(1,10))</f>
        <v>Vitamin C</v>
      </c>
      <c r="C190" t="str" cm="1">
        <f t="array" aca="1" ref="C190" ca="1">INDEX({"Painkiller","Antibiotic","Painkiller","Antihistamine","Diabetes","Hypertension","Antacid","Antibiotic","Hypertension","Supplement"},
MATCH(B190,{"Paracetamol","Amoxicillin","Ibuprofen","Cetirizine","Metformin","Amlodipine","Omeprazole","Azithromycin","Losartan","Vitamin C"},0))</f>
        <v>Supplement</v>
      </c>
      <c r="D190" t="str" cm="1">
        <f t="array" aca="1" ref="D190" ca="1">INDEX({"MedSupply Co","HealthCorp","PharmaPlus","GlobalMed"}, RANDBETWEEN(1,4))</f>
        <v>MedSupply Co</v>
      </c>
      <c r="E190">
        <f t="shared" ca="1" si="21"/>
        <v>151</v>
      </c>
      <c r="F190">
        <f t="shared" ca="1" si="22"/>
        <v>22</v>
      </c>
      <c r="G190">
        <f t="shared" ca="1" si="23"/>
        <v>0.98</v>
      </c>
      <c r="H190" s="1">
        <f t="shared" ca="1" si="24"/>
        <v>46471</v>
      </c>
      <c r="I190" s="1">
        <f t="shared" ca="1" si="25"/>
        <v>46092</v>
      </c>
      <c r="J190">
        <f t="shared" ca="1" si="26"/>
        <v>147.97999999999999</v>
      </c>
      <c r="K190" t="str">
        <f t="shared" ca="1" si="27"/>
        <v>In Stock</v>
      </c>
      <c r="L190" s="2">
        <f t="shared" ca="1" si="28"/>
        <v>352</v>
      </c>
      <c r="M190" t="str">
        <f t="shared" ca="1" si="29"/>
        <v>Safe</v>
      </c>
    </row>
    <row r="191" spans="1:13" x14ac:dyDescent="0.25">
      <c r="A191" t="str">
        <f t="shared" si="20"/>
        <v>M190</v>
      </c>
      <c r="B191" t="str" cm="1">
        <f t="array" aca="1" ref="B191" ca="1">INDEX({"Paracetamol","Amoxicillin","Ibuprofen","Cetirizine","Metformin","Amlodipine","Omeprazole","Azithromycin","Losartan","Vitamin C"}, RANDBETWEEN(1,10))</f>
        <v>Azithromycin</v>
      </c>
      <c r="C191" t="str" cm="1">
        <f t="array" aca="1" ref="C191" ca="1">INDEX({"Painkiller","Antibiotic","Painkiller","Antihistamine","Diabetes","Hypertension","Antacid","Antibiotic","Hypertension","Supplement"},
MATCH(B191,{"Paracetamol","Amoxicillin","Ibuprofen","Cetirizine","Metformin","Amlodipine","Omeprazole","Azithromycin","Losartan","Vitamin C"},0))</f>
        <v>Antibiotic</v>
      </c>
      <c r="D191" t="str" cm="1">
        <f t="array" aca="1" ref="D191" ca="1">INDEX({"MedSupply Co","HealthCorp","PharmaPlus","GlobalMed"}, RANDBETWEEN(1,4))</f>
        <v>PharmaPlus</v>
      </c>
      <c r="E191">
        <f t="shared" ca="1" si="21"/>
        <v>179</v>
      </c>
      <c r="F191">
        <f t="shared" ca="1" si="22"/>
        <v>95</v>
      </c>
      <c r="G191">
        <f t="shared" ca="1" si="23"/>
        <v>0.79</v>
      </c>
      <c r="H191" s="1">
        <f t="shared" ca="1" si="24"/>
        <v>46409</v>
      </c>
      <c r="I191" s="1">
        <f t="shared" ca="1" si="25"/>
        <v>45995</v>
      </c>
      <c r="J191">
        <f t="shared" ca="1" si="26"/>
        <v>141.41</v>
      </c>
      <c r="K191" t="str">
        <f t="shared" ca="1" si="27"/>
        <v>In Stock</v>
      </c>
      <c r="L191" s="2">
        <f t="shared" ca="1" si="28"/>
        <v>290</v>
      </c>
      <c r="M191" t="str">
        <f t="shared" ca="1" si="29"/>
        <v>Safe</v>
      </c>
    </row>
    <row r="192" spans="1:13" x14ac:dyDescent="0.25">
      <c r="A192" t="str">
        <f t="shared" si="20"/>
        <v>M191</v>
      </c>
      <c r="B192" t="str" cm="1">
        <f t="array" aca="1" ref="B192" ca="1">INDEX({"Paracetamol","Amoxicillin","Ibuprofen","Cetirizine","Metformin","Amlodipine","Omeprazole","Azithromycin","Losartan","Vitamin C"}, RANDBETWEEN(1,10))</f>
        <v>Amoxicillin</v>
      </c>
      <c r="C192" t="str" cm="1">
        <f t="array" aca="1" ref="C192" ca="1">INDEX({"Painkiller","Antibiotic","Painkiller","Antihistamine","Diabetes","Hypertension","Antacid","Antibiotic","Hypertension","Supplement"},
MATCH(B192,{"Paracetamol","Amoxicillin","Ibuprofen","Cetirizine","Metformin","Amlodipine","Omeprazole","Azithromycin","Losartan","Vitamin C"},0))</f>
        <v>Antibiotic</v>
      </c>
      <c r="D192" t="str" cm="1">
        <f t="array" aca="1" ref="D192" ca="1">INDEX({"MedSupply Co","HealthCorp","PharmaPlus","GlobalMed"}, RANDBETWEEN(1,4))</f>
        <v>PharmaPlus</v>
      </c>
      <c r="E192">
        <f t="shared" ca="1" si="21"/>
        <v>2</v>
      </c>
      <c r="F192">
        <f t="shared" ca="1" si="22"/>
        <v>34</v>
      </c>
      <c r="G192">
        <f t="shared" ca="1" si="23"/>
        <v>1.43</v>
      </c>
      <c r="H192" s="1">
        <f t="shared" ca="1" si="24"/>
        <v>46383</v>
      </c>
      <c r="I192" s="1">
        <f t="shared" ca="1" si="25"/>
        <v>46096</v>
      </c>
      <c r="J192">
        <f t="shared" ca="1" si="26"/>
        <v>2.86</v>
      </c>
      <c r="K192" t="str">
        <f t="shared" ca="1" si="27"/>
        <v>Low Stock</v>
      </c>
      <c r="L192" s="2">
        <f t="shared" ca="1" si="28"/>
        <v>264</v>
      </c>
      <c r="M192" t="str">
        <f t="shared" ca="1" si="29"/>
        <v>Safe</v>
      </c>
    </row>
    <row r="193" spans="1:13" x14ac:dyDescent="0.25">
      <c r="A193" t="str">
        <f t="shared" si="20"/>
        <v>M192</v>
      </c>
      <c r="B193" t="str" cm="1">
        <f t="array" aca="1" ref="B193" ca="1">INDEX({"Paracetamol","Amoxicillin","Ibuprofen","Cetirizine","Metformin","Amlodipine","Omeprazole","Azithromycin","Losartan","Vitamin C"}, RANDBETWEEN(1,10))</f>
        <v>Metformin</v>
      </c>
      <c r="C193" t="str" cm="1">
        <f t="array" aca="1" ref="C193" ca="1">INDEX({"Painkiller","Antibiotic","Painkiller","Antihistamine","Diabetes","Hypertension","Antacid","Antibiotic","Hypertension","Supplement"},
MATCH(B193,{"Paracetamol","Amoxicillin","Ibuprofen","Cetirizine","Metformin","Amlodipine","Omeprazole","Azithromycin","Losartan","Vitamin C"},0))</f>
        <v>Diabetes</v>
      </c>
      <c r="D193" t="str" cm="1">
        <f t="array" aca="1" ref="D193" ca="1">INDEX({"MedSupply Co","HealthCorp","PharmaPlus","GlobalMed"}, RANDBETWEEN(1,4))</f>
        <v>MedSupply Co</v>
      </c>
      <c r="E193">
        <f t="shared" ca="1" si="21"/>
        <v>132</v>
      </c>
      <c r="F193">
        <f t="shared" ca="1" si="22"/>
        <v>69</v>
      </c>
      <c r="G193">
        <f t="shared" ca="1" si="23"/>
        <v>1.36</v>
      </c>
      <c r="H193" s="1">
        <f t="shared" ca="1" si="24"/>
        <v>46337</v>
      </c>
      <c r="I193" s="1">
        <f t="shared" ca="1" si="25"/>
        <v>46042</v>
      </c>
      <c r="J193">
        <f t="shared" ca="1" si="26"/>
        <v>179.52</v>
      </c>
      <c r="K193" t="str">
        <f t="shared" ca="1" si="27"/>
        <v>In Stock</v>
      </c>
      <c r="L193" s="2">
        <f t="shared" ca="1" si="28"/>
        <v>218</v>
      </c>
      <c r="M193" t="str">
        <f t="shared" ca="1" si="29"/>
        <v>Safe</v>
      </c>
    </row>
    <row r="194" spans="1:13" x14ac:dyDescent="0.25">
      <c r="A194" t="str">
        <f t="shared" si="20"/>
        <v>M193</v>
      </c>
      <c r="B194" t="str" cm="1">
        <f t="array" aca="1" ref="B194" ca="1">INDEX({"Paracetamol","Amoxicillin","Ibuprofen","Cetirizine","Metformin","Amlodipine","Omeprazole","Azithromycin","Losartan","Vitamin C"}, RANDBETWEEN(1,10))</f>
        <v>Ibuprofen</v>
      </c>
      <c r="C194" t="str" cm="1">
        <f t="array" aca="1" ref="C194" ca="1">INDEX({"Painkiller","Antibiotic","Painkiller","Antihistamine","Diabetes","Hypertension","Antacid","Antibiotic","Hypertension","Supplement"},
MATCH(B194,{"Paracetamol","Amoxicillin","Ibuprofen","Cetirizine","Metformin","Amlodipine","Omeprazole","Azithromycin","Losartan","Vitamin C"},0))</f>
        <v>Painkiller</v>
      </c>
      <c r="D194" t="str" cm="1">
        <f t="array" aca="1" ref="D194" ca="1">INDEX({"MedSupply Co","HealthCorp","PharmaPlus","GlobalMed"}, RANDBETWEEN(1,4))</f>
        <v>MedSupply Co</v>
      </c>
      <c r="E194">
        <f t="shared" ca="1" si="21"/>
        <v>167</v>
      </c>
      <c r="F194">
        <f t="shared" ca="1" si="22"/>
        <v>70</v>
      </c>
      <c r="G194">
        <f t="shared" ca="1" si="23"/>
        <v>1.4</v>
      </c>
      <c r="H194" s="1">
        <f t="shared" ca="1" si="24"/>
        <v>46236</v>
      </c>
      <c r="I194" s="1">
        <f t="shared" ca="1" si="25"/>
        <v>46054</v>
      </c>
      <c r="J194">
        <f t="shared" ca="1" si="26"/>
        <v>233.79999999999998</v>
      </c>
      <c r="K194" t="str">
        <f t="shared" ca="1" si="27"/>
        <v>In Stock</v>
      </c>
      <c r="L194" s="2">
        <f t="shared" ca="1" si="28"/>
        <v>117</v>
      </c>
      <c r="M194" t="str">
        <f t="shared" ca="1" si="29"/>
        <v>Safe</v>
      </c>
    </row>
    <row r="195" spans="1:13" x14ac:dyDescent="0.25">
      <c r="A195" t="str">
        <f t="shared" ref="A195:A258" si="30">"M"&amp;TEXT(ROW(A194),"000")</f>
        <v>M194</v>
      </c>
      <c r="B195" t="str" cm="1">
        <f t="array" aca="1" ref="B195" ca="1">INDEX({"Paracetamol","Amoxicillin","Ibuprofen","Cetirizine","Metformin","Amlodipine","Omeprazole","Azithromycin","Losartan","Vitamin C"}, RANDBETWEEN(1,10))</f>
        <v>Amlodipine</v>
      </c>
      <c r="C195" t="str" cm="1">
        <f t="array" aca="1" ref="C195" ca="1">INDEX({"Painkiller","Antibiotic","Painkiller","Antihistamine","Diabetes","Hypertension","Antacid","Antibiotic","Hypertension","Supplement"},
MATCH(B195,{"Paracetamol","Amoxicillin","Ibuprofen","Cetirizine","Metformin","Amlodipine","Omeprazole","Azithromycin","Losartan","Vitamin C"},0))</f>
        <v>Hypertension</v>
      </c>
      <c r="D195" t="str" cm="1">
        <f t="array" aca="1" ref="D195" ca="1">INDEX({"MedSupply Co","HealthCorp","PharmaPlus","GlobalMed"}, RANDBETWEEN(1,4))</f>
        <v>PharmaPlus</v>
      </c>
      <c r="E195">
        <f t="shared" ref="E195:E258" ca="1" si="31">RANDBETWEEN(0,200)</f>
        <v>73</v>
      </c>
      <c r="F195">
        <f t="shared" ref="F195:F258" ca="1" si="32">RANDBETWEEN(20,100)</f>
        <v>93</v>
      </c>
      <c r="G195">
        <f t="shared" ref="G195:G258" ca="1" si="33">ROUND(RANDBETWEEN(50,200)/100,2)</f>
        <v>1.44</v>
      </c>
      <c r="H195" s="1">
        <f t="shared" ref="H195:H258" ca="1" si="34">TODAY()+RANDBETWEEN(30,365)</f>
        <v>46466</v>
      </c>
      <c r="I195" s="1">
        <f t="shared" ref="I195:I258" ca="1" si="35">TODAY()-RANDBETWEEN(1,180)</f>
        <v>46077</v>
      </c>
      <c r="J195">
        <f t="shared" ref="J195:J258" ca="1" si="36">E195*G195</f>
        <v>105.11999999999999</v>
      </c>
      <c r="K195" t="str">
        <f t="shared" ref="K195:K258" ca="1" si="37">IF(E195=0,"Out of Stock",IF(E195&lt;F195,"Low Stock","In Stock"))</f>
        <v>Low Stock</v>
      </c>
      <c r="L195" s="2">
        <f t="shared" ref="L195:L258" ca="1" si="38">H195-TODAY()</f>
        <v>347</v>
      </c>
      <c r="M195" t="str">
        <f t="shared" ref="M195:M258" ca="1" si="39">IF(H195&lt;=TODAY()+30,"Expiring Soon","Safe")</f>
        <v>Safe</v>
      </c>
    </row>
    <row r="196" spans="1:13" x14ac:dyDescent="0.25">
      <c r="A196" t="str">
        <f t="shared" si="30"/>
        <v>M195</v>
      </c>
      <c r="B196" t="str" cm="1">
        <f t="array" aca="1" ref="B196" ca="1">INDEX({"Paracetamol","Amoxicillin","Ibuprofen","Cetirizine","Metformin","Amlodipine","Omeprazole","Azithromycin","Losartan","Vitamin C"}, RANDBETWEEN(1,10))</f>
        <v>Metformin</v>
      </c>
      <c r="C196" t="str" cm="1">
        <f t="array" aca="1" ref="C196" ca="1">INDEX({"Painkiller","Antibiotic","Painkiller","Antihistamine","Diabetes","Hypertension","Antacid","Antibiotic","Hypertension","Supplement"},
MATCH(B196,{"Paracetamol","Amoxicillin","Ibuprofen","Cetirizine","Metformin","Amlodipine","Omeprazole","Azithromycin","Losartan","Vitamin C"},0))</f>
        <v>Diabetes</v>
      </c>
      <c r="D196" t="str" cm="1">
        <f t="array" aca="1" ref="D196" ca="1">INDEX({"MedSupply Co","HealthCorp","PharmaPlus","GlobalMed"}, RANDBETWEEN(1,4))</f>
        <v>GlobalMed</v>
      </c>
      <c r="E196">
        <f t="shared" ca="1" si="31"/>
        <v>14</v>
      </c>
      <c r="F196">
        <f t="shared" ca="1" si="32"/>
        <v>54</v>
      </c>
      <c r="G196">
        <f t="shared" ca="1" si="33"/>
        <v>1.66</v>
      </c>
      <c r="H196" s="1">
        <f t="shared" ca="1" si="34"/>
        <v>46247</v>
      </c>
      <c r="I196" s="1">
        <f t="shared" ca="1" si="35"/>
        <v>45953</v>
      </c>
      <c r="J196">
        <f t="shared" ca="1" si="36"/>
        <v>23.24</v>
      </c>
      <c r="K196" t="str">
        <f t="shared" ca="1" si="37"/>
        <v>Low Stock</v>
      </c>
      <c r="L196" s="2">
        <f t="shared" ca="1" si="38"/>
        <v>128</v>
      </c>
      <c r="M196" t="str">
        <f t="shared" ca="1" si="39"/>
        <v>Safe</v>
      </c>
    </row>
    <row r="197" spans="1:13" x14ac:dyDescent="0.25">
      <c r="A197" t="str">
        <f t="shared" si="30"/>
        <v>M196</v>
      </c>
      <c r="B197" t="str" cm="1">
        <f t="array" aca="1" ref="B197" ca="1">INDEX({"Paracetamol","Amoxicillin","Ibuprofen","Cetirizine","Metformin","Amlodipine","Omeprazole","Azithromycin","Losartan","Vitamin C"}, RANDBETWEEN(1,10))</f>
        <v>Ibuprofen</v>
      </c>
      <c r="C197" t="str" cm="1">
        <f t="array" aca="1" ref="C197" ca="1">INDEX({"Painkiller","Antibiotic","Painkiller","Antihistamine","Diabetes","Hypertension","Antacid","Antibiotic","Hypertension","Supplement"},
MATCH(B197,{"Paracetamol","Amoxicillin","Ibuprofen","Cetirizine","Metformin","Amlodipine","Omeprazole","Azithromycin","Losartan","Vitamin C"},0))</f>
        <v>Painkiller</v>
      </c>
      <c r="D197" t="str" cm="1">
        <f t="array" aca="1" ref="D197" ca="1">INDEX({"MedSupply Co","HealthCorp","PharmaPlus","GlobalMed"}, RANDBETWEEN(1,4))</f>
        <v>GlobalMed</v>
      </c>
      <c r="E197">
        <f t="shared" ca="1" si="31"/>
        <v>50</v>
      </c>
      <c r="F197">
        <f t="shared" ca="1" si="32"/>
        <v>32</v>
      </c>
      <c r="G197">
        <f t="shared" ca="1" si="33"/>
        <v>0.72</v>
      </c>
      <c r="H197" s="1">
        <f t="shared" ca="1" si="34"/>
        <v>46241</v>
      </c>
      <c r="I197" s="1">
        <f t="shared" ca="1" si="35"/>
        <v>46048</v>
      </c>
      <c r="J197">
        <f t="shared" ca="1" si="36"/>
        <v>36</v>
      </c>
      <c r="K197" t="str">
        <f t="shared" ca="1" si="37"/>
        <v>In Stock</v>
      </c>
      <c r="L197" s="2">
        <f t="shared" ca="1" si="38"/>
        <v>122</v>
      </c>
      <c r="M197" t="str">
        <f t="shared" ca="1" si="39"/>
        <v>Safe</v>
      </c>
    </row>
    <row r="198" spans="1:13" x14ac:dyDescent="0.25">
      <c r="A198" t="str">
        <f t="shared" si="30"/>
        <v>M197</v>
      </c>
      <c r="B198" t="str" cm="1">
        <f t="array" aca="1" ref="B198" ca="1">INDEX({"Paracetamol","Amoxicillin","Ibuprofen","Cetirizine","Metformin","Amlodipine","Omeprazole","Azithromycin","Losartan","Vitamin C"}, RANDBETWEEN(1,10))</f>
        <v>Ibuprofen</v>
      </c>
      <c r="C198" t="str" cm="1">
        <f t="array" aca="1" ref="C198" ca="1">INDEX({"Painkiller","Antibiotic","Painkiller","Antihistamine","Diabetes","Hypertension","Antacid","Antibiotic","Hypertension","Supplement"},
MATCH(B198,{"Paracetamol","Amoxicillin","Ibuprofen","Cetirizine","Metformin","Amlodipine","Omeprazole","Azithromycin","Losartan","Vitamin C"},0))</f>
        <v>Painkiller</v>
      </c>
      <c r="D198" t="str" cm="1">
        <f t="array" aca="1" ref="D198" ca="1">INDEX({"MedSupply Co","HealthCorp","PharmaPlus","GlobalMed"}, RANDBETWEEN(1,4))</f>
        <v>PharmaPlus</v>
      </c>
      <c r="E198">
        <f t="shared" ca="1" si="31"/>
        <v>13</v>
      </c>
      <c r="F198">
        <f t="shared" ca="1" si="32"/>
        <v>32</v>
      </c>
      <c r="G198">
        <f t="shared" ca="1" si="33"/>
        <v>1.91</v>
      </c>
      <c r="H198" s="1">
        <f t="shared" ca="1" si="34"/>
        <v>46167</v>
      </c>
      <c r="I198" s="1">
        <f t="shared" ca="1" si="35"/>
        <v>46017</v>
      </c>
      <c r="J198">
        <f t="shared" ca="1" si="36"/>
        <v>24.83</v>
      </c>
      <c r="K198" t="str">
        <f t="shared" ca="1" si="37"/>
        <v>Low Stock</v>
      </c>
      <c r="L198" s="2">
        <f t="shared" ca="1" si="38"/>
        <v>48</v>
      </c>
      <c r="M198" t="str">
        <f t="shared" ca="1" si="39"/>
        <v>Safe</v>
      </c>
    </row>
    <row r="199" spans="1:13" x14ac:dyDescent="0.25">
      <c r="A199" t="str">
        <f t="shared" si="30"/>
        <v>M198</v>
      </c>
      <c r="B199" t="str" cm="1">
        <f t="array" aca="1" ref="B199" ca="1">INDEX({"Paracetamol","Amoxicillin","Ibuprofen","Cetirizine","Metformin","Amlodipine","Omeprazole","Azithromycin","Losartan","Vitamin C"}, RANDBETWEEN(1,10))</f>
        <v>Ibuprofen</v>
      </c>
      <c r="C199" t="str" cm="1">
        <f t="array" aca="1" ref="C199" ca="1">INDEX({"Painkiller","Antibiotic","Painkiller","Antihistamine","Diabetes","Hypertension","Antacid","Antibiotic","Hypertension","Supplement"},
MATCH(B199,{"Paracetamol","Amoxicillin","Ibuprofen","Cetirizine","Metformin","Amlodipine","Omeprazole","Azithromycin","Losartan","Vitamin C"},0))</f>
        <v>Painkiller</v>
      </c>
      <c r="D199" t="str" cm="1">
        <f t="array" aca="1" ref="D199" ca="1">INDEX({"MedSupply Co","HealthCorp","PharmaPlus","GlobalMed"}, RANDBETWEEN(1,4))</f>
        <v>HealthCorp</v>
      </c>
      <c r="E199">
        <f t="shared" ca="1" si="31"/>
        <v>157</v>
      </c>
      <c r="F199">
        <f t="shared" ca="1" si="32"/>
        <v>53</v>
      </c>
      <c r="G199">
        <f t="shared" ca="1" si="33"/>
        <v>0.82</v>
      </c>
      <c r="H199" s="1">
        <f t="shared" ca="1" si="34"/>
        <v>46304</v>
      </c>
      <c r="I199" s="1">
        <f t="shared" ca="1" si="35"/>
        <v>46060</v>
      </c>
      <c r="J199">
        <f t="shared" ca="1" si="36"/>
        <v>128.73999999999998</v>
      </c>
      <c r="K199" t="str">
        <f t="shared" ca="1" si="37"/>
        <v>In Stock</v>
      </c>
      <c r="L199" s="2">
        <f t="shared" ca="1" si="38"/>
        <v>185</v>
      </c>
      <c r="M199" t="str">
        <f t="shared" ca="1" si="39"/>
        <v>Safe</v>
      </c>
    </row>
    <row r="200" spans="1:13" x14ac:dyDescent="0.25">
      <c r="A200" t="str">
        <f t="shared" si="30"/>
        <v>M199</v>
      </c>
      <c r="B200" t="str" cm="1">
        <f t="array" aca="1" ref="B200" ca="1">INDEX({"Paracetamol","Amoxicillin","Ibuprofen","Cetirizine","Metformin","Amlodipine","Omeprazole","Azithromycin","Losartan","Vitamin C"}, RANDBETWEEN(1,10))</f>
        <v>Cetirizine</v>
      </c>
      <c r="C200" t="str" cm="1">
        <f t="array" aca="1" ref="C200" ca="1">INDEX({"Painkiller","Antibiotic","Painkiller","Antihistamine","Diabetes","Hypertension","Antacid","Antibiotic","Hypertension","Supplement"},
MATCH(B200,{"Paracetamol","Amoxicillin","Ibuprofen","Cetirizine","Metformin","Amlodipine","Omeprazole","Azithromycin","Losartan","Vitamin C"},0))</f>
        <v>Antihistamine</v>
      </c>
      <c r="D200" t="str" cm="1">
        <f t="array" aca="1" ref="D200" ca="1">INDEX({"MedSupply Co","HealthCorp","PharmaPlus","GlobalMed"}, RANDBETWEEN(1,4))</f>
        <v>PharmaPlus</v>
      </c>
      <c r="E200">
        <f t="shared" ca="1" si="31"/>
        <v>78</v>
      </c>
      <c r="F200">
        <f t="shared" ca="1" si="32"/>
        <v>79</v>
      </c>
      <c r="G200">
        <f t="shared" ca="1" si="33"/>
        <v>0.96</v>
      </c>
      <c r="H200" s="1">
        <f t="shared" ca="1" si="34"/>
        <v>46343</v>
      </c>
      <c r="I200" s="1">
        <f t="shared" ca="1" si="35"/>
        <v>46026</v>
      </c>
      <c r="J200">
        <f t="shared" ca="1" si="36"/>
        <v>74.88</v>
      </c>
      <c r="K200" t="str">
        <f t="shared" ca="1" si="37"/>
        <v>Low Stock</v>
      </c>
      <c r="L200" s="2">
        <f t="shared" ca="1" si="38"/>
        <v>224</v>
      </c>
      <c r="M200" t="str">
        <f t="shared" ca="1" si="39"/>
        <v>Safe</v>
      </c>
    </row>
    <row r="201" spans="1:13" x14ac:dyDescent="0.25">
      <c r="A201" t="str">
        <f t="shared" si="30"/>
        <v>M200</v>
      </c>
      <c r="B201" t="str" cm="1">
        <f t="array" aca="1" ref="B201" ca="1">INDEX({"Paracetamol","Amoxicillin","Ibuprofen","Cetirizine","Metformin","Amlodipine","Omeprazole","Azithromycin","Losartan","Vitamin C"}, RANDBETWEEN(1,10))</f>
        <v>Losartan</v>
      </c>
      <c r="C201" t="str" cm="1">
        <f t="array" aca="1" ref="C201" ca="1">INDEX({"Painkiller","Antibiotic","Painkiller","Antihistamine","Diabetes","Hypertension","Antacid","Antibiotic","Hypertension","Supplement"},
MATCH(B201,{"Paracetamol","Amoxicillin","Ibuprofen","Cetirizine","Metformin","Amlodipine","Omeprazole","Azithromycin","Losartan","Vitamin C"},0))</f>
        <v>Hypertension</v>
      </c>
      <c r="D201" t="str" cm="1">
        <f t="array" aca="1" ref="D201" ca="1">INDEX({"MedSupply Co","HealthCorp","PharmaPlus","GlobalMed"}, RANDBETWEEN(1,4))</f>
        <v>HealthCorp</v>
      </c>
      <c r="E201">
        <f t="shared" ca="1" si="31"/>
        <v>167</v>
      </c>
      <c r="F201">
        <f t="shared" ca="1" si="32"/>
        <v>56</v>
      </c>
      <c r="G201">
        <f t="shared" ca="1" si="33"/>
        <v>1.94</v>
      </c>
      <c r="H201" s="1">
        <f t="shared" ca="1" si="34"/>
        <v>46158</v>
      </c>
      <c r="I201" s="1">
        <f t="shared" ca="1" si="35"/>
        <v>46005</v>
      </c>
      <c r="J201">
        <f t="shared" ca="1" si="36"/>
        <v>323.98</v>
      </c>
      <c r="K201" t="str">
        <f t="shared" ca="1" si="37"/>
        <v>In Stock</v>
      </c>
      <c r="L201" s="2">
        <f t="shared" ca="1" si="38"/>
        <v>39</v>
      </c>
      <c r="M201" t="str">
        <f t="shared" ca="1" si="39"/>
        <v>Safe</v>
      </c>
    </row>
    <row r="202" spans="1:13" x14ac:dyDescent="0.25">
      <c r="A202" t="str">
        <f t="shared" si="30"/>
        <v>M201</v>
      </c>
      <c r="B202" t="str" cm="1">
        <f t="array" aca="1" ref="B202" ca="1">INDEX({"Paracetamol","Amoxicillin","Ibuprofen","Cetirizine","Metformin","Amlodipine","Omeprazole","Azithromycin","Losartan","Vitamin C"}, RANDBETWEEN(1,10))</f>
        <v>Cetirizine</v>
      </c>
      <c r="C202" t="str" cm="1">
        <f t="array" aca="1" ref="C202" ca="1">INDEX({"Painkiller","Antibiotic","Painkiller","Antihistamine","Diabetes","Hypertension","Antacid","Antibiotic","Hypertension","Supplement"},
MATCH(B202,{"Paracetamol","Amoxicillin","Ibuprofen","Cetirizine","Metformin","Amlodipine","Omeprazole","Azithromycin","Losartan","Vitamin C"},0))</f>
        <v>Antihistamine</v>
      </c>
      <c r="D202" t="str" cm="1">
        <f t="array" aca="1" ref="D202" ca="1">INDEX({"MedSupply Co","HealthCorp","PharmaPlus","GlobalMed"}, RANDBETWEEN(1,4))</f>
        <v>PharmaPlus</v>
      </c>
      <c r="E202">
        <f t="shared" ca="1" si="31"/>
        <v>89</v>
      </c>
      <c r="F202">
        <f t="shared" ca="1" si="32"/>
        <v>77</v>
      </c>
      <c r="G202">
        <f t="shared" ca="1" si="33"/>
        <v>0.75</v>
      </c>
      <c r="H202" s="1">
        <f t="shared" ca="1" si="34"/>
        <v>46158</v>
      </c>
      <c r="I202" s="1">
        <f t="shared" ca="1" si="35"/>
        <v>45996</v>
      </c>
      <c r="J202">
        <f t="shared" ca="1" si="36"/>
        <v>66.75</v>
      </c>
      <c r="K202" t="str">
        <f t="shared" ca="1" si="37"/>
        <v>In Stock</v>
      </c>
      <c r="L202" s="2">
        <f t="shared" ca="1" si="38"/>
        <v>39</v>
      </c>
      <c r="M202" t="str">
        <f t="shared" ca="1" si="39"/>
        <v>Safe</v>
      </c>
    </row>
    <row r="203" spans="1:13" x14ac:dyDescent="0.25">
      <c r="A203" t="str">
        <f t="shared" si="30"/>
        <v>M202</v>
      </c>
      <c r="B203" t="str" cm="1">
        <f t="array" aca="1" ref="B203" ca="1">INDEX({"Paracetamol","Amoxicillin","Ibuprofen","Cetirizine","Metformin","Amlodipine","Omeprazole","Azithromycin","Losartan","Vitamin C"}, RANDBETWEEN(1,10))</f>
        <v>Amoxicillin</v>
      </c>
      <c r="C203" t="str" cm="1">
        <f t="array" aca="1" ref="C203" ca="1">INDEX({"Painkiller","Antibiotic","Painkiller","Antihistamine","Diabetes","Hypertension","Antacid","Antibiotic","Hypertension","Supplement"},
MATCH(B203,{"Paracetamol","Amoxicillin","Ibuprofen","Cetirizine","Metformin","Amlodipine","Omeprazole","Azithromycin","Losartan","Vitamin C"},0))</f>
        <v>Antibiotic</v>
      </c>
      <c r="D203" t="str" cm="1">
        <f t="array" aca="1" ref="D203" ca="1">INDEX({"MedSupply Co","HealthCorp","PharmaPlus","GlobalMed"}, RANDBETWEEN(1,4))</f>
        <v>MedSupply Co</v>
      </c>
      <c r="E203">
        <f t="shared" ca="1" si="31"/>
        <v>197</v>
      </c>
      <c r="F203">
        <f t="shared" ca="1" si="32"/>
        <v>53</v>
      </c>
      <c r="G203">
        <f t="shared" ca="1" si="33"/>
        <v>1.6</v>
      </c>
      <c r="H203" s="1">
        <f t="shared" ca="1" si="34"/>
        <v>46243</v>
      </c>
      <c r="I203" s="1">
        <f t="shared" ca="1" si="35"/>
        <v>46052</v>
      </c>
      <c r="J203">
        <f t="shared" ca="1" si="36"/>
        <v>315.20000000000005</v>
      </c>
      <c r="K203" t="str">
        <f t="shared" ca="1" si="37"/>
        <v>In Stock</v>
      </c>
      <c r="L203" s="2">
        <f t="shared" ca="1" si="38"/>
        <v>124</v>
      </c>
      <c r="M203" t="str">
        <f t="shared" ca="1" si="39"/>
        <v>Safe</v>
      </c>
    </row>
    <row r="204" spans="1:13" x14ac:dyDescent="0.25">
      <c r="A204" t="str">
        <f t="shared" si="30"/>
        <v>M203</v>
      </c>
      <c r="B204" t="str" cm="1">
        <f t="array" aca="1" ref="B204" ca="1">INDEX({"Paracetamol","Amoxicillin","Ibuprofen","Cetirizine","Metformin","Amlodipine","Omeprazole","Azithromycin","Losartan","Vitamin C"}, RANDBETWEEN(1,10))</f>
        <v>Omeprazole</v>
      </c>
      <c r="C204" t="str" cm="1">
        <f t="array" aca="1" ref="C204" ca="1">INDEX({"Painkiller","Antibiotic","Painkiller","Antihistamine","Diabetes","Hypertension","Antacid","Antibiotic","Hypertension","Supplement"},
MATCH(B204,{"Paracetamol","Amoxicillin","Ibuprofen","Cetirizine","Metformin","Amlodipine","Omeprazole","Azithromycin","Losartan","Vitamin C"},0))</f>
        <v>Antacid</v>
      </c>
      <c r="D204" t="str" cm="1">
        <f t="array" aca="1" ref="D204" ca="1">INDEX({"MedSupply Co","HealthCorp","PharmaPlus","GlobalMed"}, RANDBETWEEN(1,4))</f>
        <v>HealthCorp</v>
      </c>
      <c r="E204">
        <f t="shared" ca="1" si="31"/>
        <v>146</v>
      </c>
      <c r="F204">
        <f t="shared" ca="1" si="32"/>
        <v>28</v>
      </c>
      <c r="G204">
        <f t="shared" ca="1" si="33"/>
        <v>0.99</v>
      </c>
      <c r="H204" s="1">
        <f t="shared" ca="1" si="34"/>
        <v>46229</v>
      </c>
      <c r="I204" s="1">
        <f t="shared" ca="1" si="35"/>
        <v>45989</v>
      </c>
      <c r="J204">
        <f t="shared" ca="1" si="36"/>
        <v>144.54</v>
      </c>
      <c r="K204" t="str">
        <f t="shared" ca="1" si="37"/>
        <v>In Stock</v>
      </c>
      <c r="L204" s="2">
        <f t="shared" ca="1" si="38"/>
        <v>110</v>
      </c>
      <c r="M204" t="str">
        <f t="shared" ca="1" si="39"/>
        <v>Safe</v>
      </c>
    </row>
    <row r="205" spans="1:13" x14ac:dyDescent="0.25">
      <c r="A205" t="str">
        <f t="shared" si="30"/>
        <v>M204</v>
      </c>
      <c r="B205" t="str" cm="1">
        <f t="array" aca="1" ref="B205" ca="1">INDEX({"Paracetamol","Amoxicillin","Ibuprofen","Cetirizine","Metformin","Amlodipine","Omeprazole","Azithromycin","Losartan","Vitamin C"}, RANDBETWEEN(1,10))</f>
        <v>Ibuprofen</v>
      </c>
      <c r="C205" t="str" cm="1">
        <f t="array" aca="1" ref="C205" ca="1">INDEX({"Painkiller","Antibiotic","Painkiller","Antihistamine","Diabetes","Hypertension","Antacid","Antibiotic","Hypertension","Supplement"},
MATCH(B205,{"Paracetamol","Amoxicillin","Ibuprofen","Cetirizine","Metformin","Amlodipine","Omeprazole","Azithromycin","Losartan","Vitamin C"},0))</f>
        <v>Painkiller</v>
      </c>
      <c r="D205" t="str" cm="1">
        <f t="array" aca="1" ref="D205" ca="1">INDEX({"MedSupply Co","HealthCorp","PharmaPlus","GlobalMed"}, RANDBETWEEN(1,4))</f>
        <v>GlobalMed</v>
      </c>
      <c r="E205">
        <f t="shared" ca="1" si="31"/>
        <v>16</v>
      </c>
      <c r="F205">
        <f t="shared" ca="1" si="32"/>
        <v>58</v>
      </c>
      <c r="G205">
        <f t="shared" ca="1" si="33"/>
        <v>0.54</v>
      </c>
      <c r="H205" s="1">
        <f t="shared" ca="1" si="34"/>
        <v>46324</v>
      </c>
      <c r="I205" s="1">
        <f t="shared" ca="1" si="35"/>
        <v>46049</v>
      </c>
      <c r="J205">
        <f t="shared" ca="1" si="36"/>
        <v>8.64</v>
      </c>
      <c r="K205" t="str">
        <f t="shared" ca="1" si="37"/>
        <v>Low Stock</v>
      </c>
      <c r="L205" s="2">
        <f t="shared" ca="1" si="38"/>
        <v>205</v>
      </c>
      <c r="M205" t="str">
        <f t="shared" ca="1" si="39"/>
        <v>Safe</v>
      </c>
    </row>
    <row r="206" spans="1:13" x14ac:dyDescent="0.25">
      <c r="A206" t="str">
        <f t="shared" si="30"/>
        <v>M205</v>
      </c>
      <c r="B206" t="str" cm="1">
        <f t="array" aca="1" ref="B206" ca="1">INDEX({"Paracetamol","Amoxicillin","Ibuprofen","Cetirizine","Metformin","Amlodipine","Omeprazole","Azithromycin","Losartan","Vitamin C"}, RANDBETWEEN(1,10))</f>
        <v>Losartan</v>
      </c>
      <c r="C206" t="str" cm="1">
        <f t="array" aca="1" ref="C206" ca="1">INDEX({"Painkiller","Antibiotic","Painkiller","Antihistamine","Diabetes","Hypertension","Antacid","Antibiotic","Hypertension","Supplement"},
MATCH(B206,{"Paracetamol","Amoxicillin","Ibuprofen","Cetirizine","Metformin","Amlodipine","Omeprazole","Azithromycin","Losartan","Vitamin C"},0))</f>
        <v>Hypertension</v>
      </c>
      <c r="D206" t="str" cm="1">
        <f t="array" aca="1" ref="D206" ca="1">INDEX({"MedSupply Co","HealthCorp","PharmaPlus","GlobalMed"}, RANDBETWEEN(1,4))</f>
        <v>PharmaPlus</v>
      </c>
      <c r="E206">
        <f t="shared" ca="1" si="31"/>
        <v>138</v>
      </c>
      <c r="F206">
        <f t="shared" ca="1" si="32"/>
        <v>35</v>
      </c>
      <c r="G206">
        <f t="shared" ca="1" si="33"/>
        <v>1.1200000000000001</v>
      </c>
      <c r="H206" s="1">
        <f t="shared" ca="1" si="34"/>
        <v>46334</v>
      </c>
      <c r="I206" s="1">
        <f t="shared" ca="1" si="35"/>
        <v>46007</v>
      </c>
      <c r="J206">
        <f t="shared" ca="1" si="36"/>
        <v>154.56</v>
      </c>
      <c r="K206" t="str">
        <f t="shared" ca="1" si="37"/>
        <v>In Stock</v>
      </c>
      <c r="L206" s="2">
        <f t="shared" ca="1" si="38"/>
        <v>215</v>
      </c>
      <c r="M206" t="str">
        <f t="shared" ca="1" si="39"/>
        <v>Safe</v>
      </c>
    </row>
    <row r="207" spans="1:13" x14ac:dyDescent="0.25">
      <c r="A207" t="str">
        <f t="shared" si="30"/>
        <v>M206</v>
      </c>
      <c r="B207" t="str" cm="1">
        <f t="array" aca="1" ref="B207" ca="1">INDEX({"Paracetamol","Amoxicillin","Ibuprofen","Cetirizine","Metformin","Amlodipine","Omeprazole","Azithromycin","Losartan","Vitamin C"}, RANDBETWEEN(1,10))</f>
        <v>Cetirizine</v>
      </c>
      <c r="C207" t="str" cm="1">
        <f t="array" aca="1" ref="C207" ca="1">INDEX({"Painkiller","Antibiotic","Painkiller","Antihistamine","Diabetes","Hypertension","Antacid","Antibiotic","Hypertension","Supplement"},
MATCH(B207,{"Paracetamol","Amoxicillin","Ibuprofen","Cetirizine","Metformin","Amlodipine","Omeprazole","Azithromycin","Losartan","Vitamin C"},0))</f>
        <v>Antihistamine</v>
      </c>
      <c r="D207" t="str" cm="1">
        <f t="array" aca="1" ref="D207" ca="1">INDEX({"MedSupply Co","HealthCorp","PharmaPlus","GlobalMed"}, RANDBETWEEN(1,4))</f>
        <v>MedSupply Co</v>
      </c>
      <c r="E207">
        <f t="shared" ca="1" si="31"/>
        <v>195</v>
      </c>
      <c r="F207">
        <f t="shared" ca="1" si="32"/>
        <v>38</v>
      </c>
      <c r="G207">
        <f t="shared" ca="1" si="33"/>
        <v>0.79</v>
      </c>
      <c r="H207" s="1">
        <f t="shared" ca="1" si="34"/>
        <v>46304</v>
      </c>
      <c r="I207" s="1">
        <f t="shared" ca="1" si="35"/>
        <v>46067</v>
      </c>
      <c r="J207">
        <f t="shared" ca="1" si="36"/>
        <v>154.05000000000001</v>
      </c>
      <c r="K207" t="str">
        <f t="shared" ca="1" si="37"/>
        <v>In Stock</v>
      </c>
      <c r="L207" s="2">
        <f t="shared" ca="1" si="38"/>
        <v>185</v>
      </c>
      <c r="M207" t="str">
        <f t="shared" ca="1" si="39"/>
        <v>Safe</v>
      </c>
    </row>
    <row r="208" spans="1:13" x14ac:dyDescent="0.25">
      <c r="A208" t="str">
        <f t="shared" si="30"/>
        <v>M207</v>
      </c>
      <c r="B208" t="str" cm="1">
        <f t="array" aca="1" ref="B208" ca="1">INDEX({"Paracetamol","Amoxicillin","Ibuprofen","Cetirizine","Metformin","Amlodipine","Omeprazole","Azithromycin","Losartan","Vitamin C"}, RANDBETWEEN(1,10))</f>
        <v>Paracetamol</v>
      </c>
      <c r="C208" t="str" cm="1">
        <f t="array" aca="1" ref="C208" ca="1">INDEX({"Painkiller","Antibiotic","Painkiller","Antihistamine","Diabetes","Hypertension","Antacid","Antibiotic","Hypertension","Supplement"},
MATCH(B208,{"Paracetamol","Amoxicillin","Ibuprofen","Cetirizine","Metformin","Amlodipine","Omeprazole","Azithromycin","Losartan","Vitamin C"},0))</f>
        <v>Painkiller</v>
      </c>
      <c r="D208" t="str" cm="1">
        <f t="array" aca="1" ref="D208" ca="1">INDEX({"MedSupply Co","HealthCorp","PharmaPlus","GlobalMed"}, RANDBETWEEN(1,4))</f>
        <v>PharmaPlus</v>
      </c>
      <c r="E208">
        <f t="shared" ca="1" si="31"/>
        <v>60</v>
      </c>
      <c r="F208">
        <f t="shared" ca="1" si="32"/>
        <v>22</v>
      </c>
      <c r="G208">
        <f t="shared" ca="1" si="33"/>
        <v>1.68</v>
      </c>
      <c r="H208" s="1">
        <f t="shared" ca="1" si="34"/>
        <v>46298</v>
      </c>
      <c r="I208" s="1">
        <f t="shared" ca="1" si="35"/>
        <v>45982</v>
      </c>
      <c r="J208">
        <f t="shared" ca="1" si="36"/>
        <v>100.8</v>
      </c>
      <c r="K208" t="str">
        <f t="shared" ca="1" si="37"/>
        <v>In Stock</v>
      </c>
      <c r="L208" s="2">
        <f t="shared" ca="1" si="38"/>
        <v>179</v>
      </c>
      <c r="M208" t="str">
        <f t="shared" ca="1" si="39"/>
        <v>Safe</v>
      </c>
    </row>
    <row r="209" spans="1:13" x14ac:dyDescent="0.25">
      <c r="A209" t="str">
        <f t="shared" si="30"/>
        <v>M208</v>
      </c>
      <c r="B209" t="str" cm="1">
        <f t="array" aca="1" ref="B209" ca="1">INDEX({"Paracetamol","Amoxicillin","Ibuprofen","Cetirizine","Metformin","Amlodipine","Omeprazole","Azithromycin","Losartan","Vitamin C"}, RANDBETWEEN(1,10))</f>
        <v>Azithromycin</v>
      </c>
      <c r="C209" t="str" cm="1">
        <f t="array" aca="1" ref="C209" ca="1">INDEX({"Painkiller","Antibiotic","Painkiller","Antihistamine","Diabetes","Hypertension","Antacid","Antibiotic","Hypertension","Supplement"},
MATCH(B209,{"Paracetamol","Amoxicillin","Ibuprofen","Cetirizine","Metformin","Amlodipine","Omeprazole","Azithromycin","Losartan","Vitamin C"},0))</f>
        <v>Antibiotic</v>
      </c>
      <c r="D209" t="str" cm="1">
        <f t="array" aca="1" ref="D209" ca="1">INDEX({"MedSupply Co","HealthCorp","PharmaPlus","GlobalMed"}, RANDBETWEEN(1,4))</f>
        <v>PharmaPlus</v>
      </c>
      <c r="E209">
        <f t="shared" ca="1" si="31"/>
        <v>106</v>
      </c>
      <c r="F209">
        <f t="shared" ca="1" si="32"/>
        <v>22</v>
      </c>
      <c r="G209">
        <f t="shared" ca="1" si="33"/>
        <v>1.52</v>
      </c>
      <c r="H209" s="1">
        <f t="shared" ca="1" si="34"/>
        <v>46312</v>
      </c>
      <c r="I209" s="1">
        <f t="shared" ca="1" si="35"/>
        <v>45943</v>
      </c>
      <c r="J209">
        <f t="shared" ca="1" si="36"/>
        <v>161.12</v>
      </c>
      <c r="K209" t="str">
        <f t="shared" ca="1" si="37"/>
        <v>In Stock</v>
      </c>
      <c r="L209" s="2">
        <f t="shared" ca="1" si="38"/>
        <v>193</v>
      </c>
      <c r="M209" t="str">
        <f t="shared" ca="1" si="39"/>
        <v>Safe</v>
      </c>
    </row>
    <row r="210" spans="1:13" x14ac:dyDescent="0.25">
      <c r="A210" t="str">
        <f t="shared" si="30"/>
        <v>M209</v>
      </c>
      <c r="B210" t="str" cm="1">
        <f t="array" aca="1" ref="B210" ca="1">INDEX({"Paracetamol","Amoxicillin","Ibuprofen","Cetirizine","Metformin","Amlodipine","Omeprazole","Azithromycin","Losartan","Vitamin C"}, RANDBETWEEN(1,10))</f>
        <v>Metformin</v>
      </c>
      <c r="C210" t="str" cm="1">
        <f t="array" aca="1" ref="C210" ca="1">INDEX({"Painkiller","Antibiotic","Painkiller","Antihistamine","Diabetes","Hypertension","Antacid","Antibiotic","Hypertension","Supplement"},
MATCH(B210,{"Paracetamol","Amoxicillin","Ibuprofen","Cetirizine","Metformin","Amlodipine","Omeprazole","Azithromycin","Losartan","Vitamin C"},0))</f>
        <v>Diabetes</v>
      </c>
      <c r="D210" t="str" cm="1">
        <f t="array" aca="1" ref="D210" ca="1">INDEX({"MedSupply Co","HealthCorp","PharmaPlus","GlobalMed"}, RANDBETWEEN(1,4))</f>
        <v>PharmaPlus</v>
      </c>
      <c r="E210">
        <f t="shared" ca="1" si="31"/>
        <v>78</v>
      </c>
      <c r="F210">
        <f t="shared" ca="1" si="32"/>
        <v>80</v>
      </c>
      <c r="G210">
        <f t="shared" ca="1" si="33"/>
        <v>0.64</v>
      </c>
      <c r="H210" s="1">
        <f t="shared" ca="1" si="34"/>
        <v>46368</v>
      </c>
      <c r="I210" s="1">
        <f t="shared" ca="1" si="35"/>
        <v>45987</v>
      </c>
      <c r="J210">
        <f t="shared" ca="1" si="36"/>
        <v>49.92</v>
      </c>
      <c r="K210" t="str">
        <f t="shared" ca="1" si="37"/>
        <v>Low Stock</v>
      </c>
      <c r="L210" s="2">
        <f t="shared" ca="1" si="38"/>
        <v>249</v>
      </c>
      <c r="M210" t="str">
        <f t="shared" ca="1" si="39"/>
        <v>Safe</v>
      </c>
    </row>
    <row r="211" spans="1:13" x14ac:dyDescent="0.25">
      <c r="A211" t="str">
        <f t="shared" si="30"/>
        <v>M210</v>
      </c>
      <c r="B211" t="str" cm="1">
        <f t="array" aca="1" ref="B211" ca="1">INDEX({"Paracetamol","Amoxicillin","Ibuprofen","Cetirizine","Metformin","Amlodipine","Omeprazole","Azithromycin","Losartan","Vitamin C"}, RANDBETWEEN(1,10))</f>
        <v>Cetirizine</v>
      </c>
      <c r="C211" t="str" cm="1">
        <f t="array" aca="1" ref="C211" ca="1">INDEX({"Painkiller","Antibiotic","Painkiller","Antihistamine","Diabetes","Hypertension","Antacid","Antibiotic","Hypertension","Supplement"},
MATCH(B211,{"Paracetamol","Amoxicillin","Ibuprofen","Cetirizine","Metformin","Amlodipine","Omeprazole","Azithromycin","Losartan","Vitamin C"},0))</f>
        <v>Antihistamine</v>
      </c>
      <c r="D211" t="str" cm="1">
        <f t="array" aca="1" ref="D211" ca="1">INDEX({"MedSupply Co","HealthCorp","PharmaPlus","GlobalMed"}, RANDBETWEEN(1,4))</f>
        <v>HealthCorp</v>
      </c>
      <c r="E211">
        <f t="shared" ca="1" si="31"/>
        <v>174</v>
      </c>
      <c r="F211">
        <f t="shared" ca="1" si="32"/>
        <v>89</v>
      </c>
      <c r="G211">
        <f t="shared" ca="1" si="33"/>
        <v>1.71</v>
      </c>
      <c r="H211" s="1">
        <f t="shared" ca="1" si="34"/>
        <v>46366</v>
      </c>
      <c r="I211" s="1">
        <f t="shared" ca="1" si="35"/>
        <v>46069</v>
      </c>
      <c r="J211">
        <f t="shared" ca="1" si="36"/>
        <v>297.54000000000002</v>
      </c>
      <c r="K211" t="str">
        <f t="shared" ca="1" si="37"/>
        <v>In Stock</v>
      </c>
      <c r="L211" s="2">
        <f t="shared" ca="1" si="38"/>
        <v>247</v>
      </c>
      <c r="M211" t="str">
        <f t="shared" ca="1" si="39"/>
        <v>Safe</v>
      </c>
    </row>
    <row r="212" spans="1:13" x14ac:dyDescent="0.25">
      <c r="A212" t="str">
        <f t="shared" si="30"/>
        <v>M211</v>
      </c>
      <c r="B212" t="str" cm="1">
        <f t="array" aca="1" ref="B212" ca="1">INDEX({"Paracetamol","Amoxicillin","Ibuprofen","Cetirizine","Metformin","Amlodipine","Omeprazole","Azithromycin","Losartan","Vitamin C"}, RANDBETWEEN(1,10))</f>
        <v>Ibuprofen</v>
      </c>
      <c r="C212" t="str" cm="1">
        <f t="array" aca="1" ref="C212" ca="1">INDEX({"Painkiller","Antibiotic","Painkiller","Antihistamine","Diabetes","Hypertension","Antacid","Antibiotic","Hypertension","Supplement"},
MATCH(B212,{"Paracetamol","Amoxicillin","Ibuprofen","Cetirizine","Metformin","Amlodipine","Omeprazole","Azithromycin","Losartan","Vitamin C"},0))</f>
        <v>Painkiller</v>
      </c>
      <c r="D212" t="str" cm="1">
        <f t="array" aca="1" ref="D212" ca="1">INDEX({"MedSupply Co","HealthCorp","PharmaPlus","GlobalMed"}, RANDBETWEEN(1,4))</f>
        <v>MedSupply Co</v>
      </c>
      <c r="E212">
        <f t="shared" ca="1" si="31"/>
        <v>33</v>
      </c>
      <c r="F212">
        <f t="shared" ca="1" si="32"/>
        <v>31</v>
      </c>
      <c r="G212">
        <f t="shared" ca="1" si="33"/>
        <v>1.79</v>
      </c>
      <c r="H212" s="1">
        <f t="shared" ca="1" si="34"/>
        <v>46232</v>
      </c>
      <c r="I212" s="1">
        <f t="shared" ca="1" si="35"/>
        <v>46042</v>
      </c>
      <c r="J212">
        <f t="shared" ca="1" si="36"/>
        <v>59.07</v>
      </c>
      <c r="K212" t="str">
        <f t="shared" ca="1" si="37"/>
        <v>In Stock</v>
      </c>
      <c r="L212" s="2">
        <f t="shared" ca="1" si="38"/>
        <v>113</v>
      </c>
      <c r="M212" t="str">
        <f t="shared" ca="1" si="39"/>
        <v>Safe</v>
      </c>
    </row>
    <row r="213" spans="1:13" x14ac:dyDescent="0.25">
      <c r="A213" t="str">
        <f t="shared" si="30"/>
        <v>M212</v>
      </c>
      <c r="B213" t="str" cm="1">
        <f t="array" aca="1" ref="B213" ca="1">INDEX({"Paracetamol","Amoxicillin","Ibuprofen","Cetirizine","Metformin","Amlodipine","Omeprazole","Azithromycin","Losartan","Vitamin C"}, RANDBETWEEN(1,10))</f>
        <v>Paracetamol</v>
      </c>
      <c r="C213" t="str" cm="1">
        <f t="array" aca="1" ref="C213" ca="1">INDEX({"Painkiller","Antibiotic","Painkiller","Antihistamine","Diabetes","Hypertension","Antacid","Antibiotic","Hypertension","Supplement"},
MATCH(B213,{"Paracetamol","Amoxicillin","Ibuprofen","Cetirizine","Metformin","Amlodipine","Omeprazole","Azithromycin","Losartan","Vitamin C"},0))</f>
        <v>Painkiller</v>
      </c>
      <c r="D213" t="str" cm="1">
        <f t="array" aca="1" ref="D213" ca="1">INDEX({"MedSupply Co","HealthCorp","PharmaPlus","GlobalMed"}, RANDBETWEEN(1,4))</f>
        <v>HealthCorp</v>
      </c>
      <c r="E213">
        <f t="shared" ca="1" si="31"/>
        <v>49</v>
      </c>
      <c r="F213">
        <f t="shared" ca="1" si="32"/>
        <v>78</v>
      </c>
      <c r="G213">
        <f t="shared" ca="1" si="33"/>
        <v>1.65</v>
      </c>
      <c r="H213" s="1">
        <f t="shared" ca="1" si="34"/>
        <v>46403</v>
      </c>
      <c r="I213" s="1">
        <f t="shared" ca="1" si="35"/>
        <v>45973</v>
      </c>
      <c r="J213">
        <f t="shared" ca="1" si="36"/>
        <v>80.849999999999994</v>
      </c>
      <c r="K213" t="str">
        <f t="shared" ca="1" si="37"/>
        <v>Low Stock</v>
      </c>
      <c r="L213" s="2">
        <f t="shared" ca="1" si="38"/>
        <v>284</v>
      </c>
      <c r="M213" t="str">
        <f t="shared" ca="1" si="39"/>
        <v>Safe</v>
      </c>
    </row>
    <row r="214" spans="1:13" x14ac:dyDescent="0.25">
      <c r="A214" t="str">
        <f t="shared" si="30"/>
        <v>M213</v>
      </c>
      <c r="B214" t="str" cm="1">
        <f t="array" aca="1" ref="B214" ca="1">INDEX({"Paracetamol","Amoxicillin","Ibuprofen","Cetirizine","Metformin","Amlodipine","Omeprazole","Azithromycin","Losartan","Vitamin C"}, RANDBETWEEN(1,10))</f>
        <v>Ibuprofen</v>
      </c>
      <c r="C214" t="str" cm="1">
        <f t="array" aca="1" ref="C214" ca="1">INDEX({"Painkiller","Antibiotic","Painkiller","Antihistamine","Diabetes","Hypertension","Antacid","Antibiotic","Hypertension","Supplement"},
MATCH(B214,{"Paracetamol","Amoxicillin","Ibuprofen","Cetirizine","Metformin","Amlodipine","Omeprazole","Azithromycin","Losartan","Vitamin C"},0))</f>
        <v>Painkiller</v>
      </c>
      <c r="D214" t="str" cm="1">
        <f t="array" aca="1" ref="D214" ca="1">INDEX({"MedSupply Co","HealthCorp","PharmaPlus","GlobalMed"}, RANDBETWEEN(1,4))</f>
        <v>PharmaPlus</v>
      </c>
      <c r="E214">
        <f t="shared" ca="1" si="31"/>
        <v>190</v>
      </c>
      <c r="F214">
        <f t="shared" ca="1" si="32"/>
        <v>91</v>
      </c>
      <c r="G214">
        <f t="shared" ca="1" si="33"/>
        <v>1.9</v>
      </c>
      <c r="H214" s="1">
        <f t="shared" ca="1" si="34"/>
        <v>46350</v>
      </c>
      <c r="I214" s="1">
        <f t="shared" ca="1" si="35"/>
        <v>46092</v>
      </c>
      <c r="J214">
        <f t="shared" ca="1" si="36"/>
        <v>361</v>
      </c>
      <c r="K214" t="str">
        <f t="shared" ca="1" si="37"/>
        <v>In Stock</v>
      </c>
      <c r="L214" s="2">
        <f t="shared" ca="1" si="38"/>
        <v>231</v>
      </c>
      <c r="M214" t="str">
        <f t="shared" ca="1" si="39"/>
        <v>Safe</v>
      </c>
    </row>
    <row r="215" spans="1:13" x14ac:dyDescent="0.25">
      <c r="A215" t="str">
        <f t="shared" si="30"/>
        <v>M214</v>
      </c>
      <c r="B215" t="str" cm="1">
        <f t="array" aca="1" ref="B215" ca="1">INDEX({"Paracetamol","Amoxicillin","Ibuprofen","Cetirizine","Metformin","Amlodipine","Omeprazole","Azithromycin","Losartan","Vitamin C"}, RANDBETWEEN(1,10))</f>
        <v>Paracetamol</v>
      </c>
      <c r="C215" t="str" cm="1">
        <f t="array" aca="1" ref="C215" ca="1">INDEX({"Painkiller","Antibiotic","Painkiller","Antihistamine","Diabetes","Hypertension","Antacid","Antibiotic","Hypertension","Supplement"},
MATCH(B215,{"Paracetamol","Amoxicillin","Ibuprofen","Cetirizine","Metformin","Amlodipine","Omeprazole","Azithromycin","Losartan","Vitamin C"},0))</f>
        <v>Painkiller</v>
      </c>
      <c r="D215" t="str" cm="1">
        <f t="array" aca="1" ref="D215" ca="1">INDEX({"MedSupply Co","HealthCorp","PharmaPlus","GlobalMed"}, RANDBETWEEN(1,4))</f>
        <v>PharmaPlus</v>
      </c>
      <c r="E215">
        <f t="shared" ca="1" si="31"/>
        <v>110</v>
      </c>
      <c r="F215">
        <f t="shared" ca="1" si="32"/>
        <v>80</v>
      </c>
      <c r="G215">
        <f t="shared" ca="1" si="33"/>
        <v>1.71</v>
      </c>
      <c r="H215" s="1">
        <f t="shared" ca="1" si="34"/>
        <v>46360</v>
      </c>
      <c r="I215" s="1">
        <f t="shared" ca="1" si="35"/>
        <v>46063</v>
      </c>
      <c r="J215">
        <f t="shared" ca="1" si="36"/>
        <v>188.1</v>
      </c>
      <c r="K215" t="str">
        <f t="shared" ca="1" si="37"/>
        <v>In Stock</v>
      </c>
      <c r="L215" s="2">
        <f t="shared" ca="1" si="38"/>
        <v>241</v>
      </c>
      <c r="M215" t="str">
        <f t="shared" ca="1" si="39"/>
        <v>Safe</v>
      </c>
    </row>
    <row r="216" spans="1:13" x14ac:dyDescent="0.25">
      <c r="A216" t="str">
        <f t="shared" si="30"/>
        <v>M215</v>
      </c>
      <c r="B216" t="str" cm="1">
        <f t="array" aca="1" ref="B216" ca="1">INDEX({"Paracetamol","Amoxicillin","Ibuprofen","Cetirizine","Metformin","Amlodipine","Omeprazole","Azithromycin","Losartan","Vitamin C"}, RANDBETWEEN(1,10))</f>
        <v>Losartan</v>
      </c>
      <c r="C216" t="str" cm="1">
        <f t="array" aca="1" ref="C216" ca="1">INDEX({"Painkiller","Antibiotic","Painkiller","Antihistamine","Diabetes","Hypertension","Antacid","Antibiotic","Hypertension","Supplement"},
MATCH(B216,{"Paracetamol","Amoxicillin","Ibuprofen","Cetirizine","Metformin","Amlodipine","Omeprazole","Azithromycin","Losartan","Vitamin C"},0))</f>
        <v>Hypertension</v>
      </c>
      <c r="D216" t="str" cm="1">
        <f t="array" aca="1" ref="D216" ca="1">INDEX({"MedSupply Co","HealthCorp","PharmaPlus","GlobalMed"}, RANDBETWEEN(1,4))</f>
        <v>HealthCorp</v>
      </c>
      <c r="E216">
        <f t="shared" ca="1" si="31"/>
        <v>187</v>
      </c>
      <c r="F216">
        <f t="shared" ca="1" si="32"/>
        <v>69</v>
      </c>
      <c r="G216">
        <f t="shared" ca="1" si="33"/>
        <v>1.59</v>
      </c>
      <c r="H216" s="1">
        <f t="shared" ca="1" si="34"/>
        <v>46159</v>
      </c>
      <c r="I216" s="1">
        <f t="shared" ca="1" si="35"/>
        <v>46040</v>
      </c>
      <c r="J216">
        <f t="shared" ca="1" si="36"/>
        <v>297.33000000000004</v>
      </c>
      <c r="K216" t="str">
        <f t="shared" ca="1" si="37"/>
        <v>In Stock</v>
      </c>
      <c r="L216" s="2">
        <f t="shared" ca="1" si="38"/>
        <v>40</v>
      </c>
      <c r="M216" t="str">
        <f t="shared" ca="1" si="39"/>
        <v>Safe</v>
      </c>
    </row>
    <row r="217" spans="1:13" x14ac:dyDescent="0.25">
      <c r="A217" t="str">
        <f t="shared" si="30"/>
        <v>M216</v>
      </c>
      <c r="B217" t="str" cm="1">
        <f t="array" aca="1" ref="B217" ca="1">INDEX({"Paracetamol","Amoxicillin","Ibuprofen","Cetirizine","Metformin","Amlodipine","Omeprazole","Azithromycin","Losartan","Vitamin C"}, RANDBETWEEN(1,10))</f>
        <v>Ibuprofen</v>
      </c>
      <c r="C217" t="str" cm="1">
        <f t="array" aca="1" ref="C217" ca="1">INDEX({"Painkiller","Antibiotic","Painkiller","Antihistamine","Diabetes","Hypertension","Antacid","Antibiotic","Hypertension","Supplement"},
MATCH(B217,{"Paracetamol","Amoxicillin","Ibuprofen","Cetirizine","Metformin","Amlodipine","Omeprazole","Azithromycin","Losartan","Vitamin C"},0))</f>
        <v>Painkiller</v>
      </c>
      <c r="D217" t="str" cm="1">
        <f t="array" aca="1" ref="D217" ca="1">INDEX({"MedSupply Co","HealthCorp","PharmaPlus","GlobalMed"}, RANDBETWEEN(1,4))</f>
        <v>HealthCorp</v>
      </c>
      <c r="E217">
        <f t="shared" ca="1" si="31"/>
        <v>13</v>
      </c>
      <c r="F217">
        <f t="shared" ca="1" si="32"/>
        <v>44</v>
      </c>
      <c r="G217">
        <f t="shared" ca="1" si="33"/>
        <v>0.65</v>
      </c>
      <c r="H217" s="1">
        <f t="shared" ca="1" si="34"/>
        <v>46271</v>
      </c>
      <c r="I217" s="1">
        <f t="shared" ca="1" si="35"/>
        <v>45939</v>
      </c>
      <c r="J217">
        <f t="shared" ca="1" si="36"/>
        <v>8.4500000000000011</v>
      </c>
      <c r="K217" t="str">
        <f t="shared" ca="1" si="37"/>
        <v>Low Stock</v>
      </c>
      <c r="L217" s="2">
        <f t="shared" ca="1" si="38"/>
        <v>152</v>
      </c>
      <c r="M217" t="str">
        <f t="shared" ca="1" si="39"/>
        <v>Safe</v>
      </c>
    </row>
    <row r="218" spans="1:13" x14ac:dyDescent="0.25">
      <c r="A218" t="str">
        <f t="shared" si="30"/>
        <v>M217</v>
      </c>
      <c r="B218" t="str" cm="1">
        <f t="array" aca="1" ref="B218" ca="1">INDEX({"Paracetamol","Amoxicillin","Ibuprofen","Cetirizine","Metformin","Amlodipine","Omeprazole","Azithromycin","Losartan","Vitamin C"}, RANDBETWEEN(1,10))</f>
        <v>Omeprazole</v>
      </c>
      <c r="C218" t="str" cm="1">
        <f t="array" aca="1" ref="C218" ca="1">INDEX({"Painkiller","Antibiotic","Painkiller","Antihistamine","Diabetes","Hypertension","Antacid","Antibiotic","Hypertension","Supplement"},
MATCH(B218,{"Paracetamol","Amoxicillin","Ibuprofen","Cetirizine","Metformin","Amlodipine","Omeprazole","Azithromycin","Losartan","Vitamin C"},0))</f>
        <v>Antacid</v>
      </c>
      <c r="D218" t="str" cm="1">
        <f t="array" aca="1" ref="D218" ca="1">INDEX({"MedSupply Co","HealthCorp","PharmaPlus","GlobalMed"}, RANDBETWEEN(1,4))</f>
        <v>MedSupply Co</v>
      </c>
      <c r="E218">
        <f t="shared" ca="1" si="31"/>
        <v>163</v>
      </c>
      <c r="F218">
        <f t="shared" ca="1" si="32"/>
        <v>58</v>
      </c>
      <c r="G218">
        <f t="shared" ca="1" si="33"/>
        <v>0.55000000000000004</v>
      </c>
      <c r="H218" s="1">
        <f t="shared" ca="1" si="34"/>
        <v>46294</v>
      </c>
      <c r="I218" s="1">
        <f t="shared" ca="1" si="35"/>
        <v>46055</v>
      </c>
      <c r="J218">
        <f t="shared" ca="1" si="36"/>
        <v>89.65</v>
      </c>
      <c r="K218" t="str">
        <f t="shared" ca="1" si="37"/>
        <v>In Stock</v>
      </c>
      <c r="L218" s="2">
        <f t="shared" ca="1" si="38"/>
        <v>175</v>
      </c>
      <c r="M218" t="str">
        <f t="shared" ca="1" si="39"/>
        <v>Safe</v>
      </c>
    </row>
    <row r="219" spans="1:13" x14ac:dyDescent="0.25">
      <c r="A219" t="str">
        <f t="shared" si="30"/>
        <v>M218</v>
      </c>
      <c r="B219" t="str" cm="1">
        <f t="array" aca="1" ref="B219" ca="1">INDEX({"Paracetamol","Amoxicillin","Ibuprofen","Cetirizine","Metformin","Amlodipine","Omeprazole","Azithromycin","Losartan","Vitamin C"}, RANDBETWEEN(1,10))</f>
        <v>Azithromycin</v>
      </c>
      <c r="C219" t="str" cm="1">
        <f t="array" aca="1" ref="C219" ca="1">INDEX({"Painkiller","Antibiotic","Painkiller","Antihistamine","Diabetes","Hypertension","Antacid","Antibiotic","Hypertension","Supplement"},
MATCH(B219,{"Paracetamol","Amoxicillin","Ibuprofen","Cetirizine","Metformin","Amlodipine","Omeprazole","Azithromycin","Losartan","Vitamin C"},0))</f>
        <v>Antibiotic</v>
      </c>
      <c r="D219" t="str" cm="1">
        <f t="array" aca="1" ref="D219" ca="1">INDEX({"MedSupply Co","HealthCorp","PharmaPlus","GlobalMed"}, RANDBETWEEN(1,4))</f>
        <v>HealthCorp</v>
      </c>
      <c r="E219">
        <f t="shared" ca="1" si="31"/>
        <v>80</v>
      </c>
      <c r="F219">
        <f t="shared" ca="1" si="32"/>
        <v>49</v>
      </c>
      <c r="G219">
        <f t="shared" ca="1" si="33"/>
        <v>0.74</v>
      </c>
      <c r="H219" s="1">
        <f t="shared" ca="1" si="34"/>
        <v>46291</v>
      </c>
      <c r="I219" s="1">
        <f t="shared" ca="1" si="35"/>
        <v>45986</v>
      </c>
      <c r="J219">
        <f t="shared" ca="1" si="36"/>
        <v>59.2</v>
      </c>
      <c r="K219" t="str">
        <f t="shared" ca="1" si="37"/>
        <v>In Stock</v>
      </c>
      <c r="L219" s="2">
        <f t="shared" ca="1" si="38"/>
        <v>172</v>
      </c>
      <c r="M219" t="str">
        <f t="shared" ca="1" si="39"/>
        <v>Safe</v>
      </c>
    </row>
    <row r="220" spans="1:13" x14ac:dyDescent="0.25">
      <c r="A220" t="str">
        <f t="shared" si="30"/>
        <v>M219</v>
      </c>
      <c r="B220" t="str" cm="1">
        <f t="array" aca="1" ref="B220" ca="1">INDEX({"Paracetamol","Amoxicillin","Ibuprofen","Cetirizine","Metformin","Amlodipine","Omeprazole","Azithromycin","Losartan","Vitamin C"}, RANDBETWEEN(1,10))</f>
        <v>Omeprazole</v>
      </c>
      <c r="C220" t="str" cm="1">
        <f t="array" aca="1" ref="C220" ca="1">INDEX({"Painkiller","Antibiotic","Painkiller","Antihistamine","Diabetes","Hypertension","Antacid","Antibiotic","Hypertension","Supplement"},
MATCH(B220,{"Paracetamol","Amoxicillin","Ibuprofen","Cetirizine","Metformin","Amlodipine","Omeprazole","Azithromycin","Losartan","Vitamin C"},0))</f>
        <v>Antacid</v>
      </c>
      <c r="D220" t="str" cm="1">
        <f t="array" aca="1" ref="D220" ca="1">INDEX({"MedSupply Co","HealthCorp","PharmaPlus","GlobalMed"}, RANDBETWEEN(1,4))</f>
        <v>PharmaPlus</v>
      </c>
      <c r="E220">
        <f t="shared" ca="1" si="31"/>
        <v>179</v>
      </c>
      <c r="F220">
        <f t="shared" ca="1" si="32"/>
        <v>77</v>
      </c>
      <c r="G220">
        <f t="shared" ca="1" si="33"/>
        <v>1.72</v>
      </c>
      <c r="H220" s="1">
        <f t="shared" ca="1" si="34"/>
        <v>46268</v>
      </c>
      <c r="I220" s="1">
        <f t="shared" ca="1" si="35"/>
        <v>46036</v>
      </c>
      <c r="J220">
        <f t="shared" ca="1" si="36"/>
        <v>307.88</v>
      </c>
      <c r="K220" t="str">
        <f t="shared" ca="1" si="37"/>
        <v>In Stock</v>
      </c>
      <c r="L220" s="2">
        <f t="shared" ca="1" si="38"/>
        <v>149</v>
      </c>
      <c r="M220" t="str">
        <f t="shared" ca="1" si="39"/>
        <v>Safe</v>
      </c>
    </row>
    <row r="221" spans="1:13" x14ac:dyDescent="0.25">
      <c r="A221" t="str">
        <f t="shared" si="30"/>
        <v>M220</v>
      </c>
      <c r="B221" t="str" cm="1">
        <f t="array" aca="1" ref="B221" ca="1">INDEX({"Paracetamol","Amoxicillin","Ibuprofen","Cetirizine","Metformin","Amlodipine","Omeprazole","Azithromycin","Losartan","Vitamin C"}, RANDBETWEEN(1,10))</f>
        <v>Amoxicillin</v>
      </c>
      <c r="C221" t="str" cm="1">
        <f t="array" aca="1" ref="C221" ca="1">INDEX({"Painkiller","Antibiotic","Painkiller","Antihistamine","Diabetes","Hypertension","Antacid","Antibiotic","Hypertension","Supplement"},
MATCH(B221,{"Paracetamol","Amoxicillin","Ibuprofen","Cetirizine","Metformin","Amlodipine","Omeprazole","Azithromycin","Losartan","Vitamin C"},0))</f>
        <v>Antibiotic</v>
      </c>
      <c r="D221" t="str" cm="1">
        <f t="array" aca="1" ref="D221" ca="1">INDEX({"MedSupply Co","HealthCorp","PharmaPlus","GlobalMed"}, RANDBETWEEN(1,4))</f>
        <v>MedSupply Co</v>
      </c>
      <c r="E221">
        <f t="shared" ca="1" si="31"/>
        <v>16</v>
      </c>
      <c r="F221">
        <f t="shared" ca="1" si="32"/>
        <v>26</v>
      </c>
      <c r="G221">
        <f t="shared" ca="1" si="33"/>
        <v>0.98</v>
      </c>
      <c r="H221" s="1">
        <f t="shared" ca="1" si="34"/>
        <v>46370</v>
      </c>
      <c r="I221" s="1">
        <f t="shared" ca="1" si="35"/>
        <v>46116</v>
      </c>
      <c r="J221">
        <f t="shared" ca="1" si="36"/>
        <v>15.68</v>
      </c>
      <c r="K221" t="str">
        <f t="shared" ca="1" si="37"/>
        <v>Low Stock</v>
      </c>
      <c r="L221" s="2">
        <f t="shared" ca="1" si="38"/>
        <v>251</v>
      </c>
      <c r="M221" t="str">
        <f t="shared" ca="1" si="39"/>
        <v>Safe</v>
      </c>
    </row>
    <row r="222" spans="1:13" x14ac:dyDescent="0.25">
      <c r="A222" t="str">
        <f t="shared" si="30"/>
        <v>M221</v>
      </c>
      <c r="B222" t="str" cm="1">
        <f t="array" aca="1" ref="B222" ca="1">INDEX({"Paracetamol","Amoxicillin","Ibuprofen","Cetirizine","Metformin","Amlodipine","Omeprazole","Azithromycin","Losartan","Vitamin C"}, RANDBETWEEN(1,10))</f>
        <v>Azithromycin</v>
      </c>
      <c r="C222" t="str" cm="1">
        <f t="array" aca="1" ref="C222" ca="1">INDEX({"Painkiller","Antibiotic","Painkiller","Antihistamine","Diabetes","Hypertension","Antacid","Antibiotic","Hypertension","Supplement"},
MATCH(B222,{"Paracetamol","Amoxicillin","Ibuprofen","Cetirizine","Metformin","Amlodipine","Omeprazole","Azithromycin","Losartan","Vitamin C"},0))</f>
        <v>Antibiotic</v>
      </c>
      <c r="D222" t="str" cm="1">
        <f t="array" aca="1" ref="D222" ca="1">INDEX({"MedSupply Co","HealthCorp","PharmaPlus","GlobalMed"}, RANDBETWEEN(1,4))</f>
        <v>MedSupply Co</v>
      </c>
      <c r="E222">
        <f t="shared" ca="1" si="31"/>
        <v>54</v>
      </c>
      <c r="F222">
        <f t="shared" ca="1" si="32"/>
        <v>42</v>
      </c>
      <c r="G222">
        <f t="shared" ca="1" si="33"/>
        <v>1.48</v>
      </c>
      <c r="H222" s="1">
        <f t="shared" ca="1" si="34"/>
        <v>46248</v>
      </c>
      <c r="I222" s="1">
        <f t="shared" ca="1" si="35"/>
        <v>46022</v>
      </c>
      <c r="J222">
        <f t="shared" ca="1" si="36"/>
        <v>79.92</v>
      </c>
      <c r="K222" t="str">
        <f t="shared" ca="1" si="37"/>
        <v>In Stock</v>
      </c>
      <c r="L222" s="2">
        <f t="shared" ca="1" si="38"/>
        <v>129</v>
      </c>
      <c r="M222" t="str">
        <f t="shared" ca="1" si="39"/>
        <v>Safe</v>
      </c>
    </row>
    <row r="223" spans="1:13" x14ac:dyDescent="0.25">
      <c r="A223" t="str">
        <f t="shared" si="30"/>
        <v>M222</v>
      </c>
      <c r="B223" t="str" cm="1">
        <f t="array" aca="1" ref="B223" ca="1">INDEX({"Paracetamol","Amoxicillin","Ibuprofen","Cetirizine","Metformin","Amlodipine","Omeprazole","Azithromycin","Losartan","Vitamin C"}, RANDBETWEEN(1,10))</f>
        <v>Losartan</v>
      </c>
      <c r="C223" t="str" cm="1">
        <f t="array" aca="1" ref="C223" ca="1">INDEX({"Painkiller","Antibiotic","Painkiller","Antihistamine","Diabetes","Hypertension","Antacid","Antibiotic","Hypertension","Supplement"},
MATCH(B223,{"Paracetamol","Amoxicillin","Ibuprofen","Cetirizine","Metformin","Amlodipine","Omeprazole","Azithromycin","Losartan","Vitamin C"},0))</f>
        <v>Hypertension</v>
      </c>
      <c r="D223" t="str" cm="1">
        <f t="array" aca="1" ref="D223" ca="1">INDEX({"MedSupply Co","HealthCorp","PharmaPlus","GlobalMed"}, RANDBETWEEN(1,4))</f>
        <v>GlobalMed</v>
      </c>
      <c r="E223">
        <f t="shared" ca="1" si="31"/>
        <v>165</v>
      </c>
      <c r="F223">
        <f t="shared" ca="1" si="32"/>
        <v>24</v>
      </c>
      <c r="G223">
        <f t="shared" ca="1" si="33"/>
        <v>0.92</v>
      </c>
      <c r="H223" s="1">
        <f t="shared" ca="1" si="34"/>
        <v>46266</v>
      </c>
      <c r="I223" s="1">
        <f t="shared" ca="1" si="35"/>
        <v>45951</v>
      </c>
      <c r="J223">
        <f t="shared" ca="1" si="36"/>
        <v>151.80000000000001</v>
      </c>
      <c r="K223" t="str">
        <f t="shared" ca="1" si="37"/>
        <v>In Stock</v>
      </c>
      <c r="L223" s="2">
        <f t="shared" ca="1" si="38"/>
        <v>147</v>
      </c>
      <c r="M223" t="str">
        <f t="shared" ca="1" si="39"/>
        <v>Safe</v>
      </c>
    </row>
    <row r="224" spans="1:13" x14ac:dyDescent="0.25">
      <c r="A224" t="str">
        <f t="shared" si="30"/>
        <v>M223</v>
      </c>
      <c r="B224" t="str" cm="1">
        <f t="array" aca="1" ref="B224" ca="1">INDEX({"Paracetamol","Amoxicillin","Ibuprofen","Cetirizine","Metformin","Amlodipine","Omeprazole","Azithromycin","Losartan","Vitamin C"}, RANDBETWEEN(1,10))</f>
        <v>Omeprazole</v>
      </c>
      <c r="C224" t="str" cm="1">
        <f t="array" aca="1" ref="C224" ca="1">INDEX({"Painkiller","Antibiotic","Painkiller","Antihistamine","Diabetes","Hypertension","Antacid","Antibiotic","Hypertension","Supplement"},
MATCH(B224,{"Paracetamol","Amoxicillin","Ibuprofen","Cetirizine","Metformin","Amlodipine","Omeprazole","Azithromycin","Losartan","Vitamin C"},0))</f>
        <v>Antacid</v>
      </c>
      <c r="D224" t="str" cm="1">
        <f t="array" aca="1" ref="D224" ca="1">INDEX({"MedSupply Co","HealthCorp","PharmaPlus","GlobalMed"}, RANDBETWEEN(1,4))</f>
        <v>MedSupply Co</v>
      </c>
      <c r="E224">
        <f t="shared" ca="1" si="31"/>
        <v>57</v>
      </c>
      <c r="F224">
        <f t="shared" ca="1" si="32"/>
        <v>35</v>
      </c>
      <c r="G224">
        <f t="shared" ca="1" si="33"/>
        <v>1.25</v>
      </c>
      <c r="H224" s="1">
        <f t="shared" ca="1" si="34"/>
        <v>46312</v>
      </c>
      <c r="I224" s="1">
        <f t="shared" ca="1" si="35"/>
        <v>46118</v>
      </c>
      <c r="J224">
        <f t="shared" ca="1" si="36"/>
        <v>71.25</v>
      </c>
      <c r="K224" t="str">
        <f t="shared" ca="1" si="37"/>
        <v>In Stock</v>
      </c>
      <c r="L224" s="2">
        <f t="shared" ca="1" si="38"/>
        <v>193</v>
      </c>
      <c r="M224" t="str">
        <f t="shared" ca="1" si="39"/>
        <v>Safe</v>
      </c>
    </row>
    <row r="225" spans="1:13" x14ac:dyDescent="0.25">
      <c r="A225" t="str">
        <f t="shared" si="30"/>
        <v>M224</v>
      </c>
      <c r="B225" t="str" cm="1">
        <f t="array" aca="1" ref="B225" ca="1">INDEX({"Paracetamol","Amoxicillin","Ibuprofen","Cetirizine","Metformin","Amlodipine","Omeprazole","Azithromycin","Losartan","Vitamin C"}, RANDBETWEEN(1,10))</f>
        <v>Vitamin C</v>
      </c>
      <c r="C225" t="str" cm="1">
        <f t="array" aca="1" ref="C225" ca="1">INDEX({"Painkiller","Antibiotic","Painkiller","Antihistamine","Diabetes","Hypertension","Antacid","Antibiotic","Hypertension","Supplement"},
MATCH(B225,{"Paracetamol","Amoxicillin","Ibuprofen","Cetirizine","Metformin","Amlodipine","Omeprazole","Azithromycin","Losartan","Vitamin C"},0))</f>
        <v>Supplement</v>
      </c>
      <c r="D225" t="str" cm="1">
        <f t="array" aca="1" ref="D225" ca="1">INDEX({"MedSupply Co","HealthCorp","PharmaPlus","GlobalMed"}, RANDBETWEEN(1,4))</f>
        <v>MedSupply Co</v>
      </c>
      <c r="E225">
        <f t="shared" ca="1" si="31"/>
        <v>148</v>
      </c>
      <c r="F225">
        <f t="shared" ca="1" si="32"/>
        <v>43</v>
      </c>
      <c r="G225">
        <f t="shared" ca="1" si="33"/>
        <v>1.84</v>
      </c>
      <c r="H225" s="1">
        <f t="shared" ca="1" si="34"/>
        <v>46164</v>
      </c>
      <c r="I225" s="1">
        <f t="shared" ca="1" si="35"/>
        <v>46083</v>
      </c>
      <c r="J225">
        <f t="shared" ca="1" si="36"/>
        <v>272.32</v>
      </c>
      <c r="K225" t="str">
        <f t="shared" ca="1" si="37"/>
        <v>In Stock</v>
      </c>
      <c r="L225" s="2">
        <f t="shared" ca="1" si="38"/>
        <v>45</v>
      </c>
      <c r="M225" t="str">
        <f t="shared" ca="1" si="39"/>
        <v>Safe</v>
      </c>
    </row>
    <row r="226" spans="1:13" x14ac:dyDescent="0.25">
      <c r="A226" t="str">
        <f t="shared" si="30"/>
        <v>M225</v>
      </c>
      <c r="B226" t="str" cm="1">
        <f t="array" aca="1" ref="B226" ca="1">INDEX({"Paracetamol","Amoxicillin","Ibuprofen","Cetirizine","Metformin","Amlodipine","Omeprazole","Azithromycin","Losartan","Vitamin C"}, RANDBETWEEN(1,10))</f>
        <v>Azithromycin</v>
      </c>
      <c r="C226" t="str" cm="1">
        <f t="array" aca="1" ref="C226" ca="1">INDEX({"Painkiller","Antibiotic","Painkiller","Antihistamine","Diabetes","Hypertension","Antacid","Antibiotic","Hypertension","Supplement"},
MATCH(B226,{"Paracetamol","Amoxicillin","Ibuprofen","Cetirizine","Metformin","Amlodipine","Omeprazole","Azithromycin","Losartan","Vitamin C"},0))</f>
        <v>Antibiotic</v>
      </c>
      <c r="D226" t="str" cm="1">
        <f t="array" aca="1" ref="D226" ca="1">INDEX({"MedSupply Co","HealthCorp","PharmaPlus","GlobalMed"}, RANDBETWEEN(1,4))</f>
        <v>GlobalMed</v>
      </c>
      <c r="E226">
        <f t="shared" ca="1" si="31"/>
        <v>142</v>
      </c>
      <c r="F226">
        <f t="shared" ca="1" si="32"/>
        <v>43</v>
      </c>
      <c r="G226">
        <f t="shared" ca="1" si="33"/>
        <v>0.63</v>
      </c>
      <c r="H226" s="1">
        <f t="shared" ca="1" si="34"/>
        <v>46240</v>
      </c>
      <c r="I226" s="1">
        <f t="shared" ca="1" si="35"/>
        <v>46108</v>
      </c>
      <c r="J226">
        <f t="shared" ca="1" si="36"/>
        <v>89.46</v>
      </c>
      <c r="K226" t="str">
        <f t="shared" ca="1" si="37"/>
        <v>In Stock</v>
      </c>
      <c r="L226" s="2">
        <f t="shared" ca="1" si="38"/>
        <v>121</v>
      </c>
      <c r="M226" t="str">
        <f t="shared" ca="1" si="39"/>
        <v>Safe</v>
      </c>
    </row>
    <row r="227" spans="1:13" x14ac:dyDescent="0.25">
      <c r="A227" t="str">
        <f t="shared" si="30"/>
        <v>M226</v>
      </c>
      <c r="B227" t="str" cm="1">
        <f t="array" aca="1" ref="B227" ca="1">INDEX({"Paracetamol","Amoxicillin","Ibuprofen","Cetirizine","Metformin","Amlodipine","Omeprazole","Azithromycin","Losartan","Vitamin C"}, RANDBETWEEN(1,10))</f>
        <v>Losartan</v>
      </c>
      <c r="C227" t="str" cm="1">
        <f t="array" aca="1" ref="C227" ca="1">INDEX({"Painkiller","Antibiotic","Painkiller","Antihistamine","Diabetes","Hypertension","Antacid","Antibiotic","Hypertension","Supplement"},
MATCH(B227,{"Paracetamol","Amoxicillin","Ibuprofen","Cetirizine","Metformin","Amlodipine","Omeprazole","Azithromycin","Losartan","Vitamin C"},0))</f>
        <v>Hypertension</v>
      </c>
      <c r="D227" t="str" cm="1">
        <f t="array" aca="1" ref="D227" ca="1">INDEX({"MedSupply Co","HealthCorp","PharmaPlus","GlobalMed"}, RANDBETWEEN(1,4))</f>
        <v>GlobalMed</v>
      </c>
      <c r="E227">
        <f t="shared" ca="1" si="31"/>
        <v>135</v>
      </c>
      <c r="F227">
        <f t="shared" ca="1" si="32"/>
        <v>86</v>
      </c>
      <c r="G227">
        <f t="shared" ca="1" si="33"/>
        <v>1.64</v>
      </c>
      <c r="H227" s="1">
        <f t="shared" ca="1" si="34"/>
        <v>46369</v>
      </c>
      <c r="I227" s="1">
        <f t="shared" ca="1" si="35"/>
        <v>45966</v>
      </c>
      <c r="J227">
        <f t="shared" ca="1" si="36"/>
        <v>221.39999999999998</v>
      </c>
      <c r="K227" t="str">
        <f t="shared" ca="1" si="37"/>
        <v>In Stock</v>
      </c>
      <c r="L227" s="2">
        <f t="shared" ca="1" si="38"/>
        <v>250</v>
      </c>
      <c r="M227" t="str">
        <f t="shared" ca="1" si="39"/>
        <v>Safe</v>
      </c>
    </row>
    <row r="228" spans="1:13" x14ac:dyDescent="0.25">
      <c r="A228" t="str">
        <f t="shared" si="30"/>
        <v>M227</v>
      </c>
      <c r="B228" t="str" cm="1">
        <f t="array" aca="1" ref="B228" ca="1">INDEX({"Paracetamol","Amoxicillin","Ibuprofen","Cetirizine","Metformin","Amlodipine","Omeprazole","Azithromycin","Losartan","Vitamin C"}, RANDBETWEEN(1,10))</f>
        <v>Metformin</v>
      </c>
      <c r="C228" t="str" cm="1">
        <f t="array" aca="1" ref="C228" ca="1">INDEX({"Painkiller","Antibiotic","Painkiller","Antihistamine","Diabetes","Hypertension","Antacid","Antibiotic","Hypertension","Supplement"},
MATCH(B228,{"Paracetamol","Amoxicillin","Ibuprofen","Cetirizine","Metformin","Amlodipine","Omeprazole","Azithromycin","Losartan","Vitamin C"},0))</f>
        <v>Diabetes</v>
      </c>
      <c r="D228" t="str" cm="1">
        <f t="array" aca="1" ref="D228" ca="1">INDEX({"MedSupply Co","HealthCorp","PharmaPlus","GlobalMed"}, RANDBETWEEN(1,4))</f>
        <v>MedSupply Co</v>
      </c>
      <c r="E228">
        <f t="shared" ca="1" si="31"/>
        <v>70</v>
      </c>
      <c r="F228">
        <f t="shared" ca="1" si="32"/>
        <v>68</v>
      </c>
      <c r="G228">
        <f t="shared" ca="1" si="33"/>
        <v>1.62</v>
      </c>
      <c r="H228" s="1">
        <f t="shared" ca="1" si="34"/>
        <v>46354</v>
      </c>
      <c r="I228" s="1">
        <f t="shared" ca="1" si="35"/>
        <v>46006</v>
      </c>
      <c r="J228">
        <f t="shared" ca="1" si="36"/>
        <v>113.4</v>
      </c>
      <c r="K228" t="str">
        <f t="shared" ca="1" si="37"/>
        <v>In Stock</v>
      </c>
      <c r="L228" s="2">
        <f t="shared" ca="1" si="38"/>
        <v>235</v>
      </c>
      <c r="M228" t="str">
        <f t="shared" ca="1" si="39"/>
        <v>Safe</v>
      </c>
    </row>
    <row r="229" spans="1:13" x14ac:dyDescent="0.25">
      <c r="A229" t="str">
        <f t="shared" si="30"/>
        <v>M228</v>
      </c>
      <c r="B229" t="str" cm="1">
        <f t="array" aca="1" ref="B229" ca="1">INDEX({"Paracetamol","Amoxicillin","Ibuprofen","Cetirizine","Metformin","Amlodipine","Omeprazole","Azithromycin","Losartan","Vitamin C"}, RANDBETWEEN(1,10))</f>
        <v>Amlodipine</v>
      </c>
      <c r="C229" t="str" cm="1">
        <f t="array" aca="1" ref="C229" ca="1">INDEX({"Painkiller","Antibiotic","Painkiller","Antihistamine","Diabetes","Hypertension","Antacid","Antibiotic","Hypertension","Supplement"},
MATCH(B229,{"Paracetamol","Amoxicillin","Ibuprofen","Cetirizine","Metformin","Amlodipine","Omeprazole","Azithromycin","Losartan","Vitamin C"},0))</f>
        <v>Hypertension</v>
      </c>
      <c r="D229" t="str" cm="1">
        <f t="array" aca="1" ref="D229" ca="1">INDEX({"MedSupply Co","HealthCorp","PharmaPlus","GlobalMed"}, RANDBETWEEN(1,4))</f>
        <v>MedSupply Co</v>
      </c>
      <c r="E229">
        <f t="shared" ca="1" si="31"/>
        <v>51</v>
      </c>
      <c r="F229">
        <f t="shared" ca="1" si="32"/>
        <v>28</v>
      </c>
      <c r="G229">
        <f t="shared" ca="1" si="33"/>
        <v>0.91</v>
      </c>
      <c r="H229" s="1">
        <f t="shared" ca="1" si="34"/>
        <v>46240</v>
      </c>
      <c r="I229" s="1">
        <f t="shared" ca="1" si="35"/>
        <v>46117</v>
      </c>
      <c r="J229">
        <f t="shared" ca="1" si="36"/>
        <v>46.410000000000004</v>
      </c>
      <c r="K229" t="str">
        <f t="shared" ca="1" si="37"/>
        <v>In Stock</v>
      </c>
      <c r="L229" s="2">
        <f t="shared" ca="1" si="38"/>
        <v>121</v>
      </c>
      <c r="M229" t="str">
        <f t="shared" ca="1" si="39"/>
        <v>Safe</v>
      </c>
    </row>
    <row r="230" spans="1:13" x14ac:dyDescent="0.25">
      <c r="A230" t="str">
        <f t="shared" si="30"/>
        <v>M229</v>
      </c>
      <c r="B230" t="str" cm="1">
        <f t="array" aca="1" ref="B230" ca="1">INDEX({"Paracetamol","Amoxicillin","Ibuprofen","Cetirizine","Metformin","Amlodipine","Omeprazole","Azithromycin","Losartan","Vitamin C"}, RANDBETWEEN(1,10))</f>
        <v>Amlodipine</v>
      </c>
      <c r="C230" t="str" cm="1">
        <f t="array" aca="1" ref="C230" ca="1">INDEX({"Painkiller","Antibiotic","Painkiller","Antihistamine","Diabetes","Hypertension","Antacid","Antibiotic","Hypertension","Supplement"},
MATCH(B230,{"Paracetamol","Amoxicillin","Ibuprofen","Cetirizine","Metformin","Amlodipine","Omeprazole","Azithromycin","Losartan","Vitamin C"},0))</f>
        <v>Hypertension</v>
      </c>
      <c r="D230" t="str" cm="1">
        <f t="array" aca="1" ref="D230" ca="1">INDEX({"MedSupply Co","HealthCorp","PharmaPlus","GlobalMed"}, RANDBETWEEN(1,4))</f>
        <v>PharmaPlus</v>
      </c>
      <c r="E230">
        <f t="shared" ca="1" si="31"/>
        <v>50</v>
      </c>
      <c r="F230">
        <f t="shared" ca="1" si="32"/>
        <v>92</v>
      </c>
      <c r="G230">
        <f t="shared" ca="1" si="33"/>
        <v>1.53</v>
      </c>
      <c r="H230" s="1">
        <f t="shared" ca="1" si="34"/>
        <v>46402</v>
      </c>
      <c r="I230" s="1">
        <f t="shared" ca="1" si="35"/>
        <v>46107</v>
      </c>
      <c r="J230">
        <f t="shared" ca="1" si="36"/>
        <v>76.5</v>
      </c>
      <c r="K230" t="str">
        <f t="shared" ca="1" si="37"/>
        <v>Low Stock</v>
      </c>
      <c r="L230" s="2">
        <f t="shared" ca="1" si="38"/>
        <v>283</v>
      </c>
      <c r="M230" t="str">
        <f t="shared" ca="1" si="39"/>
        <v>Safe</v>
      </c>
    </row>
    <row r="231" spans="1:13" x14ac:dyDescent="0.25">
      <c r="A231" t="str">
        <f t="shared" si="30"/>
        <v>M230</v>
      </c>
      <c r="B231" t="str" cm="1">
        <f t="array" aca="1" ref="B231" ca="1">INDEX({"Paracetamol","Amoxicillin","Ibuprofen","Cetirizine","Metformin","Amlodipine","Omeprazole","Azithromycin","Losartan","Vitamin C"}, RANDBETWEEN(1,10))</f>
        <v>Paracetamol</v>
      </c>
      <c r="C231" t="str" cm="1">
        <f t="array" aca="1" ref="C231" ca="1">INDEX({"Painkiller","Antibiotic","Painkiller","Antihistamine","Diabetes","Hypertension","Antacid","Antibiotic","Hypertension","Supplement"},
MATCH(B231,{"Paracetamol","Amoxicillin","Ibuprofen","Cetirizine","Metformin","Amlodipine","Omeprazole","Azithromycin","Losartan","Vitamin C"},0))</f>
        <v>Painkiller</v>
      </c>
      <c r="D231" t="str" cm="1">
        <f t="array" aca="1" ref="D231" ca="1">INDEX({"MedSupply Co","HealthCorp","PharmaPlus","GlobalMed"}, RANDBETWEEN(1,4))</f>
        <v>HealthCorp</v>
      </c>
      <c r="E231">
        <f t="shared" ca="1" si="31"/>
        <v>48</v>
      </c>
      <c r="F231">
        <f t="shared" ca="1" si="32"/>
        <v>72</v>
      </c>
      <c r="G231">
        <f t="shared" ca="1" si="33"/>
        <v>1.37</v>
      </c>
      <c r="H231" s="1">
        <f t="shared" ca="1" si="34"/>
        <v>46197</v>
      </c>
      <c r="I231" s="1">
        <f t="shared" ca="1" si="35"/>
        <v>46006</v>
      </c>
      <c r="J231">
        <f t="shared" ca="1" si="36"/>
        <v>65.760000000000005</v>
      </c>
      <c r="K231" t="str">
        <f t="shared" ca="1" si="37"/>
        <v>Low Stock</v>
      </c>
      <c r="L231" s="2">
        <f t="shared" ca="1" si="38"/>
        <v>78</v>
      </c>
      <c r="M231" t="str">
        <f t="shared" ca="1" si="39"/>
        <v>Safe</v>
      </c>
    </row>
    <row r="232" spans="1:13" x14ac:dyDescent="0.25">
      <c r="A232" t="str">
        <f t="shared" si="30"/>
        <v>M231</v>
      </c>
      <c r="B232" t="str" cm="1">
        <f t="array" aca="1" ref="B232" ca="1">INDEX({"Paracetamol","Amoxicillin","Ibuprofen","Cetirizine","Metformin","Amlodipine","Omeprazole","Azithromycin","Losartan","Vitamin C"}, RANDBETWEEN(1,10))</f>
        <v>Ibuprofen</v>
      </c>
      <c r="C232" t="str" cm="1">
        <f t="array" aca="1" ref="C232" ca="1">INDEX({"Painkiller","Antibiotic","Painkiller","Antihistamine","Diabetes","Hypertension","Antacid","Antibiotic","Hypertension","Supplement"},
MATCH(B232,{"Paracetamol","Amoxicillin","Ibuprofen","Cetirizine","Metformin","Amlodipine","Omeprazole","Azithromycin","Losartan","Vitamin C"},0))</f>
        <v>Painkiller</v>
      </c>
      <c r="D232" t="str" cm="1">
        <f t="array" aca="1" ref="D232" ca="1">INDEX({"MedSupply Co","HealthCorp","PharmaPlus","GlobalMed"}, RANDBETWEEN(1,4))</f>
        <v>MedSupply Co</v>
      </c>
      <c r="E232">
        <f t="shared" ca="1" si="31"/>
        <v>10</v>
      </c>
      <c r="F232">
        <f t="shared" ca="1" si="32"/>
        <v>90</v>
      </c>
      <c r="G232">
        <f t="shared" ca="1" si="33"/>
        <v>0.67</v>
      </c>
      <c r="H232" s="1">
        <f t="shared" ca="1" si="34"/>
        <v>46162</v>
      </c>
      <c r="I232" s="1">
        <f t="shared" ca="1" si="35"/>
        <v>45954</v>
      </c>
      <c r="J232">
        <f t="shared" ca="1" si="36"/>
        <v>6.7</v>
      </c>
      <c r="K232" t="str">
        <f t="shared" ca="1" si="37"/>
        <v>Low Stock</v>
      </c>
      <c r="L232" s="2">
        <f t="shared" ca="1" si="38"/>
        <v>43</v>
      </c>
      <c r="M232" t="str">
        <f t="shared" ca="1" si="39"/>
        <v>Safe</v>
      </c>
    </row>
    <row r="233" spans="1:13" x14ac:dyDescent="0.25">
      <c r="A233" t="str">
        <f t="shared" si="30"/>
        <v>M232</v>
      </c>
      <c r="B233" t="str" cm="1">
        <f t="array" aca="1" ref="B233" ca="1">INDEX({"Paracetamol","Amoxicillin","Ibuprofen","Cetirizine","Metformin","Amlodipine","Omeprazole","Azithromycin","Losartan","Vitamin C"}, RANDBETWEEN(1,10))</f>
        <v>Azithromycin</v>
      </c>
      <c r="C233" t="str" cm="1">
        <f t="array" aca="1" ref="C233" ca="1">INDEX({"Painkiller","Antibiotic","Painkiller","Antihistamine","Diabetes","Hypertension","Antacid","Antibiotic","Hypertension","Supplement"},
MATCH(B233,{"Paracetamol","Amoxicillin","Ibuprofen","Cetirizine","Metformin","Amlodipine","Omeprazole","Azithromycin","Losartan","Vitamin C"},0))</f>
        <v>Antibiotic</v>
      </c>
      <c r="D233" t="str" cm="1">
        <f t="array" aca="1" ref="D233" ca="1">INDEX({"MedSupply Co","HealthCorp","PharmaPlus","GlobalMed"}, RANDBETWEEN(1,4))</f>
        <v>HealthCorp</v>
      </c>
      <c r="E233">
        <f t="shared" ca="1" si="31"/>
        <v>165</v>
      </c>
      <c r="F233">
        <f t="shared" ca="1" si="32"/>
        <v>37</v>
      </c>
      <c r="G233">
        <f t="shared" ca="1" si="33"/>
        <v>1.82</v>
      </c>
      <c r="H233" s="1">
        <f t="shared" ca="1" si="34"/>
        <v>46356</v>
      </c>
      <c r="I233" s="1">
        <f t="shared" ca="1" si="35"/>
        <v>46040</v>
      </c>
      <c r="J233">
        <f t="shared" ca="1" si="36"/>
        <v>300.3</v>
      </c>
      <c r="K233" t="str">
        <f t="shared" ca="1" si="37"/>
        <v>In Stock</v>
      </c>
      <c r="L233" s="2">
        <f t="shared" ca="1" si="38"/>
        <v>237</v>
      </c>
      <c r="M233" t="str">
        <f t="shared" ca="1" si="39"/>
        <v>Safe</v>
      </c>
    </row>
    <row r="234" spans="1:13" x14ac:dyDescent="0.25">
      <c r="A234" t="str">
        <f t="shared" si="30"/>
        <v>M233</v>
      </c>
      <c r="B234" t="str" cm="1">
        <f t="array" aca="1" ref="B234" ca="1">INDEX({"Paracetamol","Amoxicillin","Ibuprofen","Cetirizine","Metformin","Amlodipine","Omeprazole","Azithromycin","Losartan","Vitamin C"}, RANDBETWEEN(1,10))</f>
        <v>Vitamin C</v>
      </c>
      <c r="C234" t="str" cm="1">
        <f t="array" aca="1" ref="C234" ca="1">INDEX({"Painkiller","Antibiotic","Painkiller","Antihistamine","Diabetes","Hypertension","Antacid","Antibiotic","Hypertension","Supplement"},
MATCH(B234,{"Paracetamol","Amoxicillin","Ibuprofen","Cetirizine","Metformin","Amlodipine","Omeprazole","Azithromycin","Losartan","Vitamin C"},0))</f>
        <v>Supplement</v>
      </c>
      <c r="D234" t="str" cm="1">
        <f t="array" aca="1" ref="D234" ca="1">INDEX({"MedSupply Co","HealthCorp","PharmaPlus","GlobalMed"}, RANDBETWEEN(1,4))</f>
        <v>MedSupply Co</v>
      </c>
      <c r="E234">
        <f t="shared" ca="1" si="31"/>
        <v>71</v>
      </c>
      <c r="F234">
        <f t="shared" ca="1" si="32"/>
        <v>72</v>
      </c>
      <c r="G234">
        <f t="shared" ca="1" si="33"/>
        <v>1.1100000000000001</v>
      </c>
      <c r="H234" s="1">
        <f t="shared" ca="1" si="34"/>
        <v>46409</v>
      </c>
      <c r="I234" s="1">
        <f t="shared" ca="1" si="35"/>
        <v>46050</v>
      </c>
      <c r="J234">
        <f t="shared" ca="1" si="36"/>
        <v>78.81</v>
      </c>
      <c r="K234" t="str">
        <f t="shared" ca="1" si="37"/>
        <v>Low Stock</v>
      </c>
      <c r="L234" s="2">
        <f t="shared" ca="1" si="38"/>
        <v>290</v>
      </c>
      <c r="M234" t="str">
        <f t="shared" ca="1" si="39"/>
        <v>Safe</v>
      </c>
    </row>
    <row r="235" spans="1:13" x14ac:dyDescent="0.25">
      <c r="A235" t="str">
        <f t="shared" si="30"/>
        <v>M234</v>
      </c>
      <c r="B235" t="str" cm="1">
        <f t="array" aca="1" ref="B235" ca="1">INDEX({"Paracetamol","Amoxicillin","Ibuprofen","Cetirizine","Metformin","Amlodipine","Omeprazole","Azithromycin","Losartan","Vitamin C"}, RANDBETWEEN(1,10))</f>
        <v>Ibuprofen</v>
      </c>
      <c r="C235" t="str" cm="1">
        <f t="array" aca="1" ref="C235" ca="1">INDEX({"Painkiller","Antibiotic","Painkiller","Antihistamine","Diabetes","Hypertension","Antacid","Antibiotic","Hypertension","Supplement"},
MATCH(B235,{"Paracetamol","Amoxicillin","Ibuprofen","Cetirizine","Metformin","Amlodipine","Omeprazole","Azithromycin","Losartan","Vitamin C"},0))</f>
        <v>Painkiller</v>
      </c>
      <c r="D235" t="str" cm="1">
        <f t="array" aca="1" ref="D235" ca="1">INDEX({"MedSupply Co","HealthCorp","PharmaPlus","GlobalMed"}, RANDBETWEEN(1,4))</f>
        <v>GlobalMed</v>
      </c>
      <c r="E235">
        <f t="shared" ca="1" si="31"/>
        <v>77</v>
      </c>
      <c r="F235">
        <f t="shared" ca="1" si="32"/>
        <v>85</v>
      </c>
      <c r="G235">
        <f t="shared" ca="1" si="33"/>
        <v>1.98</v>
      </c>
      <c r="H235" s="1">
        <f t="shared" ca="1" si="34"/>
        <v>46463</v>
      </c>
      <c r="I235" s="1">
        <f t="shared" ca="1" si="35"/>
        <v>46016</v>
      </c>
      <c r="J235">
        <f t="shared" ca="1" si="36"/>
        <v>152.46</v>
      </c>
      <c r="K235" t="str">
        <f t="shared" ca="1" si="37"/>
        <v>Low Stock</v>
      </c>
      <c r="L235" s="2">
        <f t="shared" ca="1" si="38"/>
        <v>344</v>
      </c>
      <c r="M235" t="str">
        <f t="shared" ca="1" si="39"/>
        <v>Safe</v>
      </c>
    </row>
    <row r="236" spans="1:13" x14ac:dyDescent="0.25">
      <c r="A236" t="str">
        <f t="shared" si="30"/>
        <v>M235</v>
      </c>
      <c r="B236" t="str" cm="1">
        <f t="array" aca="1" ref="B236" ca="1">INDEX({"Paracetamol","Amoxicillin","Ibuprofen","Cetirizine","Metformin","Amlodipine","Omeprazole","Azithromycin","Losartan","Vitamin C"}, RANDBETWEEN(1,10))</f>
        <v>Paracetamol</v>
      </c>
      <c r="C236" t="str" cm="1">
        <f t="array" aca="1" ref="C236" ca="1">INDEX({"Painkiller","Antibiotic","Painkiller","Antihistamine","Diabetes","Hypertension","Antacid","Antibiotic","Hypertension","Supplement"},
MATCH(B236,{"Paracetamol","Amoxicillin","Ibuprofen","Cetirizine","Metformin","Amlodipine","Omeprazole","Azithromycin","Losartan","Vitamin C"},0))</f>
        <v>Painkiller</v>
      </c>
      <c r="D236" t="str" cm="1">
        <f t="array" aca="1" ref="D236" ca="1">INDEX({"MedSupply Co","HealthCorp","PharmaPlus","GlobalMed"}, RANDBETWEEN(1,4))</f>
        <v>HealthCorp</v>
      </c>
      <c r="E236">
        <f t="shared" ca="1" si="31"/>
        <v>71</v>
      </c>
      <c r="F236">
        <f t="shared" ca="1" si="32"/>
        <v>24</v>
      </c>
      <c r="G236">
        <f t="shared" ca="1" si="33"/>
        <v>1.75</v>
      </c>
      <c r="H236" s="1">
        <f t="shared" ca="1" si="34"/>
        <v>46319</v>
      </c>
      <c r="I236" s="1">
        <f t="shared" ca="1" si="35"/>
        <v>45960</v>
      </c>
      <c r="J236">
        <f t="shared" ca="1" si="36"/>
        <v>124.25</v>
      </c>
      <c r="K236" t="str">
        <f t="shared" ca="1" si="37"/>
        <v>In Stock</v>
      </c>
      <c r="L236" s="2">
        <f t="shared" ca="1" si="38"/>
        <v>200</v>
      </c>
      <c r="M236" t="str">
        <f t="shared" ca="1" si="39"/>
        <v>Safe</v>
      </c>
    </row>
    <row r="237" spans="1:13" x14ac:dyDescent="0.25">
      <c r="A237" t="str">
        <f t="shared" si="30"/>
        <v>M236</v>
      </c>
      <c r="B237" t="str" cm="1">
        <f t="array" aca="1" ref="B237" ca="1">INDEX({"Paracetamol","Amoxicillin","Ibuprofen","Cetirizine","Metformin","Amlodipine","Omeprazole","Azithromycin","Losartan","Vitamin C"}, RANDBETWEEN(1,10))</f>
        <v>Cetirizine</v>
      </c>
      <c r="C237" t="str" cm="1">
        <f t="array" aca="1" ref="C237" ca="1">INDEX({"Painkiller","Antibiotic","Painkiller","Antihistamine","Diabetes","Hypertension","Antacid","Antibiotic","Hypertension","Supplement"},
MATCH(B237,{"Paracetamol","Amoxicillin","Ibuprofen","Cetirizine","Metformin","Amlodipine","Omeprazole","Azithromycin","Losartan","Vitamin C"},0))</f>
        <v>Antihistamine</v>
      </c>
      <c r="D237" t="str" cm="1">
        <f t="array" aca="1" ref="D237" ca="1">INDEX({"MedSupply Co","HealthCorp","PharmaPlus","GlobalMed"}, RANDBETWEEN(1,4))</f>
        <v>MedSupply Co</v>
      </c>
      <c r="E237">
        <f t="shared" ca="1" si="31"/>
        <v>144</v>
      </c>
      <c r="F237">
        <f t="shared" ca="1" si="32"/>
        <v>49</v>
      </c>
      <c r="G237">
        <f t="shared" ca="1" si="33"/>
        <v>1.2</v>
      </c>
      <c r="H237" s="1">
        <f t="shared" ca="1" si="34"/>
        <v>46432</v>
      </c>
      <c r="I237" s="1">
        <f t="shared" ca="1" si="35"/>
        <v>46097</v>
      </c>
      <c r="J237">
        <f t="shared" ca="1" si="36"/>
        <v>172.79999999999998</v>
      </c>
      <c r="K237" t="str">
        <f t="shared" ca="1" si="37"/>
        <v>In Stock</v>
      </c>
      <c r="L237" s="2">
        <f t="shared" ca="1" si="38"/>
        <v>313</v>
      </c>
      <c r="M237" t="str">
        <f t="shared" ca="1" si="39"/>
        <v>Safe</v>
      </c>
    </row>
    <row r="238" spans="1:13" x14ac:dyDescent="0.25">
      <c r="A238" t="str">
        <f t="shared" si="30"/>
        <v>M237</v>
      </c>
      <c r="B238" t="str" cm="1">
        <f t="array" aca="1" ref="B238" ca="1">INDEX({"Paracetamol","Amoxicillin","Ibuprofen","Cetirizine","Metformin","Amlodipine","Omeprazole","Azithromycin","Losartan","Vitamin C"}, RANDBETWEEN(1,10))</f>
        <v>Amoxicillin</v>
      </c>
      <c r="C238" t="str" cm="1">
        <f t="array" aca="1" ref="C238" ca="1">INDEX({"Painkiller","Antibiotic","Painkiller","Antihistamine","Diabetes","Hypertension","Antacid","Antibiotic","Hypertension","Supplement"},
MATCH(B238,{"Paracetamol","Amoxicillin","Ibuprofen","Cetirizine","Metformin","Amlodipine","Omeprazole","Azithromycin","Losartan","Vitamin C"},0))</f>
        <v>Antibiotic</v>
      </c>
      <c r="D238" t="str" cm="1">
        <f t="array" aca="1" ref="D238" ca="1">INDEX({"MedSupply Co","HealthCorp","PharmaPlus","GlobalMed"}, RANDBETWEEN(1,4))</f>
        <v>GlobalMed</v>
      </c>
      <c r="E238">
        <f t="shared" ca="1" si="31"/>
        <v>3</v>
      </c>
      <c r="F238">
        <f t="shared" ca="1" si="32"/>
        <v>44</v>
      </c>
      <c r="G238">
        <f t="shared" ca="1" si="33"/>
        <v>0.99</v>
      </c>
      <c r="H238" s="1">
        <f t="shared" ca="1" si="34"/>
        <v>46351</v>
      </c>
      <c r="I238" s="1">
        <f t="shared" ca="1" si="35"/>
        <v>46047</v>
      </c>
      <c r="J238">
        <f t="shared" ca="1" si="36"/>
        <v>2.9699999999999998</v>
      </c>
      <c r="K238" t="str">
        <f t="shared" ca="1" si="37"/>
        <v>Low Stock</v>
      </c>
      <c r="L238" s="2">
        <f t="shared" ca="1" si="38"/>
        <v>232</v>
      </c>
      <c r="M238" t="str">
        <f t="shared" ca="1" si="39"/>
        <v>Safe</v>
      </c>
    </row>
    <row r="239" spans="1:13" x14ac:dyDescent="0.25">
      <c r="A239" t="str">
        <f t="shared" si="30"/>
        <v>M238</v>
      </c>
      <c r="B239" t="str" cm="1">
        <f t="array" aca="1" ref="B239" ca="1">INDEX({"Paracetamol","Amoxicillin","Ibuprofen","Cetirizine","Metformin","Amlodipine","Omeprazole","Azithromycin","Losartan","Vitamin C"}, RANDBETWEEN(1,10))</f>
        <v>Amlodipine</v>
      </c>
      <c r="C239" t="str" cm="1">
        <f t="array" aca="1" ref="C239" ca="1">INDEX({"Painkiller","Antibiotic","Painkiller","Antihistamine","Diabetes","Hypertension","Antacid","Antibiotic","Hypertension","Supplement"},
MATCH(B239,{"Paracetamol","Amoxicillin","Ibuprofen","Cetirizine","Metformin","Amlodipine","Omeprazole","Azithromycin","Losartan","Vitamin C"},0))</f>
        <v>Hypertension</v>
      </c>
      <c r="D239" t="str" cm="1">
        <f t="array" aca="1" ref="D239" ca="1">INDEX({"MedSupply Co","HealthCorp","PharmaPlus","GlobalMed"}, RANDBETWEEN(1,4))</f>
        <v>GlobalMed</v>
      </c>
      <c r="E239">
        <f t="shared" ca="1" si="31"/>
        <v>99</v>
      </c>
      <c r="F239">
        <f t="shared" ca="1" si="32"/>
        <v>64</v>
      </c>
      <c r="G239">
        <f t="shared" ca="1" si="33"/>
        <v>1.9</v>
      </c>
      <c r="H239" s="1">
        <f t="shared" ca="1" si="34"/>
        <v>46459</v>
      </c>
      <c r="I239" s="1">
        <f t="shared" ca="1" si="35"/>
        <v>46111</v>
      </c>
      <c r="J239">
        <f t="shared" ca="1" si="36"/>
        <v>188.1</v>
      </c>
      <c r="K239" t="str">
        <f t="shared" ca="1" si="37"/>
        <v>In Stock</v>
      </c>
      <c r="L239" s="2">
        <f t="shared" ca="1" si="38"/>
        <v>340</v>
      </c>
      <c r="M239" t="str">
        <f t="shared" ca="1" si="39"/>
        <v>Safe</v>
      </c>
    </row>
    <row r="240" spans="1:13" x14ac:dyDescent="0.25">
      <c r="A240" t="str">
        <f t="shared" si="30"/>
        <v>M239</v>
      </c>
      <c r="B240" t="str" cm="1">
        <f t="array" aca="1" ref="B240" ca="1">INDEX({"Paracetamol","Amoxicillin","Ibuprofen","Cetirizine","Metformin","Amlodipine","Omeprazole","Azithromycin","Losartan","Vitamin C"}, RANDBETWEEN(1,10))</f>
        <v>Ibuprofen</v>
      </c>
      <c r="C240" t="str" cm="1">
        <f t="array" aca="1" ref="C240" ca="1">INDEX({"Painkiller","Antibiotic","Painkiller","Antihistamine","Diabetes","Hypertension","Antacid","Antibiotic","Hypertension","Supplement"},
MATCH(B240,{"Paracetamol","Amoxicillin","Ibuprofen","Cetirizine","Metformin","Amlodipine","Omeprazole","Azithromycin","Losartan","Vitamin C"},0))</f>
        <v>Painkiller</v>
      </c>
      <c r="D240" t="str" cm="1">
        <f t="array" aca="1" ref="D240" ca="1">INDEX({"MedSupply Co","HealthCorp","PharmaPlus","GlobalMed"}, RANDBETWEEN(1,4))</f>
        <v>HealthCorp</v>
      </c>
      <c r="E240">
        <f t="shared" ca="1" si="31"/>
        <v>144</v>
      </c>
      <c r="F240">
        <f t="shared" ca="1" si="32"/>
        <v>71</v>
      </c>
      <c r="G240">
        <f t="shared" ca="1" si="33"/>
        <v>0.83</v>
      </c>
      <c r="H240" s="1">
        <f t="shared" ca="1" si="34"/>
        <v>46227</v>
      </c>
      <c r="I240" s="1">
        <f t="shared" ca="1" si="35"/>
        <v>45980</v>
      </c>
      <c r="J240">
        <f t="shared" ca="1" si="36"/>
        <v>119.52</v>
      </c>
      <c r="K240" t="str">
        <f t="shared" ca="1" si="37"/>
        <v>In Stock</v>
      </c>
      <c r="L240" s="2">
        <f t="shared" ca="1" si="38"/>
        <v>108</v>
      </c>
      <c r="M240" t="str">
        <f t="shared" ca="1" si="39"/>
        <v>Safe</v>
      </c>
    </row>
    <row r="241" spans="1:13" x14ac:dyDescent="0.25">
      <c r="A241" t="str">
        <f t="shared" si="30"/>
        <v>M240</v>
      </c>
      <c r="B241" t="str" cm="1">
        <f t="array" aca="1" ref="B241" ca="1">INDEX({"Paracetamol","Amoxicillin","Ibuprofen","Cetirizine","Metformin","Amlodipine","Omeprazole","Azithromycin","Losartan","Vitamin C"}, RANDBETWEEN(1,10))</f>
        <v>Azithromycin</v>
      </c>
      <c r="C241" t="str" cm="1">
        <f t="array" aca="1" ref="C241" ca="1">INDEX({"Painkiller","Antibiotic","Painkiller","Antihistamine","Diabetes","Hypertension","Antacid","Antibiotic","Hypertension","Supplement"},
MATCH(B241,{"Paracetamol","Amoxicillin","Ibuprofen","Cetirizine","Metformin","Amlodipine","Omeprazole","Azithromycin","Losartan","Vitamin C"},0))</f>
        <v>Antibiotic</v>
      </c>
      <c r="D241" t="str" cm="1">
        <f t="array" aca="1" ref="D241" ca="1">INDEX({"MedSupply Co","HealthCorp","PharmaPlus","GlobalMed"}, RANDBETWEEN(1,4))</f>
        <v>MedSupply Co</v>
      </c>
      <c r="E241">
        <f t="shared" ca="1" si="31"/>
        <v>125</v>
      </c>
      <c r="F241">
        <f t="shared" ca="1" si="32"/>
        <v>94</v>
      </c>
      <c r="G241">
        <f t="shared" ca="1" si="33"/>
        <v>0.55000000000000004</v>
      </c>
      <c r="H241" s="1">
        <f t="shared" ca="1" si="34"/>
        <v>46366</v>
      </c>
      <c r="I241" s="1">
        <f t="shared" ca="1" si="35"/>
        <v>46041</v>
      </c>
      <c r="J241">
        <f t="shared" ca="1" si="36"/>
        <v>68.75</v>
      </c>
      <c r="K241" t="str">
        <f t="shared" ca="1" si="37"/>
        <v>In Stock</v>
      </c>
      <c r="L241" s="2">
        <f t="shared" ca="1" si="38"/>
        <v>247</v>
      </c>
      <c r="M241" t="str">
        <f t="shared" ca="1" si="39"/>
        <v>Safe</v>
      </c>
    </row>
    <row r="242" spans="1:13" x14ac:dyDescent="0.25">
      <c r="A242" t="str">
        <f t="shared" si="30"/>
        <v>M241</v>
      </c>
      <c r="B242" t="str" cm="1">
        <f t="array" aca="1" ref="B242" ca="1">INDEX({"Paracetamol","Amoxicillin","Ibuprofen","Cetirizine","Metformin","Amlodipine","Omeprazole","Azithromycin","Losartan","Vitamin C"}, RANDBETWEEN(1,10))</f>
        <v>Metformin</v>
      </c>
      <c r="C242" t="str" cm="1">
        <f t="array" aca="1" ref="C242" ca="1">INDEX({"Painkiller","Antibiotic","Painkiller","Antihistamine","Diabetes","Hypertension","Antacid","Antibiotic","Hypertension","Supplement"},
MATCH(B242,{"Paracetamol","Amoxicillin","Ibuprofen","Cetirizine","Metformin","Amlodipine","Omeprazole","Azithromycin","Losartan","Vitamin C"},0))</f>
        <v>Diabetes</v>
      </c>
      <c r="D242" t="str" cm="1">
        <f t="array" aca="1" ref="D242" ca="1">INDEX({"MedSupply Co","HealthCorp","PharmaPlus","GlobalMed"}, RANDBETWEEN(1,4))</f>
        <v>PharmaPlus</v>
      </c>
      <c r="E242">
        <f t="shared" ca="1" si="31"/>
        <v>18</v>
      </c>
      <c r="F242">
        <f t="shared" ca="1" si="32"/>
        <v>88</v>
      </c>
      <c r="G242">
        <f t="shared" ca="1" si="33"/>
        <v>1.6</v>
      </c>
      <c r="H242" s="1">
        <f t="shared" ca="1" si="34"/>
        <v>46233</v>
      </c>
      <c r="I242" s="1">
        <f t="shared" ca="1" si="35"/>
        <v>46112</v>
      </c>
      <c r="J242">
        <f t="shared" ca="1" si="36"/>
        <v>28.8</v>
      </c>
      <c r="K242" t="str">
        <f t="shared" ca="1" si="37"/>
        <v>Low Stock</v>
      </c>
      <c r="L242" s="2">
        <f t="shared" ca="1" si="38"/>
        <v>114</v>
      </c>
      <c r="M242" t="str">
        <f t="shared" ca="1" si="39"/>
        <v>Safe</v>
      </c>
    </row>
    <row r="243" spans="1:13" x14ac:dyDescent="0.25">
      <c r="A243" t="str">
        <f t="shared" si="30"/>
        <v>M242</v>
      </c>
      <c r="B243" t="str" cm="1">
        <f t="array" aca="1" ref="B243" ca="1">INDEX({"Paracetamol","Amoxicillin","Ibuprofen","Cetirizine","Metformin","Amlodipine","Omeprazole","Azithromycin","Losartan","Vitamin C"}, RANDBETWEEN(1,10))</f>
        <v>Losartan</v>
      </c>
      <c r="C243" t="str" cm="1">
        <f t="array" aca="1" ref="C243" ca="1">INDEX({"Painkiller","Antibiotic","Painkiller","Antihistamine","Diabetes","Hypertension","Antacid","Antibiotic","Hypertension","Supplement"},
MATCH(B243,{"Paracetamol","Amoxicillin","Ibuprofen","Cetirizine","Metformin","Amlodipine","Omeprazole","Azithromycin","Losartan","Vitamin C"},0))</f>
        <v>Hypertension</v>
      </c>
      <c r="D243" t="str" cm="1">
        <f t="array" aca="1" ref="D243" ca="1">INDEX({"MedSupply Co","HealthCorp","PharmaPlus","GlobalMed"}, RANDBETWEEN(1,4))</f>
        <v>MedSupply Co</v>
      </c>
      <c r="E243">
        <f t="shared" ca="1" si="31"/>
        <v>59</v>
      </c>
      <c r="F243">
        <f t="shared" ca="1" si="32"/>
        <v>36</v>
      </c>
      <c r="G243">
        <f t="shared" ca="1" si="33"/>
        <v>1.02</v>
      </c>
      <c r="H243" s="1">
        <f t="shared" ca="1" si="34"/>
        <v>46453</v>
      </c>
      <c r="I243" s="1">
        <f t="shared" ca="1" si="35"/>
        <v>45984</v>
      </c>
      <c r="J243">
        <f t="shared" ca="1" si="36"/>
        <v>60.18</v>
      </c>
      <c r="K243" t="str">
        <f t="shared" ca="1" si="37"/>
        <v>In Stock</v>
      </c>
      <c r="L243" s="2">
        <f t="shared" ca="1" si="38"/>
        <v>334</v>
      </c>
      <c r="M243" t="str">
        <f t="shared" ca="1" si="39"/>
        <v>Safe</v>
      </c>
    </row>
    <row r="244" spans="1:13" x14ac:dyDescent="0.25">
      <c r="A244" t="str">
        <f t="shared" si="30"/>
        <v>M243</v>
      </c>
      <c r="B244" t="str" cm="1">
        <f t="array" aca="1" ref="B244" ca="1">INDEX({"Paracetamol","Amoxicillin","Ibuprofen","Cetirizine","Metformin","Amlodipine","Omeprazole","Azithromycin","Losartan","Vitamin C"}, RANDBETWEEN(1,10))</f>
        <v>Cetirizine</v>
      </c>
      <c r="C244" t="str" cm="1">
        <f t="array" aca="1" ref="C244" ca="1">INDEX({"Painkiller","Antibiotic","Painkiller","Antihistamine","Diabetes","Hypertension","Antacid","Antibiotic","Hypertension","Supplement"},
MATCH(B244,{"Paracetamol","Amoxicillin","Ibuprofen","Cetirizine","Metformin","Amlodipine","Omeprazole","Azithromycin","Losartan","Vitamin C"},0))</f>
        <v>Antihistamine</v>
      </c>
      <c r="D244" t="str" cm="1">
        <f t="array" aca="1" ref="D244" ca="1">INDEX({"MedSupply Co","HealthCorp","PharmaPlus","GlobalMed"}, RANDBETWEEN(1,4))</f>
        <v>HealthCorp</v>
      </c>
      <c r="E244">
        <f t="shared" ca="1" si="31"/>
        <v>135</v>
      </c>
      <c r="F244">
        <f t="shared" ca="1" si="32"/>
        <v>56</v>
      </c>
      <c r="G244">
        <f t="shared" ca="1" si="33"/>
        <v>1.21</v>
      </c>
      <c r="H244" s="1">
        <f t="shared" ca="1" si="34"/>
        <v>46249</v>
      </c>
      <c r="I244" s="1">
        <f t="shared" ca="1" si="35"/>
        <v>45991</v>
      </c>
      <c r="J244">
        <f t="shared" ca="1" si="36"/>
        <v>163.35</v>
      </c>
      <c r="K244" t="str">
        <f t="shared" ca="1" si="37"/>
        <v>In Stock</v>
      </c>
      <c r="L244" s="2">
        <f t="shared" ca="1" si="38"/>
        <v>130</v>
      </c>
      <c r="M244" t="str">
        <f t="shared" ca="1" si="39"/>
        <v>Safe</v>
      </c>
    </row>
    <row r="245" spans="1:13" x14ac:dyDescent="0.25">
      <c r="A245" t="str">
        <f t="shared" si="30"/>
        <v>M244</v>
      </c>
      <c r="B245" t="str" cm="1">
        <f t="array" aca="1" ref="B245" ca="1">INDEX({"Paracetamol","Amoxicillin","Ibuprofen","Cetirizine","Metformin","Amlodipine","Omeprazole","Azithromycin","Losartan","Vitamin C"}, RANDBETWEEN(1,10))</f>
        <v>Omeprazole</v>
      </c>
      <c r="C245" t="str" cm="1">
        <f t="array" aca="1" ref="C245" ca="1">INDEX({"Painkiller","Antibiotic","Painkiller","Antihistamine","Diabetes","Hypertension","Antacid","Antibiotic","Hypertension","Supplement"},
MATCH(B245,{"Paracetamol","Amoxicillin","Ibuprofen","Cetirizine","Metformin","Amlodipine","Omeprazole","Azithromycin","Losartan","Vitamin C"},0))</f>
        <v>Antacid</v>
      </c>
      <c r="D245" t="str" cm="1">
        <f t="array" aca="1" ref="D245" ca="1">INDEX({"MedSupply Co","HealthCorp","PharmaPlus","GlobalMed"}, RANDBETWEEN(1,4))</f>
        <v>HealthCorp</v>
      </c>
      <c r="E245">
        <f t="shared" ca="1" si="31"/>
        <v>161</v>
      </c>
      <c r="F245">
        <f t="shared" ca="1" si="32"/>
        <v>46</v>
      </c>
      <c r="G245">
        <f t="shared" ca="1" si="33"/>
        <v>1.64</v>
      </c>
      <c r="H245" s="1">
        <f t="shared" ca="1" si="34"/>
        <v>46366</v>
      </c>
      <c r="I245" s="1">
        <f t="shared" ca="1" si="35"/>
        <v>45977</v>
      </c>
      <c r="J245">
        <f t="shared" ca="1" si="36"/>
        <v>264.03999999999996</v>
      </c>
      <c r="K245" t="str">
        <f t="shared" ca="1" si="37"/>
        <v>In Stock</v>
      </c>
      <c r="L245" s="2">
        <f t="shared" ca="1" si="38"/>
        <v>247</v>
      </c>
      <c r="M245" t="str">
        <f t="shared" ca="1" si="39"/>
        <v>Safe</v>
      </c>
    </row>
    <row r="246" spans="1:13" x14ac:dyDescent="0.25">
      <c r="A246" t="str">
        <f t="shared" si="30"/>
        <v>M245</v>
      </c>
      <c r="B246" t="str" cm="1">
        <f t="array" aca="1" ref="B246" ca="1">INDEX({"Paracetamol","Amoxicillin","Ibuprofen","Cetirizine","Metformin","Amlodipine","Omeprazole","Azithromycin","Losartan","Vitamin C"}, RANDBETWEEN(1,10))</f>
        <v>Amlodipine</v>
      </c>
      <c r="C246" t="str" cm="1">
        <f t="array" aca="1" ref="C246" ca="1">INDEX({"Painkiller","Antibiotic","Painkiller","Antihistamine","Diabetes","Hypertension","Antacid","Antibiotic","Hypertension","Supplement"},
MATCH(B246,{"Paracetamol","Amoxicillin","Ibuprofen","Cetirizine","Metformin","Amlodipine","Omeprazole","Azithromycin","Losartan","Vitamin C"},0))</f>
        <v>Hypertension</v>
      </c>
      <c r="D246" t="str" cm="1">
        <f t="array" aca="1" ref="D246" ca="1">INDEX({"MedSupply Co","HealthCorp","PharmaPlus","GlobalMed"}, RANDBETWEEN(1,4))</f>
        <v>PharmaPlus</v>
      </c>
      <c r="E246">
        <f t="shared" ca="1" si="31"/>
        <v>146</v>
      </c>
      <c r="F246">
        <f t="shared" ca="1" si="32"/>
        <v>95</v>
      </c>
      <c r="G246">
        <f t="shared" ca="1" si="33"/>
        <v>0.63</v>
      </c>
      <c r="H246" s="1">
        <f t="shared" ca="1" si="34"/>
        <v>46448</v>
      </c>
      <c r="I246" s="1">
        <f t="shared" ca="1" si="35"/>
        <v>45962</v>
      </c>
      <c r="J246">
        <f t="shared" ca="1" si="36"/>
        <v>91.98</v>
      </c>
      <c r="K246" t="str">
        <f t="shared" ca="1" si="37"/>
        <v>In Stock</v>
      </c>
      <c r="L246" s="2">
        <f t="shared" ca="1" si="38"/>
        <v>329</v>
      </c>
      <c r="M246" t="str">
        <f t="shared" ca="1" si="39"/>
        <v>Safe</v>
      </c>
    </row>
    <row r="247" spans="1:13" x14ac:dyDescent="0.25">
      <c r="A247" t="str">
        <f t="shared" si="30"/>
        <v>M246</v>
      </c>
      <c r="B247" t="str" cm="1">
        <f t="array" aca="1" ref="B247" ca="1">INDEX({"Paracetamol","Amoxicillin","Ibuprofen","Cetirizine","Metformin","Amlodipine","Omeprazole","Azithromycin","Losartan","Vitamin C"}, RANDBETWEEN(1,10))</f>
        <v>Omeprazole</v>
      </c>
      <c r="C247" t="str" cm="1">
        <f t="array" aca="1" ref="C247" ca="1">INDEX({"Painkiller","Antibiotic","Painkiller","Antihistamine","Diabetes","Hypertension","Antacid","Antibiotic","Hypertension","Supplement"},
MATCH(B247,{"Paracetamol","Amoxicillin","Ibuprofen","Cetirizine","Metformin","Amlodipine","Omeprazole","Azithromycin","Losartan","Vitamin C"},0))</f>
        <v>Antacid</v>
      </c>
      <c r="D247" t="str" cm="1">
        <f t="array" aca="1" ref="D247" ca="1">INDEX({"MedSupply Co","HealthCorp","PharmaPlus","GlobalMed"}, RANDBETWEEN(1,4))</f>
        <v>PharmaPlus</v>
      </c>
      <c r="E247">
        <f t="shared" ca="1" si="31"/>
        <v>116</v>
      </c>
      <c r="F247">
        <f t="shared" ca="1" si="32"/>
        <v>52</v>
      </c>
      <c r="G247">
        <f t="shared" ca="1" si="33"/>
        <v>1.57</v>
      </c>
      <c r="H247" s="1">
        <f t="shared" ca="1" si="34"/>
        <v>46412</v>
      </c>
      <c r="I247" s="1">
        <f t="shared" ca="1" si="35"/>
        <v>46075</v>
      </c>
      <c r="J247">
        <f t="shared" ca="1" si="36"/>
        <v>182.12</v>
      </c>
      <c r="K247" t="str">
        <f t="shared" ca="1" si="37"/>
        <v>In Stock</v>
      </c>
      <c r="L247" s="2">
        <f t="shared" ca="1" si="38"/>
        <v>293</v>
      </c>
      <c r="M247" t="str">
        <f t="shared" ca="1" si="39"/>
        <v>Safe</v>
      </c>
    </row>
    <row r="248" spans="1:13" x14ac:dyDescent="0.25">
      <c r="A248" t="str">
        <f t="shared" si="30"/>
        <v>M247</v>
      </c>
      <c r="B248" t="str" cm="1">
        <f t="array" aca="1" ref="B248" ca="1">INDEX({"Paracetamol","Amoxicillin","Ibuprofen","Cetirizine","Metformin","Amlodipine","Omeprazole","Azithromycin","Losartan","Vitamin C"}, RANDBETWEEN(1,10))</f>
        <v>Omeprazole</v>
      </c>
      <c r="C248" t="str" cm="1">
        <f t="array" aca="1" ref="C248" ca="1">INDEX({"Painkiller","Antibiotic","Painkiller","Antihistamine","Diabetes","Hypertension","Antacid","Antibiotic","Hypertension","Supplement"},
MATCH(B248,{"Paracetamol","Amoxicillin","Ibuprofen","Cetirizine","Metformin","Amlodipine","Omeprazole","Azithromycin","Losartan","Vitamin C"},0))</f>
        <v>Antacid</v>
      </c>
      <c r="D248" t="str" cm="1">
        <f t="array" aca="1" ref="D248" ca="1">INDEX({"MedSupply Co","HealthCorp","PharmaPlus","GlobalMed"}, RANDBETWEEN(1,4))</f>
        <v>MedSupply Co</v>
      </c>
      <c r="E248">
        <f t="shared" ca="1" si="31"/>
        <v>46</v>
      </c>
      <c r="F248">
        <f t="shared" ca="1" si="32"/>
        <v>78</v>
      </c>
      <c r="G248">
        <f t="shared" ca="1" si="33"/>
        <v>1.88</v>
      </c>
      <c r="H248" s="1">
        <f t="shared" ca="1" si="34"/>
        <v>46368</v>
      </c>
      <c r="I248" s="1">
        <f t="shared" ca="1" si="35"/>
        <v>46047</v>
      </c>
      <c r="J248">
        <f t="shared" ca="1" si="36"/>
        <v>86.47999999999999</v>
      </c>
      <c r="K248" t="str">
        <f t="shared" ca="1" si="37"/>
        <v>Low Stock</v>
      </c>
      <c r="L248" s="2">
        <f t="shared" ca="1" si="38"/>
        <v>249</v>
      </c>
      <c r="M248" t="str">
        <f t="shared" ca="1" si="39"/>
        <v>Safe</v>
      </c>
    </row>
    <row r="249" spans="1:13" x14ac:dyDescent="0.25">
      <c r="A249" t="str">
        <f t="shared" si="30"/>
        <v>M248</v>
      </c>
      <c r="B249" t="str" cm="1">
        <f t="array" aca="1" ref="B249" ca="1">INDEX({"Paracetamol","Amoxicillin","Ibuprofen","Cetirizine","Metformin","Amlodipine","Omeprazole","Azithromycin","Losartan","Vitamin C"}, RANDBETWEEN(1,10))</f>
        <v>Amlodipine</v>
      </c>
      <c r="C249" t="str" cm="1">
        <f t="array" aca="1" ref="C249" ca="1">INDEX({"Painkiller","Antibiotic","Painkiller","Antihistamine","Diabetes","Hypertension","Antacid","Antibiotic","Hypertension","Supplement"},
MATCH(B249,{"Paracetamol","Amoxicillin","Ibuprofen","Cetirizine","Metformin","Amlodipine","Omeprazole","Azithromycin","Losartan","Vitamin C"},0))</f>
        <v>Hypertension</v>
      </c>
      <c r="D249" t="str" cm="1">
        <f t="array" aca="1" ref="D249" ca="1">INDEX({"MedSupply Co","HealthCorp","PharmaPlus","GlobalMed"}, RANDBETWEEN(1,4))</f>
        <v>HealthCorp</v>
      </c>
      <c r="E249">
        <f t="shared" ca="1" si="31"/>
        <v>101</v>
      </c>
      <c r="F249">
        <f t="shared" ca="1" si="32"/>
        <v>24</v>
      </c>
      <c r="G249">
        <f t="shared" ca="1" si="33"/>
        <v>1.46</v>
      </c>
      <c r="H249" s="1">
        <f t="shared" ca="1" si="34"/>
        <v>46375</v>
      </c>
      <c r="I249" s="1">
        <f t="shared" ca="1" si="35"/>
        <v>46075</v>
      </c>
      <c r="J249">
        <f t="shared" ca="1" si="36"/>
        <v>147.46</v>
      </c>
      <c r="K249" t="str">
        <f t="shared" ca="1" si="37"/>
        <v>In Stock</v>
      </c>
      <c r="L249" s="2">
        <f t="shared" ca="1" si="38"/>
        <v>256</v>
      </c>
      <c r="M249" t="str">
        <f t="shared" ca="1" si="39"/>
        <v>Safe</v>
      </c>
    </row>
    <row r="250" spans="1:13" x14ac:dyDescent="0.25">
      <c r="A250" t="str">
        <f t="shared" si="30"/>
        <v>M249</v>
      </c>
      <c r="B250" t="str" cm="1">
        <f t="array" aca="1" ref="B250" ca="1">INDEX({"Paracetamol","Amoxicillin","Ibuprofen","Cetirizine","Metformin","Amlodipine","Omeprazole","Azithromycin","Losartan","Vitamin C"}, RANDBETWEEN(1,10))</f>
        <v>Ibuprofen</v>
      </c>
      <c r="C250" t="str" cm="1">
        <f t="array" aca="1" ref="C250" ca="1">INDEX({"Painkiller","Antibiotic","Painkiller","Antihistamine","Diabetes","Hypertension","Antacid","Antibiotic","Hypertension","Supplement"},
MATCH(B250,{"Paracetamol","Amoxicillin","Ibuprofen","Cetirizine","Metformin","Amlodipine","Omeprazole","Azithromycin","Losartan","Vitamin C"},0))</f>
        <v>Painkiller</v>
      </c>
      <c r="D250" t="str" cm="1">
        <f t="array" aca="1" ref="D250" ca="1">INDEX({"MedSupply Co","HealthCorp","PharmaPlus","GlobalMed"}, RANDBETWEEN(1,4))</f>
        <v>MedSupply Co</v>
      </c>
      <c r="E250">
        <f t="shared" ca="1" si="31"/>
        <v>175</v>
      </c>
      <c r="F250">
        <f t="shared" ca="1" si="32"/>
        <v>40</v>
      </c>
      <c r="G250">
        <f t="shared" ca="1" si="33"/>
        <v>0.67</v>
      </c>
      <c r="H250" s="1">
        <f t="shared" ca="1" si="34"/>
        <v>46403</v>
      </c>
      <c r="I250" s="1">
        <f t="shared" ca="1" si="35"/>
        <v>46006</v>
      </c>
      <c r="J250">
        <f t="shared" ca="1" si="36"/>
        <v>117.25</v>
      </c>
      <c r="K250" t="str">
        <f t="shared" ca="1" si="37"/>
        <v>In Stock</v>
      </c>
      <c r="L250" s="2">
        <f t="shared" ca="1" si="38"/>
        <v>284</v>
      </c>
      <c r="M250" t="str">
        <f t="shared" ca="1" si="39"/>
        <v>Safe</v>
      </c>
    </row>
    <row r="251" spans="1:13" x14ac:dyDescent="0.25">
      <c r="A251" t="str">
        <f t="shared" si="30"/>
        <v>M250</v>
      </c>
      <c r="B251" t="str" cm="1">
        <f t="array" aca="1" ref="B251" ca="1">INDEX({"Paracetamol","Amoxicillin","Ibuprofen","Cetirizine","Metformin","Amlodipine","Omeprazole","Azithromycin","Losartan","Vitamin C"}, RANDBETWEEN(1,10))</f>
        <v>Omeprazole</v>
      </c>
      <c r="C251" t="str" cm="1">
        <f t="array" aca="1" ref="C251" ca="1">INDEX({"Painkiller","Antibiotic","Painkiller","Antihistamine","Diabetes","Hypertension","Antacid","Antibiotic","Hypertension","Supplement"},
MATCH(B251,{"Paracetamol","Amoxicillin","Ibuprofen","Cetirizine","Metformin","Amlodipine","Omeprazole","Azithromycin","Losartan","Vitamin C"},0))</f>
        <v>Antacid</v>
      </c>
      <c r="D251" t="str" cm="1">
        <f t="array" aca="1" ref="D251" ca="1">INDEX({"MedSupply Co","HealthCorp","PharmaPlus","GlobalMed"}, RANDBETWEEN(1,4))</f>
        <v>HealthCorp</v>
      </c>
      <c r="E251">
        <f t="shared" ca="1" si="31"/>
        <v>6</v>
      </c>
      <c r="F251">
        <f t="shared" ca="1" si="32"/>
        <v>42</v>
      </c>
      <c r="G251">
        <f t="shared" ca="1" si="33"/>
        <v>1.04</v>
      </c>
      <c r="H251" s="1">
        <f t="shared" ca="1" si="34"/>
        <v>46275</v>
      </c>
      <c r="I251" s="1">
        <f t="shared" ca="1" si="35"/>
        <v>46105</v>
      </c>
      <c r="J251">
        <f t="shared" ca="1" si="36"/>
        <v>6.24</v>
      </c>
      <c r="K251" t="str">
        <f t="shared" ca="1" si="37"/>
        <v>Low Stock</v>
      </c>
      <c r="L251" s="2">
        <f t="shared" ca="1" si="38"/>
        <v>156</v>
      </c>
      <c r="M251" t="str">
        <f t="shared" ca="1" si="39"/>
        <v>Safe</v>
      </c>
    </row>
    <row r="252" spans="1:13" x14ac:dyDescent="0.25">
      <c r="A252" t="str">
        <f t="shared" si="30"/>
        <v>M251</v>
      </c>
      <c r="B252" t="str" cm="1">
        <f t="array" aca="1" ref="B252" ca="1">INDEX({"Paracetamol","Amoxicillin","Ibuprofen","Cetirizine","Metformin","Amlodipine","Omeprazole","Azithromycin","Losartan","Vitamin C"}, RANDBETWEEN(1,10))</f>
        <v>Paracetamol</v>
      </c>
      <c r="C252" t="str" cm="1">
        <f t="array" aca="1" ref="C252" ca="1">INDEX({"Painkiller","Antibiotic","Painkiller","Antihistamine","Diabetes","Hypertension","Antacid","Antibiotic","Hypertension","Supplement"},
MATCH(B252,{"Paracetamol","Amoxicillin","Ibuprofen","Cetirizine","Metformin","Amlodipine","Omeprazole","Azithromycin","Losartan","Vitamin C"},0))</f>
        <v>Painkiller</v>
      </c>
      <c r="D252" t="str" cm="1">
        <f t="array" aca="1" ref="D252" ca="1">INDEX({"MedSupply Co","HealthCorp","PharmaPlus","GlobalMed"}, RANDBETWEEN(1,4))</f>
        <v>GlobalMed</v>
      </c>
      <c r="E252">
        <f t="shared" ca="1" si="31"/>
        <v>96</v>
      </c>
      <c r="F252">
        <f t="shared" ca="1" si="32"/>
        <v>58</v>
      </c>
      <c r="G252">
        <f t="shared" ca="1" si="33"/>
        <v>0.84</v>
      </c>
      <c r="H252" s="1">
        <f t="shared" ca="1" si="34"/>
        <v>46274</v>
      </c>
      <c r="I252" s="1">
        <f t="shared" ca="1" si="35"/>
        <v>46063</v>
      </c>
      <c r="J252">
        <f t="shared" ca="1" si="36"/>
        <v>80.64</v>
      </c>
      <c r="K252" t="str">
        <f t="shared" ca="1" si="37"/>
        <v>In Stock</v>
      </c>
      <c r="L252" s="2">
        <f t="shared" ca="1" si="38"/>
        <v>155</v>
      </c>
      <c r="M252" t="str">
        <f t="shared" ca="1" si="39"/>
        <v>Safe</v>
      </c>
    </row>
    <row r="253" spans="1:13" x14ac:dyDescent="0.25">
      <c r="A253" t="str">
        <f t="shared" si="30"/>
        <v>M252</v>
      </c>
      <c r="B253" t="str" cm="1">
        <f t="array" aca="1" ref="B253" ca="1">INDEX({"Paracetamol","Amoxicillin","Ibuprofen","Cetirizine","Metformin","Amlodipine","Omeprazole","Azithromycin","Losartan","Vitamin C"}, RANDBETWEEN(1,10))</f>
        <v>Metformin</v>
      </c>
      <c r="C253" t="str" cm="1">
        <f t="array" aca="1" ref="C253" ca="1">INDEX({"Painkiller","Antibiotic","Painkiller","Antihistamine","Diabetes","Hypertension","Antacid","Antibiotic","Hypertension","Supplement"},
MATCH(B253,{"Paracetamol","Amoxicillin","Ibuprofen","Cetirizine","Metformin","Amlodipine","Omeprazole","Azithromycin","Losartan","Vitamin C"},0))</f>
        <v>Diabetes</v>
      </c>
      <c r="D253" t="str" cm="1">
        <f t="array" aca="1" ref="D253" ca="1">INDEX({"MedSupply Co","HealthCorp","PharmaPlus","GlobalMed"}, RANDBETWEEN(1,4))</f>
        <v>MedSupply Co</v>
      </c>
      <c r="E253">
        <f t="shared" ca="1" si="31"/>
        <v>33</v>
      </c>
      <c r="F253">
        <f t="shared" ca="1" si="32"/>
        <v>92</v>
      </c>
      <c r="G253">
        <f t="shared" ca="1" si="33"/>
        <v>1.82</v>
      </c>
      <c r="H253" s="1">
        <f t="shared" ca="1" si="34"/>
        <v>46172</v>
      </c>
      <c r="I253" s="1">
        <f t="shared" ca="1" si="35"/>
        <v>46024</v>
      </c>
      <c r="J253">
        <f t="shared" ca="1" si="36"/>
        <v>60.06</v>
      </c>
      <c r="K253" t="str">
        <f t="shared" ca="1" si="37"/>
        <v>Low Stock</v>
      </c>
      <c r="L253" s="2">
        <f t="shared" ca="1" si="38"/>
        <v>53</v>
      </c>
      <c r="M253" t="str">
        <f t="shared" ca="1" si="39"/>
        <v>Safe</v>
      </c>
    </row>
    <row r="254" spans="1:13" x14ac:dyDescent="0.25">
      <c r="A254" t="str">
        <f t="shared" si="30"/>
        <v>M253</v>
      </c>
      <c r="B254" t="str" cm="1">
        <f t="array" aca="1" ref="B254" ca="1">INDEX({"Paracetamol","Amoxicillin","Ibuprofen","Cetirizine","Metformin","Amlodipine","Omeprazole","Azithromycin","Losartan","Vitamin C"}, RANDBETWEEN(1,10))</f>
        <v>Amlodipine</v>
      </c>
      <c r="C254" t="str" cm="1">
        <f t="array" aca="1" ref="C254" ca="1">INDEX({"Painkiller","Antibiotic","Painkiller","Antihistamine","Diabetes","Hypertension","Antacid","Antibiotic","Hypertension","Supplement"},
MATCH(B254,{"Paracetamol","Amoxicillin","Ibuprofen","Cetirizine","Metformin","Amlodipine","Omeprazole","Azithromycin","Losartan","Vitamin C"},0))</f>
        <v>Hypertension</v>
      </c>
      <c r="D254" t="str" cm="1">
        <f t="array" aca="1" ref="D254" ca="1">INDEX({"MedSupply Co","HealthCorp","PharmaPlus","GlobalMed"}, RANDBETWEEN(1,4))</f>
        <v>MedSupply Co</v>
      </c>
      <c r="E254">
        <f t="shared" ca="1" si="31"/>
        <v>158</v>
      </c>
      <c r="F254">
        <f t="shared" ca="1" si="32"/>
        <v>71</v>
      </c>
      <c r="G254">
        <f t="shared" ca="1" si="33"/>
        <v>1.91</v>
      </c>
      <c r="H254" s="1">
        <f t="shared" ca="1" si="34"/>
        <v>46271</v>
      </c>
      <c r="I254" s="1">
        <f t="shared" ca="1" si="35"/>
        <v>46011</v>
      </c>
      <c r="J254">
        <f t="shared" ca="1" si="36"/>
        <v>301.77999999999997</v>
      </c>
      <c r="K254" t="str">
        <f t="shared" ca="1" si="37"/>
        <v>In Stock</v>
      </c>
      <c r="L254" s="2">
        <f t="shared" ca="1" si="38"/>
        <v>152</v>
      </c>
      <c r="M254" t="str">
        <f t="shared" ca="1" si="39"/>
        <v>Safe</v>
      </c>
    </row>
    <row r="255" spans="1:13" x14ac:dyDescent="0.25">
      <c r="A255" t="str">
        <f t="shared" si="30"/>
        <v>M254</v>
      </c>
      <c r="B255" t="str" cm="1">
        <f t="array" aca="1" ref="B255" ca="1">INDEX({"Paracetamol","Amoxicillin","Ibuprofen","Cetirizine","Metformin","Amlodipine","Omeprazole","Azithromycin","Losartan","Vitamin C"}, RANDBETWEEN(1,10))</f>
        <v>Amlodipine</v>
      </c>
      <c r="C255" t="str" cm="1">
        <f t="array" aca="1" ref="C255" ca="1">INDEX({"Painkiller","Antibiotic","Painkiller","Antihistamine","Diabetes","Hypertension","Antacid","Antibiotic","Hypertension","Supplement"},
MATCH(B255,{"Paracetamol","Amoxicillin","Ibuprofen","Cetirizine","Metformin","Amlodipine","Omeprazole","Azithromycin","Losartan","Vitamin C"},0))</f>
        <v>Hypertension</v>
      </c>
      <c r="D255" t="str" cm="1">
        <f t="array" aca="1" ref="D255" ca="1">INDEX({"MedSupply Co","HealthCorp","PharmaPlus","GlobalMed"}, RANDBETWEEN(1,4))</f>
        <v>MedSupply Co</v>
      </c>
      <c r="E255">
        <f t="shared" ca="1" si="31"/>
        <v>18</v>
      </c>
      <c r="F255">
        <f t="shared" ca="1" si="32"/>
        <v>59</v>
      </c>
      <c r="G255">
        <f t="shared" ca="1" si="33"/>
        <v>1.86</v>
      </c>
      <c r="H255" s="1">
        <f t="shared" ca="1" si="34"/>
        <v>46473</v>
      </c>
      <c r="I255" s="1">
        <f t="shared" ca="1" si="35"/>
        <v>46114</v>
      </c>
      <c r="J255">
        <f t="shared" ca="1" si="36"/>
        <v>33.480000000000004</v>
      </c>
      <c r="K255" t="str">
        <f t="shared" ca="1" si="37"/>
        <v>Low Stock</v>
      </c>
      <c r="L255" s="2">
        <f t="shared" ca="1" si="38"/>
        <v>354</v>
      </c>
      <c r="M255" t="str">
        <f t="shared" ca="1" si="39"/>
        <v>Safe</v>
      </c>
    </row>
    <row r="256" spans="1:13" x14ac:dyDescent="0.25">
      <c r="A256" t="str">
        <f t="shared" si="30"/>
        <v>M255</v>
      </c>
      <c r="B256" t="str" cm="1">
        <f t="array" aca="1" ref="B256" ca="1">INDEX({"Paracetamol","Amoxicillin","Ibuprofen","Cetirizine","Metformin","Amlodipine","Omeprazole","Azithromycin","Losartan","Vitamin C"}, RANDBETWEEN(1,10))</f>
        <v>Vitamin C</v>
      </c>
      <c r="C256" t="str" cm="1">
        <f t="array" aca="1" ref="C256" ca="1">INDEX({"Painkiller","Antibiotic","Painkiller","Antihistamine","Diabetes","Hypertension","Antacid","Antibiotic","Hypertension","Supplement"},
MATCH(B256,{"Paracetamol","Amoxicillin","Ibuprofen","Cetirizine","Metformin","Amlodipine","Omeprazole","Azithromycin","Losartan","Vitamin C"},0))</f>
        <v>Supplement</v>
      </c>
      <c r="D256" t="str" cm="1">
        <f t="array" aca="1" ref="D256" ca="1">INDEX({"MedSupply Co","HealthCorp","PharmaPlus","GlobalMed"}, RANDBETWEEN(1,4))</f>
        <v>MedSupply Co</v>
      </c>
      <c r="E256">
        <f t="shared" ca="1" si="31"/>
        <v>21</v>
      </c>
      <c r="F256">
        <f t="shared" ca="1" si="32"/>
        <v>62</v>
      </c>
      <c r="G256">
        <f t="shared" ca="1" si="33"/>
        <v>1.31</v>
      </c>
      <c r="H256" s="1">
        <f t="shared" ca="1" si="34"/>
        <v>46337</v>
      </c>
      <c r="I256" s="1">
        <f t="shared" ca="1" si="35"/>
        <v>46072</v>
      </c>
      <c r="J256">
        <f t="shared" ca="1" si="36"/>
        <v>27.51</v>
      </c>
      <c r="K256" t="str">
        <f t="shared" ca="1" si="37"/>
        <v>Low Stock</v>
      </c>
      <c r="L256" s="2">
        <f t="shared" ca="1" si="38"/>
        <v>218</v>
      </c>
      <c r="M256" t="str">
        <f t="shared" ca="1" si="39"/>
        <v>Safe</v>
      </c>
    </row>
    <row r="257" spans="1:13" x14ac:dyDescent="0.25">
      <c r="A257" t="str">
        <f t="shared" si="30"/>
        <v>M256</v>
      </c>
      <c r="B257" t="str" cm="1">
        <f t="array" aca="1" ref="B257" ca="1">INDEX({"Paracetamol","Amoxicillin","Ibuprofen","Cetirizine","Metformin","Amlodipine","Omeprazole","Azithromycin","Losartan","Vitamin C"}, RANDBETWEEN(1,10))</f>
        <v>Metformin</v>
      </c>
      <c r="C257" t="str" cm="1">
        <f t="array" aca="1" ref="C257" ca="1">INDEX({"Painkiller","Antibiotic","Painkiller","Antihistamine","Diabetes","Hypertension","Antacid","Antibiotic","Hypertension","Supplement"},
MATCH(B257,{"Paracetamol","Amoxicillin","Ibuprofen","Cetirizine","Metformin","Amlodipine","Omeprazole","Azithromycin","Losartan","Vitamin C"},0))</f>
        <v>Diabetes</v>
      </c>
      <c r="D257" t="str" cm="1">
        <f t="array" aca="1" ref="D257" ca="1">INDEX({"MedSupply Co","HealthCorp","PharmaPlus","GlobalMed"}, RANDBETWEEN(1,4))</f>
        <v>HealthCorp</v>
      </c>
      <c r="E257">
        <f t="shared" ca="1" si="31"/>
        <v>162</v>
      </c>
      <c r="F257">
        <f t="shared" ca="1" si="32"/>
        <v>38</v>
      </c>
      <c r="G257">
        <f t="shared" ca="1" si="33"/>
        <v>1.27</v>
      </c>
      <c r="H257" s="1">
        <f t="shared" ca="1" si="34"/>
        <v>46181</v>
      </c>
      <c r="I257" s="1">
        <f t="shared" ca="1" si="35"/>
        <v>46095</v>
      </c>
      <c r="J257">
        <f t="shared" ca="1" si="36"/>
        <v>205.74</v>
      </c>
      <c r="K257" t="str">
        <f t="shared" ca="1" si="37"/>
        <v>In Stock</v>
      </c>
      <c r="L257" s="2">
        <f t="shared" ca="1" si="38"/>
        <v>62</v>
      </c>
      <c r="M257" t="str">
        <f t="shared" ca="1" si="39"/>
        <v>Safe</v>
      </c>
    </row>
    <row r="258" spans="1:13" x14ac:dyDescent="0.25">
      <c r="A258" t="str">
        <f t="shared" si="30"/>
        <v>M257</v>
      </c>
      <c r="B258" t="str" cm="1">
        <f t="array" aca="1" ref="B258" ca="1">INDEX({"Paracetamol","Amoxicillin","Ibuprofen","Cetirizine","Metformin","Amlodipine","Omeprazole","Azithromycin","Losartan","Vitamin C"}, RANDBETWEEN(1,10))</f>
        <v>Paracetamol</v>
      </c>
      <c r="C258" t="str" cm="1">
        <f t="array" aca="1" ref="C258" ca="1">INDEX({"Painkiller","Antibiotic","Painkiller","Antihistamine","Diabetes","Hypertension","Antacid","Antibiotic","Hypertension","Supplement"},
MATCH(B258,{"Paracetamol","Amoxicillin","Ibuprofen","Cetirizine","Metformin","Amlodipine","Omeprazole","Azithromycin","Losartan","Vitamin C"},0))</f>
        <v>Painkiller</v>
      </c>
      <c r="D258" t="str" cm="1">
        <f t="array" aca="1" ref="D258" ca="1">INDEX({"MedSupply Co","HealthCorp","PharmaPlus","GlobalMed"}, RANDBETWEEN(1,4))</f>
        <v>GlobalMed</v>
      </c>
      <c r="E258">
        <f t="shared" ca="1" si="31"/>
        <v>118</v>
      </c>
      <c r="F258">
        <f t="shared" ca="1" si="32"/>
        <v>94</v>
      </c>
      <c r="G258">
        <f t="shared" ca="1" si="33"/>
        <v>1.8</v>
      </c>
      <c r="H258" s="1">
        <f t="shared" ca="1" si="34"/>
        <v>46241</v>
      </c>
      <c r="I258" s="1">
        <f t="shared" ca="1" si="35"/>
        <v>46111</v>
      </c>
      <c r="J258">
        <f t="shared" ca="1" si="36"/>
        <v>212.4</v>
      </c>
      <c r="K258" t="str">
        <f t="shared" ca="1" si="37"/>
        <v>In Stock</v>
      </c>
      <c r="L258" s="2">
        <f t="shared" ca="1" si="38"/>
        <v>122</v>
      </c>
      <c r="M258" t="str">
        <f t="shared" ca="1" si="39"/>
        <v>Safe</v>
      </c>
    </row>
    <row r="259" spans="1:13" x14ac:dyDescent="0.25">
      <c r="A259" t="str">
        <f t="shared" ref="A259:A322" si="40">"M"&amp;TEXT(ROW(A258),"000")</f>
        <v>M258</v>
      </c>
      <c r="B259" t="str" cm="1">
        <f t="array" aca="1" ref="B259" ca="1">INDEX({"Paracetamol","Amoxicillin","Ibuprofen","Cetirizine","Metformin","Amlodipine","Omeprazole","Azithromycin","Losartan","Vitamin C"}, RANDBETWEEN(1,10))</f>
        <v>Amlodipine</v>
      </c>
      <c r="C259" t="str" cm="1">
        <f t="array" aca="1" ref="C259" ca="1">INDEX({"Painkiller","Antibiotic","Painkiller","Antihistamine","Diabetes","Hypertension","Antacid","Antibiotic","Hypertension","Supplement"},
MATCH(B259,{"Paracetamol","Amoxicillin","Ibuprofen","Cetirizine","Metformin","Amlodipine","Omeprazole","Azithromycin","Losartan","Vitamin C"},0))</f>
        <v>Hypertension</v>
      </c>
      <c r="D259" t="str" cm="1">
        <f t="array" aca="1" ref="D259" ca="1">INDEX({"MedSupply Co","HealthCorp","PharmaPlus","GlobalMed"}, RANDBETWEEN(1,4))</f>
        <v>HealthCorp</v>
      </c>
      <c r="E259">
        <f t="shared" ref="E259:E322" ca="1" si="41">RANDBETWEEN(0,200)</f>
        <v>194</v>
      </c>
      <c r="F259">
        <f t="shared" ref="F259:F322" ca="1" si="42">RANDBETWEEN(20,100)</f>
        <v>49</v>
      </c>
      <c r="G259">
        <f t="shared" ref="G259:G322" ca="1" si="43">ROUND(RANDBETWEEN(50,200)/100,2)</f>
        <v>0.65</v>
      </c>
      <c r="H259" s="1">
        <f t="shared" ref="H259:H322" ca="1" si="44">TODAY()+RANDBETWEEN(30,365)</f>
        <v>46473</v>
      </c>
      <c r="I259" s="1">
        <f t="shared" ref="I259:I322" ca="1" si="45">TODAY()-RANDBETWEEN(1,180)</f>
        <v>45981</v>
      </c>
      <c r="J259">
        <f t="shared" ref="J259:J322" ca="1" si="46">E259*G259</f>
        <v>126.10000000000001</v>
      </c>
      <c r="K259" t="str">
        <f t="shared" ref="K259:K322" ca="1" si="47">IF(E259=0,"Out of Stock",IF(E259&lt;F259,"Low Stock","In Stock"))</f>
        <v>In Stock</v>
      </c>
      <c r="L259" s="2">
        <f t="shared" ref="L259:L322" ca="1" si="48">H259-TODAY()</f>
        <v>354</v>
      </c>
      <c r="M259" t="str">
        <f t="shared" ref="M259:M322" ca="1" si="49">IF(H259&lt;=TODAY()+30,"Expiring Soon","Safe")</f>
        <v>Safe</v>
      </c>
    </row>
    <row r="260" spans="1:13" x14ac:dyDescent="0.25">
      <c r="A260" t="str">
        <f t="shared" si="40"/>
        <v>M259</v>
      </c>
      <c r="B260" t="str" cm="1">
        <f t="array" aca="1" ref="B260" ca="1">INDEX({"Paracetamol","Amoxicillin","Ibuprofen","Cetirizine","Metformin","Amlodipine","Omeprazole","Azithromycin","Losartan","Vitamin C"}, RANDBETWEEN(1,10))</f>
        <v>Ibuprofen</v>
      </c>
      <c r="C260" t="str" cm="1">
        <f t="array" aca="1" ref="C260" ca="1">INDEX({"Painkiller","Antibiotic","Painkiller","Antihistamine","Diabetes","Hypertension","Antacid","Antibiotic","Hypertension","Supplement"},
MATCH(B260,{"Paracetamol","Amoxicillin","Ibuprofen","Cetirizine","Metformin","Amlodipine","Omeprazole","Azithromycin","Losartan","Vitamin C"},0))</f>
        <v>Painkiller</v>
      </c>
      <c r="D260" t="str" cm="1">
        <f t="array" aca="1" ref="D260" ca="1">INDEX({"MedSupply Co","HealthCorp","PharmaPlus","GlobalMed"}, RANDBETWEEN(1,4))</f>
        <v>PharmaPlus</v>
      </c>
      <c r="E260">
        <f t="shared" ca="1" si="41"/>
        <v>102</v>
      </c>
      <c r="F260">
        <f t="shared" ca="1" si="42"/>
        <v>23</v>
      </c>
      <c r="G260">
        <f t="shared" ca="1" si="43"/>
        <v>1.17</v>
      </c>
      <c r="H260" s="1">
        <f t="shared" ca="1" si="44"/>
        <v>46438</v>
      </c>
      <c r="I260" s="1">
        <f t="shared" ca="1" si="45"/>
        <v>46072</v>
      </c>
      <c r="J260">
        <f t="shared" ca="1" si="46"/>
        <v>119.33999999999999</v>
      </c>
      <c r="K260" t="str">
        <f t="shared" ca="1" si="47"/>
        <v>In Stock</v>
      </c>
      <c r="L260" s="2">
        <f t="shared" ca="1" si="48"/>
        <v>319</v>
      </c>
      <c r="M260" t="str">
        <f t="shared" ca="1" si="49"/>
        <v>Safe</v>
      </c>
    </row>
    <row r="261" spans="1:13" x14ac:dyDescent="0.25">
      <c r="A261" t="str">
        <f t="shared" si="40"/>
        <v>M260</v>
      </c>
      <c r="B261" t="str" cm="1">
        <f t="array" aca="1" ref="B261" ca="1">INDEX({"Paracetamol","Amoxicillin","Ibuprofen","Cetirizine","Metformin","Amlodipine","Omeprazole","Azithromycin","Losartan","Vitamin C"}, RANDBETWEEN(1,10))</f>
        <v>Metformin</v>
      </c>
      <c r="C261" t="str" cm="1">
        <f t="array" aca="1" ref="C261" ca="1">INDEX({"Painkiller","Antibiotic","Painkiller","Antihistamine","Diabetes","Hypertension","Antacid","Antibiotic","Hypertension","Supplement"},
MATCH(B261,{"Paracetamol","Amoxicillin","Ibuprofen","Cetirizine","Metformin","Amlodipine","Omeprazole","Azithromycin","Losartan","Vitamin C"},0))</f>
        <v>Diabetes</v>
      </c>
      <c r="D261" t="str" cm="1">
        <f t="array" aca="1" ref="D261" ca="1">INDEX({"MedSupply Co","HealthCorp","PharmaPlus","GlobalMed"}, RANDBETWEEN(1,4))</f>
        <v>HealthCorp</v>
      </c>
      <c r="E261">
        <f t="shared" ca="1" si="41"/>
        <v>157</v>
      </c>
      <c r="F261">
        <f t="shared" ca="1" si="42"/>
        <v>86</v>
      </c>
      <c r="G261">
        <f t="shared" ca="1" si="43"/>
        <v>1.31</v>
      </c>
      <c r="H261" s="1">
        <f t="shared" ca="1" si="44"/>
        <v>46451</v>
      </c>
      <c r="I261" s="1">
        <f t="shared" ca="1" si="45"/>
        <v>45945</v>
      </c>
      <c r="J261">
        <f t="shared" ca="1" si="46"/>
        <v>205.67000000000002</v>
      </c>
      <c r="K261" t="str">
        <f t="shared" ca="1" si="47"/>
        <v>In Stock</v>
      </c>
      <c r="L261" s="2">
        <f t="shared" ca="1" si="48"/>
        <v>332</v>
      </c>
      <c r="M261" t="str">
        <f t="shared" ca="1" si="49"/>
        <v>Safe</v>
      </c>
    </row>
    <row r="262" spans="1:13" x14ac:dyDescent="0.25">
      <c r="A262" t="str">
        <f t="shared" si="40"/>
        <v>M261</v>
      </c>
      <c r="B262" t="str" cm="1">
        <f t="array" aca="1" ref="B262" ca="1">INDEX({"Paracetamol","Amoxicillin","Ibuprofen","Cetirizine","Metformin","Amlodipine","Omeprazole","Azithromycin","Losartan","Vitamin C"}, RANDBETWEEN(1,10))</f>
        <v>Azithromycin</v>
      </c>
      <c r="C262" t="str" cm="1">
        <f t="array" aca="1" ref="C262" ca="1">INDEX({"Painkiller","Antibiotic","Painkiller","Antihistamine","Diabetes","Hypertension","Antacid","Antibiotic","Hypertension","Supplement"},
MATCH(B262,{"Paracetamol","Amoxicillin","Ibuprofen","Cetirizine","Metformin","Amlodipine","Omeprazole","Azithromycin","Losartan","Vitamin C"},0))</f>
        <v>Antibiotic</v>
      </c>
      <c r="D262" t="str" cm="1">
        <f t="array" aca="1" ref="D262" ca="1">INDEX({"MedSupply Co","HealthCorp","PharmaPlus","GlobalMed"}, RANDBETWEEN(1,4))</f>
        <v>PharmaPlus</v>
      </c>
      <c r="E262">
        <f t="shared" ca="1" si="41"/>
        <v>83</v>
      </c>
      <c r="F262">
        <f t="shared" ca="1" si="42"/>
        <v>21</v>
      </c>
      <c r="G262">
        <f t="shared" ca="1" si="43"/>
        <v>1.31</v>
      </c>
      <c r="H262" s="1">
        <f t="shared" ca="1" si="44"/>
        <v>46286</v>
      </c>
      <c r="I262" s="1">
        <f t="shared" ca="1" si="45"/>
        <v>46005</v>
      </c>
      <c r="J262">
        <f t="shared" ca="1" si="46"/>
        <v>108.73</v>
      </c>
      <c r="K262" t="str">
        <f t="shared" ca="1" si="47"/>
        <v>In Stock</v>
      </c>
      <c r="L262" s="2">
        <f t="shared" ca="1" si="48"/>
        <v>167</v>
      </c>
      <c r="M262" t="str">
        <f t="shared" ca="1" si="49"/>
        <v>Safe</v>
      </c>
    </row>
    <row r="263" spans="1:13" x14ac:dyDescent="0.25">
      <c r="A263" t="str">
        <f t="shared" si="40"/>
        <v>M262</v>
      </c>
      <c r="B263" t="str" cm="1">
        <f t="array" aca="1" ref="B263" ca="1">INDEX({"Paracetamol","Amoxicillin","Ibuprofen","Cetirizine","Metformin","Amlodipine","Omeprazole","Azithromycin","Losartan","Vitamin C"}, RANDBETWEEN(1,10))</f>
        <v>Amoxicillin</v>
      </c>
      <c r="C263" t="str" cm="1">
        <f t="array" aca="1" ref="C263" ca="1">INDEX({"Painkiller","Antibiotic","Painkiller","Antihistamine","Diabetes","Hypertension","Antacid","Antibiotic","Hypertension","Supplement"},
MATCH(B263,{"Paracetamol","Amoxicillin","Ibuprofen","Cetirizine","Metformin","Amlodipine","Omeprazole","Azithromycin","Losartan","Vitamin C"},0))</f>
        <v>Antibiotic</v>
      </c>
      <c r="D263" t="str" cm="1">
        <f t="array" aca="1" ref="D263" ca="1">INDEX({"MedSupply Co","HealthCorp","PharmaPlus","GlobalMed"}, RANDBETWEEN(1,4))</f>
        <v>HealthCorp</v>
      </c>
      <c r="E263">
        <f t="shared" ca="1" si="41"/>
        <v>154</v>
      </c>
      <c r="F263">
        <f t="shared" ca="1" si="42"/>
        <v>90</v>
      </c>
      <c r="G263">
        <f t="shared" ca="1" si="43"/>
        <v>1.39</v>
      </c>
      <c r="H263" s="1">
        <f t="shared" ca="1" si="44"/>
        <v>46216</v>
      </c>
      <c r="I263" s="1">
        <f t="shared" ca="1" si="45"/>
        <v>45951</v>
      </c>
      <c r="J263">
        <f t="shared" ca="1" si="46"/>
        <v>214.05999999999997</v>
      </c>
      <c r="K263" t="str">
        <f t="shared" ca="1" si="47"/>
        <v>In Stock</v>
      </c>
      <c r="L263" s="2">
        <f t="shared" ca="1" si="48"/>
        <v>97</v>
      </c>
      <c r="M263" t="str">
        <f t="shared" ca="1" si="49"/>
        <v>Safe</v>
      </c>
    </row>
    <row r="264" spans="1:13" x14ac:dyDescent="0.25">
      <c r="A264" t="str">
        <f t="shared" si="40"/>
        <v>M263</v>
      </c>
      <c r="B264" t="str" cm="1">
        <f t="array" aca="1" ref="B264" ca="1">INDEX({"Paracetamol","Amoxicillin","Ibuprofen","Cetirizine","Metformin","Amlodipine","Omeprazole","Azithromycin","Losartan","Vitamin C"}, RANDBETWEEN(1,10))</f>
        <v>Azithromycin</v>
      </c>
      <c r="C264" t="str" cm="1">
        <f t="array" aca="1" ref="C264" ca="1">INDEX({"Painkiller","Antibiotic","Painkiller","Antihistamine","Diabetes","Hypertension","Antacid","Antibiotic","Hypertension","Supplement"},
MATCH(B264,{"Paracetamol","Amoxicillin","Ibuprofen","Cetirizine","Metformin","Amlodipine","Omeprazole","Azithromycin","Losartan","Vitamin C"},0))</f>
        <v>Antibiotic</v>
      </c>
      <c r="D264" t="str" cm="1">
        <f t="array" aca="1" ref="D264" ca="1">INDEX({"MedSupply Co","HealthCorp","PharmaPlus","GlobalMed"}, RANDBETWEEN(1,4))</f>
        <v>GlobalMed</v>
      </c>
      <c r="E264">
        <f t="shared" ca="1" si="41"/>
        <v>31</v>
      </c>
      <c r="F264">
        <f t="shared" ca="1" si="42"/>
        <v>85</v>
      </c>
      <c r="G264">
        <f t="shared" ca="1" si="43"/>
        <v>1.1100000000000001</v>
      </c>
      <c r="H264" s="1">
        <f t="shared" ca="1" si="44"/>
        <v>46365</v>
      </c>
      <c r="I264" s="1">
        <f t="shared" ca="1" si="45"/>
        <v>45999</v>
      </c>
      <c r="J264">
        <f t="shared" ca="1" si="46"/>
        <v>34.410000000000004</v>
      </c>
      <c r="K264" t="str">
        <f t="shared" ca="1" si="47"/>
        <v>Low Stock</v>
      </c>
      <c r="L264" s="2">
        <f t="shared" ca="1" si="48"/>
        <v>246</v>
      </c>
      <c r="M264" t="str">
        <f t="shared" ca="1" si="49"/>
        <v>Safe</v>
      </c>
    </row>
    <row r="265" spans="1:13" x14ac:dyDescent="0.25">
      <c r="A265" t="str">
        <f t="shared" si="40"/>
        <v>M264</v>
      </c>
      <c r="B265" t="str" cm="1">
        <f t="array" aca="1" ref="B265" ca="1">INDEX({"Paracetamol","Amoxicillin","Ibuprofen","Cetirizine","Metformin","Amlodipine","Omeprazole","Azithromycin","Losartan","Vitamin C"}, RANDBETWEEN(1,10))</f>
        <v>Vitamin C</v>
      </c>
      <c r="C265" t="str" cm="1">
        <f t="array" aca="1" ref="C265" ca="1">INDEX({"Painkiller","Antibiotic","Painkiller","Antihistamine","Diabetes","Hypertension","Antacid","Antibiotic","Hypertension","Supplement"},
MATCH(B265,{"Paracetamol","Amoxicillin","Ibuprofen","Cetirizine","Metformin","Amlodipine","Omeprazole","Azithromycin","Losartan","Vitamin C"},0))</f>
        <v>Supplement</v>
      </c>
      <c r="D265" t="str" cm="1">
        <f t="array" aca="1" ref="D265" ca="1">INDEX({"MedSupply Co","HealthCorp","PharmaPlus","GlobalMed"}, RANDBETWEEN(1,4))</f>
        <v>HealthCorp</v>
      </c>
      <c r="E265">
        <f t="shared" ca="1" si="41"/>
        <v>152</v>
      </c>
      <c r="F265">
        <f t="shared" ca="1" si="42"/>
        <v>90</v>
      </c>
      <c r="G265">
        <f t="shared" ca="1" si="43"/>
        <v>1.38</v>
      </c>
      <c r="H265" s="1">
        <f t="shared" ca="1" si="44"/>
        <v>46280</v>
      </c>
      <c r="I265" s="1">
        <f t="shared" ca="1" si="45"/>
        <v>46071</v>
      </c>
      <c r="J265">
        <f t="shared" ca="1" si="46"/>
        <v>209.76</v>
      </c>
      <c r="K265" t="str">
        <f t="shared" ca="1" si="47"/>
        <v>In Stock</v>
      </c>
      <c r="L265" s="2">
        <f t="shared" ca="1" si="48"/>
        <v>161</v>
      </c>
      <c r="M265" t="str">
        <f t="shared" ca="1" si="49"/>
        <v>Safe</v>
      </c>
    </row>
    <row r="266" spans="1:13" x14ac:dyDescent="0.25">
      <c r="A266" t="str">
        <f t="shared" si="40"/>
        <v>M265</v>
      </c>
      <c r="B266" t="str" cm="1">
        <f t="array" aca="1" ref="B266" ca="1">INDEX({"Paracetamol","Amoxicillin","Ibuprofen","Cetirizine","Metformin","Amlodipine","Omeprazole","Azithromycin","Losartan","Vitamin C"}, RANDBETWEEN(1,10))</f>
        <v>Losartan</v>
      </c>
      <c r="C266" t="str" cm="1">
        <f t="array" aca="1" ref="C266" ca="1">INDEX({"Painkiller","Antibiotic","Painkiller","Antihistamine","Diabetes","Hypertension","Antacid","Antibiotic","Hypertension","Supplement"},
MATCH(B266,{"Paracetamol","Amoxicillin","Ibuprofen","Cetirizine","Metformin","Amlodipine","Omeprazole","Azithromycin","Losartan","Vitamin C"},0))</f>
        <v>Hypertension</v>
      </c>
      <c r="D266" t="str" cm="1">
        <f t="array" aca="1" ref="D266" ca="1">INDEX({"MedSupply Co","HealthCorp","PharmaPlus","GlobalMed"}, RANDBETWEEN(1,4))</f>
        <v>HealthCorp</v>
      </c>
      <c r="E266">
        <f t="shared" ca="1" si="41"/>
        <v>135</v>
      </c>
      <c r="F266">
        <f t="shared" ca="1" si="42"/>
        <v>68</v>
      </c>
      <c r="G266">
        <f t="shared" ca="1" si="43"/>
        <v>0.65</v>
      </c>
      <c r="H266" s="1">
        <f t="shared" ca="1" si="44"/>
        <v>46481</v>
      </c>
      <c r="I266" s="1">
        <f t="shared" ca="1" si="45"/>
        <v>45997</v>
      </c>
      <c r="J266">
        <f t="shared" ca="1" si="46"/>
        <v>87.75</v>
      </c>
      <c r="K266" t="str">
        <f t="shared" ca="1" si="47"/>
        <v>In Stock</v>
      </c>
      <c r="L266" s="2">
        <f t="shared" ca="1" si="48"/>
        <v>362</v>
      </c>
      <c r="M266" t="str">
        <f t="shared" ca="1" si="49"/>
        <v>Safe</v>
      </c>
    </row>
    <row r="267" spans="1:13" x14ac:dyDescent="0.25">
      <c r="A267" t="str">
        <f t="shared" si="40"/>
        <v>M266</v>
      </c>
      <c r="B267" t="str" cm="1">
        <f t="array" aca="1" ref="B267" ca="1">INDEX({"Paracetamol","Amoxicillin","Ibuprofen","Cetirizine","Metformin","Amlodipine","Omeprazole","Azithromycin","Losartan","Vitamin C"}, RANDBETWEEN(1,10))</f>
        <v>Azithromycin</v>
      </c>
      <c r="C267" t="str" cm="1">
        <f t="array" aca="1" ref="C267" ca="1">INDEX({"Painkiller","Antibiotic","Painkiller","Antihistamine","Diabetes","Hypertension","Antacid","Antibiotic","Hypertension","Supplement"},
MATCH(B267,{"Paracetamol","Amoxicillin","Ibuprofen","Cetirizine","Metformin","Amlodipine","Omeprazole","Azithromycin","Losartan","Vitamin C"},0))</f>
        <v>Antibiotic</v>
      </c>
      <c r="D267" t="str" cm="1">
        <f t="array" aca="1" ref="D267" ca="1">INDEX({"MedSupply Co","HealthCorp","PharmaPlus","GlobalMed"}, RANDBETWEEN(1,4))</f>
        <v>MedSupply Co</v>
      </c>
      <c r="E267">
        <f t="shared" ca="1" si="41"/>
        <v>85</v>
      </c>
      <c r="F267">
        <f t="shared" ca="1" si="42"/>
        <v>59</v>
      </c>
      <c r="G267">
        <f t="shared" ca="1" si="43"/>
        <v>0.76</v>
      </c>
      <c r="H267" s="1">
        <f t="shared" ca="1" si="44"/>
        <v>46250</v>
      </c>
      <c r="I267" s="1">
        <f t="shared" ca="1" si="45"/>
        <v>45985</v>
      </c>
      <c r="J267">
        <f t="shared" ca="1" si="46"/>
        <v>64.599999999999994</v>
      </c>
      <c r="K267" t="str">
        <f t="shared" ca="1" si="47"/>
        <v>In Stock</v>
      </c>
      <c r="L267" s="2">
        <f t="shared" ca="1" si="48"/>
        <v>131</v>
      </c>
      <c r="M267" t="str">
        <f t="shared" ca="1" si="49"/>
        <v>Safe</v>
      </c>
    </row>
    <row r="268" spans="1:13" x14ac:dyDescent="0.25">
      <c r="A268" t="str">
        <f t="shared" si="40"/>
        <v>M267</v>
      </c>
      <c r="B268" t="str" cm="1">
        <f t="array" aca="1" ref="B268" ca="1">INDEX({"Paracetamol","Amoxicillin","Ibuprofen","Cetirizine","Metformin","Amlodipine","Omeprazole","Azithromycin","Losartan","Vitamin C"}, RANDBETWEEN(1,10))</f>
        <v>Omeprazole</v>
      </c>
      <c r="C268" t="str" cm="1">
        <f t="array" aca="1" ref="C268" ca="1">INDEX({"Painkiller","Antibiotic","Painkiller","Antihistamine","Diabetes","Hypertension","Antacid","Antibiotic","Hypertension","Supplement"},
MATCH(B268,{"Paracetamol","Amoxicillin","Ibuprofen","Cetirizine","Metformin","Amlodipine","Omeprazole","Azithromycin","Losartan","Vitamin C"},0))</f>
        <v>Antacid</v>
      </c>
      <c r="D268" t="str" cm="1">
        <f t="array" aca="1" ref="D268" ca="1">INDEX({"MedSupply Co","HealthCorp","PharmaPlus","GlobalMed"}, RANDBETWEEN(1,4))</f>
        <v>PharmaPlus</v>
      </c>
      <c r="E268">
        <f t="shared" ca="1" si="41"/>
        <v>137</v>
      </c>
      <c r="F268">
        <f t="shared" ca="1" si="42"/>
        <v>86</v>
      </c>
      <c r="G268">
        <f t="shared" ca="1" si="43"/>
        <v>1.83</v>
      </c>
      <c r="H268" s="1">
        <f t="shared" ca="1" si="44"/>
        <v>46242</v>
      </c>
      <c r="I268" s="1">
        <f t="shared" ca="1" si="45"/>
        <v>46002</v>
      </c>
      <c r="J268">
        <f t="shared" ca="1" si="46"/>
        <v>250.71</v>
      </c>
      <c r="K268" t="str">
        <f t="shared" ca="1" si="47"/>
        <v>In Stock</v>
      </c>
      <c r="L268" s="2">
        <f t="shared" ca="1" si="48"/>
        <v>123</v>
      </c>
      <c r="M268" t="str">
        <f t="shared" ca="1" si="49"/>
        <v>Safe</v>
      </c>
    </row>
    <row r="269" spans="1:13" x14ac:dyDescent="0.25">
      <c r="A269" t="str">
        <f t="shared" si="40"/>
        <v>M268</v>
      </c>
      <c r="B269" t="str" cm="1">
        <f t="array" aca="1" ref="B269" ca="1">INDEX({"Paracetamol","Amoxicillin","Ibuprofen","Cetirizine","Metformin","Amlodipine","Omeprazole","Azithromycin","Losartan","Vitamin C"}, RANDBETWEEN(1,10))</f>
        <v>Omeprazole</v>
      </c>
      <c r="C269" t="str" cm="1">
        <f t="array" aca="1" ref="C269" ca="1">INDEX({"Painkiller","Antibiotic","Painkiller","Antihistamine","Diabetes","Hypertension","Antacid","Antibiotic","Hypertension","Supplement"},
MATCH(B269,{"Paracetamol","Amoxicillin","Ibuprofen","Cetirizine","Metformin","Amlodipine","Omeprazole","Azithromycin","Losartan","Vitamin C"},0))</f>
        <v>Antacid</v>
      </c>
      <c r="D269" t="str" cm="1">
        <f t="array" aca="1" ref="D269" ca="1">INDEX({"MedSupply Co","HealthCorp","PharmaPlus","GlobalMed"}, RANDBETWEEN(1,4))</f>
        <v>GlobalMed</v>
      </c>
      <c r="E269">
        <f t="shared" ca="1" si="41"/>
        <v>186</v>
      </c>
      <c r="F269">
        <f t="shared" ca="1" si="42"/>
        <v>73</v>
      </c>
      <c r="G269">
        <f t="shared" ca="1" si="43"/>
        <v>0.65</v>
      </c>
      <c r="H269" s="1">
        <f t="shared" ca="1" si="44"/>
        <v>46341</v>
      </c>
      <c r="I269" s="1">
        <f t="shared" ca="1" si="45"/>
        <v>46075</v>
      </c>
      <c r="J269">
        <f t="shared" ca="1" si="46"/>
        <v>120.9</v>
      </c>
      <c r="K269" t="str">
        <f t="shared" ca="1" si="47"/>
        <v>In Stock</v>
      </c>
      <c r="L269" s="2">
        <f t="shared" ca="1" si="48"/>
        <v>222</v>
      </c>
      <c r="M269" t="str">
        <f t="shared" ca="1" si="49"/>
        <v>Safe</v>
      </c>
    </row>
    <row r="270" spans="1:13" x14ac:dyDescent="0.25">
      <c r="A270" t="str">
        <f t="shared" si="40"/>
        <v>M269</v>
      </c>
      <c r="B270" t="str" cm="1">
        <f t="array" aca="1" ref="B270" ca="1">INDEX({"Paracetamol","Amoxicillin","Ibuprofen","Cetirizine","Metformin","Amlodipine","Omeprazole","Azithromycin","Losartan","Vitamin C"}, RANDBETWEEN(1,10))</f>
        <v>Metformin</v>
      </c>
      <c r="C270" t="str" cm="1">
        <f t="array" aca="1" ref="C270" ca="1">INDEX({"Painkiller","Antibiotic","Painkiller","Antihistamine","Diabetes","Hypertension","Antacid","Antibiotic","Hypertension","Supplement"},
MATCH(B270,{"Paracetamol","Amoxicillin","Ibuprofen","Cetirizine","Metformin","Amlodipine","Omeprazole","Azithromycin","Losartan","Vitamin C"},0))</f>
        <v>Diabetes</v>
      </c>
      <c r="D270" t="str" cm="1">
        <f t="array" aca="1" ref="D270" ca="1">INDEX({"MedSupply Co","HealthCorp","PharmaPlus","GlobalMed"}, RANDBETWEEN(1,4))</f>
        <v>MedSupply Co</v>
      </c>
      <c r="E270">
        <f t="shared" ca="1" si="41"/>
        <v>99</v>
      </c>
      <c r="F270">
        <f t="shared" ca="1" si="42"/>
        <v>41</v>
      </c>
      <c r="G270">
        <f t="shared" ca="1" si="43"/>
        <v>0.67</v>
      </c>
      <c r="H270" s="1">
        <f t="shared" ca="1" si="44"/>
        <v>46195</v>
      </c>
      <c r="I270" s="1">
        <f t="shared" ca="1" si="45"/>
        <v>45954</v>
      </c>
      <c r="J270">
        <f t="shared" ca="1" si="46"/>
        <v>66.33</v>
      </c>
      <c r="K270" t="str">
        <f t="shared" ca="1" si="47"/>
        <v>In Stock</v>
      </c>
      <c r="L270" s="2">
        <f t="shared" ca="1" si="48"/>
        <v>76</v>
      </c>
      <c r="M270" t="str">
        <f t="shared" ca="1" si="49"/>
        <v>Safe</v>
      </c>
    </row>
    <row r="271" spans="1:13" x14ac:dyDescent="0.25">
      <c r="A271" t="str">
        <f t="shared" si="40"/>
        <v>M270</v>
      </c>
      <c r="B271" t="str" cm="1">
        <f t="array" aca="1" ref="B271" ca="1">INDEX({"Paracetamol","Amoxicillin","Ibuprofen","Cetirizine","Metformin","Amlodipine","Omeprazole","Azithromycin","Losartan","Vitamin C"}, RANDBETWEEN(1,10))</f>
        <v>Amlodipine</v>
      </c>
      <c r="C271" t="str" cm="1">
        <f t="array" aca="1" ref="C271" ca="1">INDEX({"Painkiller","Antibiotic","Painkiller","Antihistamine","Diabetes","Hypertension","Antacid","Antibiotic","Hypertension","Supplement"},
MATCH(B271,{"Paracetamol","Amoxicillin","Ibuprofen","Cetirizine","Metformin","Amlodipine","Omeprazole","Azithromycin","Losartan","Vitamin C"},0))</f>
        <v>Hypertension</v>
      </c>
      <c r="D271" t="str" cm="1">
        <f t="array" aca="1" ref="D271" ca="1">INDEX({"MedSupply Co","HealthCorp","PharmaPlus","GlobalMed"}, RANDBETWEEN(1,4))</f>
        <v>PharmaPlus</v>
      </c>
      <c r="E271">
        <f t="shared" ca="1" si="41"/>
        <v>172</v>
      </c>
      <c r="F271">
        <f t="shared" ca="1" si="42"/>
        <v>48</v>
      </c>
      <c r="G271">
        <f t="shared" ca="1" si="43"/>
        <v>0.93</v>
      </c>
      <c r="H271" s="1">
        <f t="shared" ca="1" si="44"/>
        <v>46426</v>
      </c>
      <c r="I271" s="1">
        <f t="shared" ca="1" si="45"/>
        <v>45987</v>
      </c>
      <c r="J271">
        <f t="shared" ca="1" si="46"/>
        <v>159.96</v>
      </c>
      <c r="K271" t="str">
        <f t="shared" ca="1" si="47"/>
        <v>In Stock</v>
      </c>
      <c r="L271" s="2">
        <f t="shared" ca="1" si="48"/>
        <v>307</v>
      </c>
      <c r="M271" t="str">
        <f t="shared" ca="1" si="49"/>
        <v>Safe</v>
      </c>
    </row>
    <row r="272" spans="1:13" x14ac:dyDescent="0.25">
      <c r="A272" t="str">
        <f t="shared" si="40"/>
        <v>M271</v>
      </c>
      <c r="B272" t="str" cm="1">
        <f t="array" aca="1" ref="B272" ca="1">INDEX({"Paracetamol","Amoxicillin","Ibuprofen","Cetirizine","Metformin","Amlodipine","Omeprazole","Azithromycin","Losartan","Vitamin C"}, RANDBETWEEN(1,10))</f>
        <v>Losartan</v>
      </c>
      <c r="C272" t="str" cm="1">
        <f t="array" aca="1" ref="C272" ca="1">INDEX({"Painkiller","Antibiotic","Painkiller","Antihistamine","Diabetes","Hypertension","Antacid","Antibiotic","Hypertension","Supplement"},
MATCH(B272,{"Paracetamol","Amoxicillin","Ibuprofen","Cetirizine","Metformin","Amlodipine","Omeprazole","Azithromycin","Losartan","Vitamin C"},0))</f>
        <v>Hypertension</v>
      </c>
      <c r="D272" t="str" cm="1">
        <f t="array" aca="1" ref="D272" ca="1">INDEX({"MedSupply Co","HealthCorp","PharmaPlus","GlobalMed"}, RANDBETWEEN(1,4))</f>
        <v>HealthCorp</v>
      </c>
      <c r="E272">
        <f t="shared" ca="1" si="41"/>
        <v>197</v>
      </c>
      <c r="F272">
        <f t="shared" ca="1" si="42"/>
        <v>36</v>
      </c>
      <c r="G272">
        <f t="shared" ca="1" si="43"/>
        <v>0.75</v>
      </c>
      <c r="H272" s="1">
        <f t="shared" ca="1" si="44"/>
        <v>46444</v>
      </c>
      <c r="I272" s="1">
        <f t="shared" ca="1" si="45"/>
        <v>46113</v>
      </c>
      <c r="J272">
        <f t="shared" ca="1" si="46"/>
        <v>147.75</v>
      </c>
      <c r="K272" t="str">
        <f t="shared" ca="1" si="47"/>
        <v>In Stock</v>
      </c>
      <c r="L272" s="2">
        <f t="shared" ca="1" si="48"/>
        <v>325</v>
      </c>
      <c r="M272" t="str">
        <f t="shared" ca="1" si="49"/>
        <v>Safe</v>
      </c>
    </row>
    <row r="273" spans="1:13" x14ac:dyDescent="0.25">
      <c r="A273" t="str">
        <f t="shared" si="40"/>
        <v>M272</v>
      </c>
      <c r="B273" t="str" cm="1">
        <f t="array" aca="1" ref="B273" ca="1">INDEX({"Paracetamol","Amoxicillin","Ibuprofen","Cetirizine","Metformin","Amlodipine","Omeprazole","Azithromycin","Losartan","Vitamin C"}, RANDBETWEEN(1,10))</f>
        <v>Cetirizine</v>
      </c>
      <c r="C273" t="str" cm="1">
        <f t="array" aca="1" ref="C273" ca="1">INDEX({"Painkiller","Antibiotic","Painkiller","Antihistamine","Diabetes","Hypertension","Antacid","Antibiotic","Hypertension","Supplement"},
MATCH(B273,{"Paracetamol","Amoxicillin","Ibuprofen","Cetirizine","Metformin","Amlodipine","Omeprazole","Azithromycin","Losartan","Vitamin C"},0))</f>
        <v>Antihistamine</v>
      </c>
      <c r="D273" t="str" cm="1">
        <f t="array" aca="1" ref="D273" ca="1">INDEX({"MedSupply Co","HealthCorp","PharmaPlus","GlobalMed"}, RANDBETWEEN(1,4))</f>
        <v>MedSupply Co</v>
      </c>
      <c r="E273">
        <f t="shared" ca="1" si="41"/>
        <v>34</v>
      </c>
      <c r="F273">
        <f t="shared" ca="1" si="42"/>
        <v>87</v>
      </c>
      <c r="G273">
        <f t="shared" ca="1" si="43"/>
        <v>1.79</v>
      </c>
      <c r="H273" s="1">
        <f t="shared" ca="1" si="44"/>
        <v>46254</v>
      </c>
      <c r="I273" s="1">
        <f t="shared" ca="1" si="45"/>
        <v>45956</v>
      </c>
      <c r="J273">
        <f t="shared" ca="1" si="46"/>
        <v>60.86</v>
      </c>
      <c r="K273" t="str">
        <f t="shared" ca="1" si="47"/>
        <v>Low Stock</v>
      </c>
      <c r="L273" s="2">
        <f t="shared" ca="1" si="48"/>
        <v>135</v>
      </c>
      <c r="M273" t="str">
        <f t="shared" ca="1" si="49"/>
        <v>Safe</v>
      </c>
    </row>
    <row r="274" spans="1:13" x14ac:dyDescent="0.25">
      <c r="A274" t="str">
        <f t="shared" si="40"/>
        <v>M273</v>
      </c>
      <c r="B274" t="str" cm="1">
        <f t="array" aca="1" ref="B274" ca="1">INDEX({"Paracetamol","Amoxicillin","Ibuprofen","Cetirizine","Metformin","Amlodipine","Omeprazole","Azithromycin","Losartan","Vitamin C"}, RANDBETWEEN(1,10))</f>
        <v>Paracetamol</v>
      </c>
      <c r="C274" t="str" cm="1">
        <f t="array" aca="1" ref="C274" ca="1">INDEX({"Painkiller","Antibiotic","Painkiller","Antihistamine","Diabetes","Hypertension","Antacid","Antibiotic","Hypertension","Supplement"},
MATCH(B274,{"Paracetamol","Amoxicillin","Ibuprofen","Cetirizine","Metformin","Amlodipine","Omeprazole","Azithromycin","Losartan","Vitamin C"},0))</f>
        <v>Painkiller</v>
      </c>
      <c r="D274" t="str" cm="1">
        <f t="array" aca="1" ref="D274" ca="1">INDEX({"MedSupply Co","HealthCorp","PharmaPlus","GlobalMed"}, RANDBETWEEN(1,4))</f>
        <v>HealthCorp</v>
      </c>
      <c r="E274">
        <f t="shared" ca="1" si="41"/>
        <v>37</v>
      </c>
      <c r="F274">
        <f t="shared" ca="1" si="42"/>
        <v>99</v>
      </c>
      <c r="G274">
        <f t="shared" ca="1" si="43"/>
        <v>1.63</v>
      </c>
      <c r="H274" s="1">
        <f t="shared" ca="1" si="44"/>
        <v>46260</v>
      </c>
      <c r="I274" s="1">
        <f t="shared" ca="1" si="45"/>
        <v>45962</v>
      </c>
      <c r="J274">
        <f t="shared" ca="1" si="46"/>
        <v>60.309999999999995</v>
      </c>
      <c r="K274" t="str">
        <f t="shared" ca="1" si="47"/>
        <v>Low Stock</v>
      </c>
      <c r="L274" s="2">
        <f t="shared" ca="1" si="48"/>
        <v>141</v>
      </c>
      <c r="M274" t="str">
        <f t="shared" ca="1" si="49"/>
        <v>Safe</v>
      </c>
    </row>
    <row r="275" spans="1:13" x14ac:dyDescent="0.25">
      <c r="A275" t="str">
        <f t="shared" si="40"/>
        <v>M274</v>
      </c>
      <c r="B275" t="str" cm="1">
        <f t="array" aca="1" ref="B275" ca="1">INDEX({"Paracetamol","Amoxicillin","Ibuprofen","Cetirizine","Metformin","Amlodipine","Omeprazole","Azithromycin","Losartan","Vitamin C"}, RANDBETWEEN(1,10))</f>
        <v>Paracetamol</v>
      </c>
      <c r="C275" t="str" cm="1">
        <f t="array" aca="1" ref="C275" ca="1">INDEX({"Painkiller","Antibiotic","Painkiller","Antihistamine","Diabetes","Hypertension","Antacid","Antibiotic","Hypertension","Supplement"},
MATCH(B275,{"Paracetamol","Amoxicillin","Ibuprofen","Cetirizine","Metformin","Amlodipine","Omeprazole","Azithromycin","Losartan","Vitamin C"},0))</f>
        <v>Painkiller</v>
      </c>
      <c r="D275" t="str" cm="1">
        <f t="array" aca="1" ref="D275" ca="1">INDEX({"MedSupply Co","HealthCorp","PharmaPlus","GlobalMed"}, RANDBETWEEN(1,4))</f>
        <v>GlobalMed</v>
      </c>
      <c r="E275">
        <f t="shared" ca="1" si="41"/>
        <v>7</v>
      </c>
      <c r="F275">
        <f t="shared" ca="1" si="42"/>
        <v>23</v>
      </c>
      <c r="G275">
        <f t="shared" ca="1" si="43"/>
        <v>1.84</v>
      </c>
      <c r="H275" s="1">
        <f t="shared" ca="1" si="44"/>
        <v>46438</v>
      </c>
      <c r="I275" s="1">
        <f t="shared" ca="1" si="45"/>
        <v>45984</v>
      </c>
      <c r="J275">
        <f t="shared" ca="1" si="46"/>
        <v>12.88</v>
      </c>
      <c r="K275" t="str">
        <f t="shared" ca="1" si="47"/>
        <v>Low Stock</v>
      </c>
      <c r="L275" s="2">
        <f t="shared" ca="1" si="48"/>
        <v>319</v>
      </c>
      <c r="M275" t="str">
        <f t="shared" ca="1" si="49"/>
        <v>Safe</v>
      </c>
    </row>
    <row r="276" spans="1:13" x14ac:dyDescent="0.25">
      <c r="A276" t="str">
        <f t="shared" si="40"/>
        <v>M275</v>
      </c>
      <c r="B276" t="str" cm="1">
        <f t="array" aca="1" ref="B276" ca="1">INDEX({"Paracetamol","Amoxicillin","Ibuprofen","Cetirizine","Metformin","Amlodipine","Omeprazole","Azithromycin","Losartan","Vitamin C"}, RANDBETWEEN(1,10))</f>
        <v>Amlodipine</v>
      </c>
      <c r="C276" t="str" cm="1">
        <f t="array" aca="1" ref="C276" ca="1">INDEX({"Painkiller","Antibiotic","Painkiller","Antihistamine","Diabetes","Hypertension","Antacid","Antibiotic","Hypertension","Supplement"},
MATCH(B276,{"Paracetamol","Amoxicillin","Ibuprofen","Cetirizine","Metformin","Amlodipine","Omeprazole","Azithromycin","Losartan","Vitamin C"},0))</f>
        <v>Hypertension</v>
      </c>
      <c r="D276" t="str" cm="1">
        <f t="array" aca="1" ref="D276" ca="1">INDEX({"MedSupply Co","HealthCorp","PharmaPlus","GlobalMed"}, RANDBETWEEN(1,4))</f>
        <v>GlobalMed</v>
      </c>
      <c r="E276">
        <f t="shared" ca="1" si="41"/>
        <v>93</v>
      </c>
      <c r="F276">
        <f t="shared" ca="1" si="42"/>
        <v>72</v>
      </c>
      <c r="G276">
        <f t="shared" ca="1" si="43"/>
        <v>1.46</v>
      </c>
      <c r="H276" s="1">
        <f t="shared" ca="1" si="44"/>
        <v>46470</v>
      </c>
      <c r="I276" s="1">
        <f t="shared" ca="1" si="45"/>
        <v>46074</v>
      </c>
      <c r="J276">
        <f t="shared" ca="1" si="46"/>
        <v>135.78</v>
      </c>
      <c r="K276" t="str">
        <f t="shared" ca="1" si="47"/>
        <v>In Stock</v>
      </c>
      <c r="L276" s="2">
        <f t="shared" ca="1" si="48"/>
        <v>351</v>
      </c>
      <c r="M276" t="str">
        <f t="shared" ca="1" si="49"/>
        <v>Safe</v>
      </c>
    </row>
    <row r="277" spans="1:13" x14ac:dyDescent="0.25">
      <c r="A277" t="str">
        <f t="shared" si="40"/>
        <v>M276</v>
      </c>
      <c r="B277" t="str" cm="1">
        <f t="array" aca="1" ref="B277" ca="1">INDEX({"Paracetamol","Amoxicillin","Ibuprofen","Cetirizine","Metformin","Amlodipine","Omeprazole","Azithromycin","Losartan","Vitamin C"}, RANDBETWEEN(1,10))</f>
        <v>Losartan</v>
      </c>
      <c r="C277" t="str" cm="1">
        <f t="array" aca="1" ref="C277" ca="1">INDEX({"Painkiller","Antibiotic","Painkiller","Antihistamine","Diabetes","Hypertension","Antacid","Antibiotic","Hypertension","Supplement"},
MATCH(B277,{"Paracetamol","Amoxicillin","Ibuprofen","Cetirizine","Metformin","Amlodipine","Omeprazole","Azithromycin","Losartan","Vitamin C"},0))</f>
        <v>Hypertension</v>
      </c>
      <c r="D277" t="str" cm="1">
        <f t="array" aca="1" ref="D277" ca="1">INDEX({"MedSupply Co","HealthCorp","PharmaPlus","GlobalMed"}, RANDBETWEEN(1,4))</f>
        <v>MedSupply Co</v>
      </c>
      <c r="E277">
        <f t="shared" ca="1" si="41"/>
        <v>58</v>
      </c>
      <c r="F277">
        <f t="shared" ca="1" si="42"/>
        <v>83</v>
      </c>
      <c r="G277">
        <f t="shared" ca="1" si="43"/>
        <v>1.65</v>
      </c>
      <c r="H277" s="1">
        <f t="shared" ca="1" si="44"/>
        <v>46366</v>
      </c>
      <c r="I277" s="1">
        <f t="shared" ca="1" si="45"/>
        <v>45947</v>
      </c>
      <c r="J277">
        <f t="shared" ca="1" si="46"/>
        <v>95.699999999999989</v>
      </c>
      <c r="K277" t="str">
        <f t="shared" ca="1" si="47"/>
        <v>Low Stock</v>
      </c>
      <c r="L277" s="2">
        <f t="shared" ca="1" si="48"/>
        <v>247</v>
      </c>
      <c r="M277" t="str">
        <f t="shared" ca="1" si="49"/>
        <v>Safe</v>
      </c>
    </row>
    <row r="278" spans="1:13" x14ac:dyDescent="0.25">
      <c r="A278" t="str">
        <f t="shared" si="40"/>
        <v>M277</v>
      </c>
      <c r="B278" t="str" cm="1">
        <f t="array" aca="1" ref="B278" ca="1">INDEX({"Paracetamol","Amoxicillin","Ibuprofen","Cetirizine","Metformin","Amlodipine","Omeprazole","Azithromycin","Losartan","Vitamin C"}, RANDBETWEEN(1,10))</f>
        <v>Ibuprofen</v>
      </c>
      <c r="C278" t="str" cm="1">
        <f t="array" aca="1" ref="C278" ca="1">INDEX({"Painkiller","Antibiotic","Painkiller","Antihistamine","Diabetes","Hypertension","Antacid","Antibiotic","Hypertension","Supplement"},
MATCH(B278,{"Paracetamol","Amoxicillin","Ibuprofen","Cetirizine","Metformin","Amlodipine","Omeprazole","Azithromycin","Losartan","Vitamin C"},0))</f>
        <v>Painkiller</v>
      </c>
      <c r="D278" t="str" cm="1">
        <f t="array" aca="1" ref="D278" ca="1">INDEX({"MedSupply Co","HealthCorp","PharmaPlus","GlobalMed"}, RANDBETWEEN(1,4))</f>
        <v>PharmaPlus</v>
      </c>
      <c r="E278">
        <f t="shared" ca="1" si="41"/>
        <v>73</v>
      </c>
      <c r="F278">
        <f t="shared" ca="1" si="42"/>
        <v>100</v>
      </c>
      <c r="G278">
        <f t="shared" ca="1" si="43"/>
        <v>1.88</v>
      </c>
      <c r="H278" s="1">
        <f t="shared" ca="1" si="44"/>
        <v>46299</v>
      </c>
      <c r="I278" s="1">
        <f t="shared" ca="1" si="45"/>
        <v>46041</v>
      </c>
      <c r="J278">
        <f t="shared" ca="1" si="46"/>
        <v>137.23999999999998</v>
      </c>
      <c r="K278" t="str">
        <f t="shared" ca="1" si="47"/>
        <v>Low Stock</v>
      </c>
      <c r="L278" s="2">
        <f t="shared" ca="1" si="48"/>
        <v>180</v>
      </c>
      <c r="M278" t="str">
        <f t="shared" ca="1" si="49"/>
        <v>Safe</v>
      </c>
    </row>
    <row r="279" spans="1:13" x14ac:dyDescent="0.25">
      <c r="A279" t="str">
        <f t="shared" si="40"/>
        <v>M278</v>
      </c>
      <c r="B279" t="str" cm="1">
        <f t="array" aca="1" ref="B279" ca="1">INDEX({"Paracetamol","Amoxicillin","Ibuprofen","Cetirizine","Metformin","Amlodipine","Omeprazole","Azithromycin","Losartan","Vitamin C"}, RANDBETWEEN(1,10))</f>
        <v>Metformin</v>
      </c>
      <c r="C279" t="str" cm="1">
        <f t="array" aca="1" ref="C279" ca="1">INDEX({"Painkiller","Antibiotic","Painkiller","Antihistamine","Diabetes","Hypertension","Antacid","Antibiotic","Hypertension","Supplement"},
MATCH(B279,{"Paracetamol","Amoxicillin","Ibuprofen","Cetirizine","Metformin","Amlodipine","Omeprazole","Azithromycin","Losartan","Vitamin C"},0))</f>
        <v>Diabetes</v>
      </c>
      <c r="D279" t="str" cm="1">
        <f t="array" aca="1" ref="D279" ca="1">INDEX({"MedSupply Co","HealthCorp","PharmaPlus","GlobalMed"}, RANDBETWEEN(1,4))</f>
        <v>GlobalMed</v>
      </c>
      <c r="E279">
        <f t="shared" ca="1" si="41"/>
        <v>43</v>
      </c>
      <c r="F279">
        <f t="shared" ca="1" si="42"/>
        <v>75</v>
      </c>
      <c r="G279">
        <f t="shared" ca="1" si="43"/>
        <v>0.83</v>
      </c>
      <c r="H279" s="1">
        <f t="shared" ca="1" si="44"/>
        <v>46236</v>
      </c>
      <c r="I279" s="1">
        <f t="shared" ca="1" si="45"/>
        <v>46109</v>
      </c>
      <c r="J279">
        <f t="shared" ca="1" si="46"/>
        <v>35.69</v>
      </c>
      <c r="K279" t="str">
        <f t="shared" ca="1" si="47"/>
        <v>Low Stock</v>
      </c>
      <c r="L279" s="2">
        <f t="shared" ca="1" si="48"/>
        <v>117</v>
      </c>
      <c r="M279" t="str">
        <f t="shared" ca="1" si="49"/>
        <v>Safe</v>
      </c>
    </row>
    <row r="280" spans="1:13" x14ac:dyDescent="0.25">
      <c r="A280" t="str">
        <f t="shared" si="40"/>
        <v>M279</v>
      </c>
      <c r="B280" t="str" cm="1">
        <f t="array" aca="1" ref="B280" ca="1">INDEX({"Paracetamol","Amoxicillin","Ibuprofen","Cetirizine","Metformin","Amlodipine","Omeprazole","Azithromycin","Losartan","Vitamin C"}, RANDBETWEEN(1,10))</f>
        <v>Metformin</v>
      </c>
      <c r="C280" t="str" cm="1">
        <f t="array" aca="1" ref="C280" ca="1">INDEX({"Painkiller","Antibiotic","Painkiller","Antihistamine","Diabetes","Hypertension","Antacid","Antibiotic","Hypertension","Supplement"},
MATCH(B280,{"Paracetamol","Amoxicillin","Ibuprofen","Cetirizine","Metformin","Amlodipine","Omeprazole","Azithromycin","Losartan","Vitamin C"},0))</f>
        <v>Diabetes</v>
      </c>
      <c r="D280" t="str" cm="1">
        <f t="array" aca="1" ref="D280" ca="1">INDEX({"MedSupply Co","HealthCorp","PharmaPlus","GlobalMed"}, RANDBETWEEN(1,4))</f>
        <v>GlobalMed</v>
      </c>
      <c r="E280">
        <f t="shared" ca="1" si="41"/>
        <v>93</v>
      </c>
      <c r="F280">
        <f t="shared" ca="1" si="42"/>
        <v>35</v>
      </c>
      <c r="G280">
        <f t="shared" ca="1" si="43"/>
        <v>1.21</v>
      </c>
      <c r="H280" s="1">
        <f t="shared" ca="1" si="44"/>
        <v>46164</v>
      </c>
      <c r="I280" s="1">
        <f t="shared" ca="1" si="45"/>
        <v>46061</v>
      </c>
      <c r="J280">
        <f t="shared" ca="1" si="46"/>
        <v>112.53</v>
      </c>
      <c r="K280" t="str">
        <f t="shared" ca="1" si="47"/>
        <v>In Stock</v>
      </c>
      <c r="L280" s="2">
        <f t="shared" ca="1" si="48"/>
        <v>45</v>
      </c>
      <c r="M280" t="str">
        <f t="shared" ca="1" si="49"/>
        <v>Safe</v>
      </c>
    </row>
    <row r="281" spans="1:13" x14ac:dyDescent="0.25">
      <c r="A281" t="str">
        <f t="shared" si="40"/>
        <v>M280</v>
      </c>
      <c r="B281" t="str" cm="1">
        <f t="array" aca="1" ref="B281" ca="1">INDEX({"Paracetamol","Amoxicillin","Ibuprofen","Cetirizine","Metformin","Amlodipine","Omeprazole","Azithromycin","Losartan","Vitamin C"}, RANDBETWEEN(1,10))</f>
        <v>Cetirizine</v>
      </c>
      <c r="C281" t="str" cm="1">
        <f t="array" aca="1" ref="C281" ca="1">INDEX({"Painkiller","Antibiotic","Painkiller","Antihistamine","Diabetes","Hypertension","Antacid","Antibiotic","Hypertension","Supplement"},
MATCH(B281,{"Paracetamol","Amoxicillin","Ibuprofen","Cetirizine","Metformin","Amlodipine","Omeprazole","Azithromycin","Losartan","Vitamin C"},0))</f>
        <v>Antihistamine</v>
      </c>
      <c r="D281" t="str" cm="1">
        <f t="array" aca="1" ref="D281" ca="1">INDEX({"MedSupply Co","HealthCorp","PharmaPlus","GlobalMed"}, RANDBETWEEN(1,4))</f>
        <v>HealthCorp</v>
      </c>
      <c r="E281">
        <f t="shared" ca="1" si="41"/>
        <v>182</v>
      </c>
      <c r="F281">
        <f t="shared" ca="1" si="42"/>
        <v>41</v>
      </c>
      <c r="G281">
        <f t="shared" ca="1" si="43"/>
        <v>1.7</v>
      </c>
      <c r="H281" s="1">
        <f t="shared" ca="1" si="44"/>
        <v>46445</v>
      </c>
      <c r="I281" s="1">
        <f t="shared" ca="1" si="45"/>
        <v>46008</v>
      </c>
      <c r="J281">
        <f t="shared" ca="1" si="46"/>
        <v>309.39999999999998</v>
      </c>
      <c r="K281" t="str">
        <f t="shared" ca="1" si="47"/>
        <v>In Stock</v>
      </c>
      <c r="L281" s="2">
        <f t="shared" ca="1" si="48"/>
        <v>326</v>
      </c>
      <c r="M281" t="str">
        <f t="shared" ca="1" si="49"/>
        <v>Safe</v>
      </c>
    </row>
    <row r="282" spans="1:13" x14ac:dyDescent="0.25">
      <c r="A282" t="str">
        <f t="shared" si="40"/>
        <v>M281</v>
      </c>
      <c r="B282" t="str" cm="1">
        <f t="array" aca="1" ref="B282" ca="1">INDEX({"Paracetamol","Amoxicillin","Ibuprofen","Cetirizine","Metformin","Amlodipine","Omeprazole","Azithromycin","Losartan","Vitamin C"}, RANDBETWEEN(1,10))</f>
        <v>Ibuprofen</v>
      </c>
      <c r="C282" t="str" cm="1">
        <f t="array" aca="1" ref="C282" ca="1">INDEX({"Painkiller","Antibiotic","Painkiller","Antihistamine","Diabetes","Hypertension","Antacid","Antibiotic","Hypertension","Supplement"},
MATCH(B282,{"Paracetamol","Amoxicillin","Ibuprofen","Cetirizine","Metformin","Amlodipine","Omeprazole","Azithromycin","Losartan","Vitamin C"},0))</f>
        <v>Painkiller</v>
      </c>
      <c r="D282" t="str" cm="1">
        <f t="array" aca="1" ref="D282" ca="1">INDEX({"MedSupply Co","HealthCorp","PharmaPlus","GlobalMed"}, RANDBETWEEN(1,4))</f>
        <v>GlobalMed</v>
      </c>
      <c r="E282">
        <f t="shared" ca="1" si="41"/>
        <v>57</v>
      </c>
      <c r="F282">
        <f t="shared" ca="1" si="42"/>
        <v>68</v>
      </c>
      <c r="G282">
        <f t="shared" ca="1" si="43"/>
        <v>0.81</v>
      </c>
      <c r="H282" s="1">
        <f t="shared" ca="1" si="44"/>
        <v>46218</v>
      </c>
      <c r="I282" s="1">
        <f t="shared" ca="1" si="45"/>
        <v>46051</v>
      </c>
      <c r="J282">
        <f t="shared" ca="1" si="46"/>
        <v>46.17</v>
      </c>
      <c r="K282" t="str">
        <f t="shared" ca="1" si="47"/>
        <v>Low Stock</v>
      </c>
      <c r="L282" s="2">
        <f t="shared" ca="1" si="48"/>
        <v>99</v>
      </c>
      <c r="M282" t="str">
        <f t="shared" ca="1" si="49"/>
        <v>Safe</v>
      </c>
    </row>
    <row r="283" spans="1:13" x14ac:dyDescent="0.25">
      <c r="A283" t="str">
        <f t="shared" si="40"/>
        <v>M282</v>
      </c>
      <c r="B283" t="str" cm="1">
        <f t="array" aca="1" ref="B283" ca="1">INDEX({"Paracetamol","Amoxicillin","Ibuprofen","Cetirizine","Metformin","Amlodipine","Omeprazole","Azithromycin","Losartan","Vitamin C"}, RANDBETWEEN(1,10))</f>
        <v>Metformin</v>
      </c>
      <c r="C283" t="str" cm="1">
        <f t="array" aca="1" ref="C283" ca="1">INDEX({"Painkiller","Antibiotic","Painkiller","Antihistamine","Diabetes","Hypertension","Antacid","Antibiotic","Hypertension","Supplement"},
MATCH(B283,{"Paracetamol","Amoxicillin","Ibuprofen","Cetirizine","Metformin","Amlodipine","Omeprazole","Azithromycin","Losartan","Vitamin C"},0))</f>
        <v>Diabetes</v>
      </c>
      <c r="D283" t="str" cm="1">
        <f t="array" aca="1" ref="D283" ca="1">INDEX({"MedSupply Co","HealthCorp","PharmaPlus","GlobalMed"}, RANDBETWEEN(1,4))</f>
        <v>MedSupply Co</v>
      </c>
      <c r="E283">
        <f t="shared" ca="1" si="41"/>
        <v>161</v>
      </c>
      <c r="F283">
        <f t="shared" ca="1" si="42"/>
        <v>79</v>
      </c>
      <c r="G283">
        <f t="shared" ca="1" si="43"/>
        <v>1.3</v>
      </c>
      <c r="H283" s="1">
        <f t="shared" ca="1" si="44"/>
        <v>46159</v>
      </c>
      <c r="I283" s="1">
        <f t="shared" ca="1" si="45"/>
        <v>46060</v>
      </c>
      <c r="J283">
        <f t="shared" ca="1" si="46"/>
        <v>209.3</v>
      </c>
      <c r="K283" t="str">
        <f t="shared" ca="1" si="47"/>
        <v>In Stock</v>
      </c>
      <c r="L283" s="2">
        <f t="shared" ca="1" si="48"/>
        <v>40</v>
      </c>
      <c r="M283" t="str">
        <f t="shared" ca="1" si="49"/>
        <v>Safe</v>
      </c>
    </row>
    <row r="284" spans="1:13" x14ac:dyDescent="0.25">
      <c r="A284" t="str">
        <f t="shared" si="40"/>
        <v>M283</v>
      </c>
      <c r="B284" t="str" cm="1">
        <f t="array" aca="1" ref="B284" ca="1">INDEX({"Paracetamol","Amoxicillin","Ibuprofen","Cetirizine","Metformin","Amlodipine","Omeprazole","Azithromycin","Losartan","Vitamin C"}, RANDBETWEEN(1,10))</f>
        <v>Ibuprofen</v>
      </c>
      <c r="C284" t="str" cm="1">
        <f t="array" aca="1" ref="C284" ca="1">INDEX({"Painkiller","Antibiotic","Painkiller","Antihistamine","Diabetes","Hypertension","Antacid","Antibiotic","Hypertension","Supplement"},
MATCH(B284,{"Paracetamol","Amoxicillin","Ibuprofen","Cetirizine","Metformin","Amlodipine","Omeprazole","Azithromycin","Losartan","Vitamin C"},0))</f>
        <v>Painkiller</v>
      </c>
      <c r="D284" t="str" cm="1">
        <f t="array" aca="1" ref="D284" ca="1">INDEX({"MedSupply Co","HealthCorp","PharmaPlus","GlobalMed"}, RANDBETWEEN(1,4))</f>
        <v>GlobalMed</v>
      </c>
      <c r="E284">
        <f t="shared" ca="1" si="41"/>
        <v>134</v>
      </c>
      <c r="F284">
        <f t="shared" ca="1" si="42"/>
        <v>69</v>
      </c>
      <c r="G284">
        <f t="shared" ca="1" si="43"/>
        <v>1.06</v>
      </c>
      <c r="H284" s="1">
        <f t="shared" ca="1" si="44"/>
        <v>46344</v>
      </c>
      <c r="I284" s="1">
        <f t="shared" ca="1" si="45"/>
        <v>46008</v>
      </c>
      <c r="J284">
        <f t="shared" ca="1" si="46"/>
        <v>142.04000000000002</v>
      </c>
      <c r="K284" t="str">
        <f t="shared" ca="1" si="47"/>
        <v>In Stock</v>
      </c>
      <c r="L284" s="2">
        <f t="shared" ca="1" si="48"/>
        <v>225</v>
      </c>
      <c r="M284" t="str">
        <f t="shared" ca="1" si="49"/>
        <v>Safe</v>
      </c>
    </row>
    <row r="285" spans="1:13" x14ac:dyDescent="0.25">
      <c r="A285" t="str">
        <f t="shared" si="40"/>
        <v>M284</v>
      </c>
      <c r="B285" t="str" cm="1">
        <f t="array" aca="1" ref="B285" ca="1">INDEX({"Paracetamol","Amoxicillin","Ibuprofen","Cetirizine","Metformin","Amlodipine","Omeprazole","Azithromycin","Losartan","Vitamin C"}, RANDBETWEEN(1,10))</f>
        <v>Omeprazole</v>
      </c>
      <c r="C285" t="str" cm="1">
        <f t="array" aca="1" ref="C285" ca="1">INDEX({"Painkiller","Antibiotic","Painkiller","Antihistamine","Diabetes","Hypertension","Antacid","Antibiotic","Hypertension","Supplement"},
MATCH(B285,{"Paracetamol","Amoxicillin","Ibuprofen","Cetirizine","Metformin","Amlodipine","Omeprazole","Azithromycin","Losartan","Vitamin C"},0))</f>
        <v>Antacid</v>
      </c>
      <c r="D285" t="str" cm="1">
        <f t="array" aca="1" ref="D285" ca="1">INDEX({"MedSupply Co","HealthCorp","PharmaPlus","GlobalMed"}, RANDBETWEEN(1,4))</f>
        <v>MedSupply Co</v>
      </c>
      <c r="E285">
        <f t="shared" ca="1" si="41"/>
        <v>141</v>
      </c>
      <c r="F285">
        <f t="shared" ca="1" si="42"/>
        <v>81</v>
      </c>
      <c r="G285">
        <f t="shared" ca="1" si="43"/>
        <v>0.85</v>
      </c>
      <c r="H285" s="1">
        <f t="shared" ca="1" si="44"/>
        <v>46272</v>
      </c>
      <c r="I285" s="1">
        <f t="shared" ca="1" si="45"/>
        <v>46116</v>
      </c>
      <c r="J285">
        <f t="shared" ca="1" si="46"/>
        <v>119.85</v>
      </c>
      <c r="K285" t="str">
        <f t="shared" ca="1" si="47"/>
        <v>In Stock</v>
      </c>
      <c r="L285" s="2">
        <f t="shared" ca="1" si="48"/>
        <v>153</v>
      </c>
      <c r="M285" t="str">
        <f t="shared" ca="1" si="49"/>
        <v>Safe</v>
      </c>
    </row>
    <row r="286" spans="1:13" x14ac:dyDescent="0.25">
      <c r="A286" t="str">
        <f t="shared" si="40"/>
        <v>M285</v>
      </c>
      <c r="B286" t="str" cm="1">
        <f t="array" aca="1" ref="B286" ca="1">INDEX({"Paracetamol","Amoxicillin","Ibuprofen","Cetirizine","Metformin","Amlodipine","Omeprazole","Azithromycin","Losartan","Vitamin C"}, RANDBETWEEN(1,10))</f>
        <v>Vitamin C</v>
      </c>
      <c r="C286" t="str" cm="1">
        <f t="array" aca="1" ref="C286" ca="1">INDEX({"Painkiller","Antibiotic","Painkiller","Antihistamine","Diabetes","Hypertension","Antacid","Antibiotic","Hypertension","Supplement"},
MATCH(B286,{"Paracetamol","Amoxicillin","Ibuprofen","Cetirizine","Metformin","Amlodipine","Omeprazole","Azithromycin","Losartan","Vitamin C"},0))</f>
        <v>Supplement</v>
      </c>
      <c r="D286" t="str" cm="1">
        <f t="array" aca="1" ref="D286" ca="1">INDEX({"MedSupply Co","HealthCorp","PharmaPlus","GlobalMed"}, RANDBETWEEN(1,4))</f>
        <v>HealthCorp</v>
      </c>
      <c r="E286">
        <f t="shared" ca="1" si="41"/>
        <v>169</v>
      </c>
      <c r="F286">
        <f t="shared" ca="1" si="42"/>
        <v>27</v>
      </c>
      <c r="G286">
        <f t="shared" ca="1" si="43"/>
        <v>1.87</v>
      </c>
      <c r="H286" s="1">
        <f t="shared" ca="1" si="44"/>
        <v>46320</v>
      </c>
      <c r="I286" s="1">
        <f t="shared" ca="1" si="45"/>
        <v>45979</v>
      </c>
      <c r="J286">
        <f t="shared" ca="1" si="46"/>
        <v>316.03000000000003</v>
      </c>
      <c r="K286" t="str">
        <f t="shared" ca="1" si="47"/>
        <v>In Stock</v>
      </c>
      <c r="L286" s="2">
        <f t="shared" ca="1" si="48"/>
        <v>201</v>
      </c>
      <c r="M286" t="str">
        <f t="shared" ca="1" si="49"/>
        <v>Safe</v>
      </c>
    </row>
    <row r="287" spans="1:13" x14ac:dyDescent="0.25">
      <c r="A287" t="str">
        <f t="shared" si="40"/>
        <v>M286</v>
      </c>
      <c r="B287" t="str" cm="1">
        <f t="array" aca="1" ref="B287" ca="1">INDEX({"Paracetamol","Amoxicillin","Ibuprofen","Cetirizine","Metformin","Amlodipine","Omeprazole","Azithromycin","Losartan","Vitamin C"}, RANDBETWEEN(1,10))</f>
        <v>Azithromycin</v>
      </c>
      <c r="C287" t="str" cm="1">
        <f t="array" aca="1" ref="C287" ca="1">INDEX({"Painkiller","Antibiotic","Painkiller","Antihistamine","Diabetes","Hypertension","Antacid","Antibiotic","Hypertension","Supplement"},
MATCH(B287,{"Paracetamol","Amoxicillin","Ibuprofen","Cetirizine","Metformin","Amlodipine","Omeprazole","Azithromycin","Losartan","Vitamin C"},0))</f>
        <v>Antibiotic</v>
      </c>
      <c r="D287" t="str" cm="1">
        <f t="array" aca="1" ref="D287" ca="1">INDEX({"MedSupply Co","HealthCorp","PharmaPlus","GlobalMed"}, RANDBETWEEN(1,4))</f>
        <v>GlobalMed</v>
      </c>
      <c r="E287">
        <f t="shared" ca="1" si="41"/>
        <v>38</v>
      </c>
      <c r="F287">
        <f t="shared" ca="1" si="42"/>
        <v>55</v>
      </c>
      <c r="G287">
        <f t="shared" ca="1" si="43"/>
        <v>1.97</v>
      </c>
      <c r="H287" s="1">
        <f t="shared" ca="1" si="44"/>
        <v>46307</v>
      </c>
      <c r="I287" s="1">
        <f t="shared" ca="1" si="45"/>
        <v>46024</v>
      </c>
      <c r="J287">
        <f t="shared" ca="1" si="46"/>
        <v>74.86</v>
      </c>
      <c r="K287" t="str">
        <f t="shared" ca="1" si="47"/>
        <v>Low Stock</v>
      </c>
      <c r="L287" s="2">
        <f t="shared" ca="1" si="48"/>
        <v>188</v>
      </c>
      <c r="M287" t="str">
        <f t="shared" ca="1" si="49"/>
        <v>Safe</v>
      </c>
    </row>
    <row r="288" spans="1:13" x14ac:dyDescent="0.25">
      <c r="A288" t="str">
        <f t="shared" si="40"/>
        <v>M287</v>
      </c>
      <c r="B288" t="str" cm="1">
        <f t="array" aca="1" ref="B288" ca="1">INDEX({"Paracetamol","Amoxicillin","Ibuprofen","Cetirizine","Metformin","Amlodipine","Omeprazole","Azithromycin","Losartan","Vitamin C"}, RANDBETWEEN(1,10))</f>
        <v>Cetirizine</v>
      </c>
      <c r="C288" t="str" cm="1">
        <f t="array" aca="1" ref="C288" ca="1">INDEX({"Painkiller","Antibiotic","Painkiller","Antihistamine","Diabetes","Hypertension","Antacid","Antibiotic","Hypertension","Supplement"},
MATCH(B288,{"Paracetamol","Amoxicillin","Ibuprofen","Cetirizine","Metformin","Amlodipine","Omeprazole","Azithromycin","Losartan","Vitamin C"},0))</f>
        <v>Antihistamine</v>
      </c>
      <c r="D288" t="str" cm="1">
        <f t="array" aca="1" ref="D288" ca="1">INDEX({"MedSupply Co","HealthCorp","PharmaPlus","GlobalMed"}, RANDBETWEEN(1,4))</f>
        <v>MedSupply Co</v>
      </c>
      <c r="E288">
        <f t="shared" ca="1" si="41"/>
        <v>198</v>
      </c>
      <c r="F288">
        <f t="shared" ca="1" si="42"/>
        <v>69</v>
      </c>
      <c r="G288">
        <f t="shared" ca="1" si="43"/>
        <v>0.88</v>
      </c>
      <c r="H288" s="1">
        <f t="shared" ca="1" si="44"/>
        <v>46454</v>
      </c>
      <c r="I288" s="1">
        <f t="shared" ca="1" si="45"/>
        <v>46117</v>
      </c>
      <c r="J288">
        <f t="shared" ca="1" si="46"/>
        <v>174.24</v>
      </c>
      <c r="K288" t="str">
        <f t="shared" ca="1" si="47"/>
        <v>In Stock</v>
      </c>
      <c r="L288" s="2">
        <f t="shared" ca="1" si="48"/>
        <v>335</v>
      </c>
      <c r="M288" t="str">
        <f t="shared" ca="1" si="49"/>
        <v>Safe</v>
      </c>
    </row>
    <row r="289" spans="1:13" x14ac:dyDescent="0.25">
      <c r="A289" t="str">
        <f t="shared" si="40"/>
        <v>M288</v>
      </c>
      <c r="B289" t="str" cm="1">
        <f t="array" aca="1" ref="B289" ca="1">INDEX({"Paracetamol","Amoxicillin","Ibuprofen","Cetirizine","Metformin","Amlodipine","Omeprazole","Azithromycin","Losartan","Vitamin C"}, RANDBETWEEN(1,10))</f>
        <v>Ibuprofen</v>
      </c>
      <c r="C289" t="str" cm="1">
        <f t="array" aca="1" ref="C289" ca="1">INDEX({"Painkiller","Antibiotic","Painkiller","Antihistamine","Diabetes","Hypertension","Antacid","Antibiotic","Hypertension","Supplement"},
MATCH(B289,{"Paracetamol","Amoxicillin","Ibuprofen","Cetirizine","Metformin","Amlodipine","Omeprazole","Azithromycin","Losartan","Vitamin C"},0))</f>
        <v>Painkiller</v>
      </c>
      <c r="D289" t="str" cm="1">
        <f t="array" aca="1" ref="D289" ca="1">INDEX({"MedSupply Co","HealthCorp","PharmaPlus","GlobalMed"}, RANDBETWEEN(1,4))</f>
        <v>MedSupply Co</v>
      </c>
      <c r="E289">
        <f t="shared" ca="1" si="41"/>
        <v>50</v>
      </c>
      <c r="F289">
        <f t="shared" ca="1" si="42"/>
        <v>33</v>
      </c>
      <c r="G289">
        <f t="shared" ca="1" si="43"/>
        <v>0.83</v>
      </c>
      <c r="H289" s="1">
        <f t="shared" ca="1" si="44"/>
        <v>46196</v>
      </c>
      <c r="I289" s="1">
        <f t="shared" ca="1" si="45"/>
        <v>46110</v>
      </c>
      <c r="J289">
        <f t="shared" ca="1" si="46"/>
        <v>41.5</v>
      </c>
      <c r="K289" t="str">
        <f t="shared" ca="1" si="47"/>
        <v>In Stock</v>
      </c>
      <c r="L289" s="2">
        <f t="shared" ca="1" si="48"/>
        <v>77</v>
      </c>
      <c r="M289" t="str">
        <f t="shared" ca="1" si="49"/>
        <v>Safe</v>
      </c>
    </row>
    <row r="290" spans="1:13" x14ac:dyDescent="0.25">
      <c r="A290" t="str">
        <f t="shared" si="40"/>
        <v>M289</v>
      </c>
      <c r="B290" t="str" cm="1">
        <f t="array" aca="1" ref="B290" ca="1">INDEX({"Paracetamol","Amoxicillin","Ibuprofen","Cetirizine","Metformin","Amlodipine","Omeprazole","Azithromycin","Losartan","Vitamin C"}, RANDBETWEEN(1,10))</f>
        <v>Losartan</v>
      </c>
      <c r="C290" t="str" cm="1">
        <f t="array" aca="1" ref="C290" ca="1">INDEX({"Painkiller","Antibiotic","Painkiller","Antihistamine","Diabetes","Hypertension","Antacid","Antibiotic","Hypertension","Supplement"},
MATCH(B290,{"Paracetamol","Amoxicillin","Ibuprofen","Cetirizine","Metformin","Amlodipine","Omeprazole","Azithromycin","Losartan","Vitamin C"},0))</f>
        <v>Hypertension</v>
      </c>
      <c r="D290" t="str" cm="1">
        <f t="array" aca="1" ref="D290" ca="1">INDEX({"MedSupply Co","HealthCorp","PharmaPlus","GlobalMed"}, RANDBETWEEN(1,4))</f>
        <v>HealthCorp</v>
      </c>
      <c r="E290">
        <f t="shared" ca="1" si="41"/>
        <v>162</v>
      </c>
      <c r="F290">
        <f t="shared" ca="1" si="42"/>
        <v>40</v>
      </c>
      <c r="G290">
        <f t="shared" ca="1" si="43"/>
        <v>1.79</v>
      </c>
      <c r="H290" s="1">
        <f t="shared" ca="1" si="44"/>
        <v>46388</v>
      </c>
      <c r="I290" s="1">
        <f t="shared" ca="1" si="45"/>
        <v>46092</v>
      </c>
      <c r="J290">
        <f t="shared" ca="1" si="46"/>
        <v>289.98</v>
      </c>
      <c r="K290" t="str">
        <f t="shared" ca="1" si="47"/>
        <v>In Stock</v>
      </c>
      <c r="L290" s="2">
        <f t="shared" ca="1" si="48"/>
        <v>269</v>
      </c>
      <c r="M290" t="str">
        <f t="shared" ca="1" si="49"/>
        <v>Safe</v>
      </c>
    </row>
    <row r="291" spans="1:13" x14ac:dyDescent="0.25">
      <c r="A291" t="str">
        <f t="shared" si="40"/>
        <v>M290</v>
      </c>
      <c r="B291" t="str" cm="1">
        <f t="array" aca="1" ref="B291" ca="1">INDEX({"Paracetamol","Amoxicillin","Ibuprofen","Cetirizine","Metformin","Amlodipine","Omeprazole","Azithromycin","Losartan","Vitamin C"}, RANDBETWEEN(1,10))</f>
        <v>Omeprazole</v>
      </c>
      <c r="C291" t="str" cm="1">
        <f t="array" aca="1" ref="C291" ca="1">INDEX({"Painkiller","Antibiotic","Painkiller","Antihistamine","Diabetes","Hypertension","Antacid","Antibiotic","Hypertension","Supplement"},
MATCH(B291,{"Paracetamol","Amoxicillin","Ibuprofen","Cetirizine","Metformin","Amlodipine","Omeprazole","Azithromycin","Losartan","Vitamin C"},0))</f>
        <v>Antacid</v>
      </c>
      <c r="D291" t="str" cm="1">
        <f t="array" aca="1" ref="D291" ca="1">INDEX({"MedSupply Co","HealthCorp","PharmaPlus","GlobalMed"}, RANDBETWEEN(1,4))</f>
        <v>HealthCorp</v>
      </c>
      <c r="E291">
        <f t="shared" ca="1" si="41"/>
        <v>46</v>
      </c>
      <c r="F291">
        <f t="shared" ca="1" si="42"/>
        <v>46</v>
      </c>
      <c r="G291">
        <f t="shared" ca="1" si="43"/>
        <v>1.85</v>
      </c>
      <c r="H291" s="1">
        <f t="shared" ca="1" si="44"/>
        <v>46408</v>
      </c>
      <c r="I291" s="1">
        <f t="shared" ca="1" si="45"/>
        <v>46012</v>
      </c>
      <c r="J291">
        <f t="shared" ca="1" si="46"/>
        <v>85.100000000000009</v>
      </c>
      <c r="K291" t="str">
        <f t="shared" ca="1" si="47"/>
        <v>In Stock</v>
      </c>
      <c r="L291" s="2">
        <f t="shared" ca="1" si="48"/>
        <v>289</v>
      </c>
      <c r="M291" t="str">
        <f t="shared" ca="1" si="49"/>
        <v>Safe</v>
      </c>
    </row>
    <row r="292" spans="1:13" x14ac:dyDescent="0.25">
      <c r="A292" t="str">
        <f t="shared" si="40"/>
        <v>M291</v>
      </c>
      <c r="B292" t="str" cm="1">
        <f t="array" aca="1" ref="B292" ca="1">INDEX({"Paracetamol","Amoxicillin","Ibuprofen","Cetirizine","Metformin","Amlodipine","Omeprazole","Azithromycin","Losartan","Vitamin C"}, RANDBETWEEN(1,10))</f>
        <v>Azithromycin</v>
      </c>
      <c r="C292" t="str" cm="1">
        <f t="array" aca="1" ref="C292" ca="1">INDEX({"Painkiller","Antibiotic","Painkiller","Antihistamine","Diabetes","Hypertension","Antacid","Antibiotic","Hypertension","Supplement"},
MATCH(B292,{"Paracetamol","Amoxicillin","Ibuprofen","Cetirizine","Metformin","Amlodipine","Omeprazole","Azithromycin","Losartan","Vitamin C"},0))</f>
        <v>Antibiotic</v>
      </c>
      <c r="D292" t="str" cm="1">
        <f t="array" aca="1" ref="D292" ca="1">INDEX({"MedSupply Co","HealthCorp","PharmaPlus","GlobalMed"}, RANDBETWEEN(1,4))</f>
        <v>HealthCorp</v>
      </c>
      <c r="E292">
        <f t="shared" ca="1" si="41"/>
        <v>154</v>
      </c>
      <c r="F292">
        <f t="shared" ca="1" si="42"/>
        <v>90</v>
      </c>
      <c r="G292">
        <f t="shared" ca="1" si="43"/>
        <v>1.57</v>
      </c>
      <c r="H292" s="1">
        <f t="shared" ca="1" si="44"/>
        <v>46295</v>
      </c>
      <c r="I292" s="1">
        <f t="shared" ca="1" si="45"/>
        <v>45988</v>
      </c>
      <c r="J292">
        <f t="shared" ca="1" si="46"/>
        <v>241.78</v>
      </c>
      <c r="K292" t="str">
        <f t="shared" ca="1" si="47"/>
        <v>In Stock</v>
      </c>
      <c r="L292" s="2">
        <f t="shared" ca="1" si="48"/>
        <v>176</v>
      </c>
      <c r="M292" t="str">
        <f t="shared" ca="1" si="49"/>
        <v>Safe</v>
      </c>
    </row>
    <row r="293" spans="1:13" x14ac:dyDescent="0.25">
      <c r="A293" t="str">
        <f t="shared" si="40"/>
        <v>M292</v>
      </c>
      <c r="B293" t="str" cm="1">
        <f t="array" aca="1" ref="B293" ca="1">INDEX({"Paracetamol","Amoxicillin","Ibuprofen","Cetirizine","Metformin","Amlodipine","Omeprazole","Azithromycin","Losartan","Vitamin C"}, RANDBETWEEN(1,10))</f>
        <v>Cetirizine</v>
      </c>
      <c r="C293" t="str" cm="1">
        <f t="array" aca="1" ref="C293" ca="1">INDEX({"Painkiller","Antibiotic","Painkiller","Antihistamine","Diabetes","Hypertension","Antacid","Antibiotic","Hypertension","Supplement"},
MATCH(B293,{"Paracetamol","Amoxicillin","Ibuprofen","Cetirizine","Metformin","Amlodipine","Omeprazole","Azithromycin","Losartan","Vitamin C"},0))</f>
        <v>Antihistamine</v>
      </c>
      <c r="D293" t="str" cm="1">
        <f t="array" aca="1" ref="D293" ca="1">INDEX({"MedSupply Co","HealthCorp","PharmaPlus","GlobalMed"}, RANDBETWEEN(1,4))</f>
        <v>GlobalMed</v>
      </c>
      <c r="E293">
        <f t="shared" ca="1" si="41"/>
        <v>85</v>
      </c>
      <c r="F293">
        <f t="shared" ca="1" si="42"/>
        <v>88</v>
      </c>
      <c r="G293">
        <f t="shared" ca="1" si="43"/>
        <v>1.99</v>
      </c>
      <c r="H293" s="1">
        <f t="shared" ca="1" si="44"/>
        <v>46346</v>
      </c>
      <c r="I293" s="1">
        <f t="shared" ca="1" si="45"/>
        <v>46071</v>
      </c>
      <c r="J293">
        <f t="shared" ca="1" si="46"/>
        <v>169.15</v>
      </c>
      <c r="K293" t="str">
        <f t="shared" ca="1" si="47"/>
        <v>Low Stock</v>
      </c>
      <c r="L293" s="2">
        <f t="shared" ca="1" si="48"/>
        <v>227</v>
      </c>
      <c r="M293" t="str">
        <f t="shared" ca="1" si="49"/>
        <v>Safe</v>
      </c>
    </row>
    <row r="294" spans="1:13" x14ac:dyDescent="0.25">
      <c r="A294" t="str">
        <f t="shared" si="40"/>
        <v>M293</v>
      </c>
      <c r="B294" t="str" cm="1">
        <f t="array" aca="1" ref="B294" ca="1">INDEX({"Paracetamol","Amoxicillin","Ibuprofen","Cetirizine","Metformin","Amlodipine","Omeprazole","Azithromycin","Losartan","Vitamin C"}, RANDBETWEEN(1,10))</f>
        <v>Metformin</v>
      </c>
      <c r="C294" t="str" cm="1">
        <f t="array" aca="1" ref="C294" ca="1">INDEX({"Painkiller","Antibiotic","Painkiller","Antihistamine","Diabetes","Hypertension","Antacid","Antibiotic","Hypertension","Supplement"},
MATCH(B294,{"Paracetamol","Amoxicillin","Ibuprofen","Cetirizine","Metformin","Amlodipine","Omeprazole","Azithromycin","Losartan","Vitamin C"},0))</f>
        <v>Diabetes</v>
      </c>
      <c r="D294" t="str" cm="1">
        <f t="array" aca="1" ref="D294" ca="1">INDEX({"MedSupply Co","HealthCorp","PharmaPlus","GlobalMed"}, RANDBETWEEN(1,4))</f>
        <v>MedSupply Co</v>
      </c>
      <c r="E294">
        <f t="shared" ca="1" si="41"/>
        <v>143</v>
      </c>
      <c r="F294">
        <f t="shared" ca="1" si="42"/>
        <v>84</v>
      </c>
      <c r="G294">
        <f t="shared" ca="1" si="43"/>
        <v>0.9</v>
      </c>
      <c r="H294" s="1">
        <f t="shared" ca="1" si="44"/>
        <v>46344</v>
      </c>
      <c r="I294" s="1">
        <f t="shared" ca="1" si="45"/>
        <v>46026</v>
      </c>
      <c r="J294">
        <f t="shared" ca="1" si="46"/>
        <v>128.70000000000002</v>
      </c>
      <c r="K294" t="str">
        <f t="shared" ca="1" si="47"/>
        <v>In Stock</v>
      </c>
      <c r="L294" s="2">
        <f t="shared" ca="1" si="48"/>
        <v>225</v>
      </c>
      <c r="M294" t="str">
        <f t="shared" ca="1" si="49"/>
        <v>Safe</v>
      </c>
    </row>
    <row r="295" spans="1:13" x14ac:dyDescent="0.25">
      <c r="A295" t="str">
        <f t="shared" si="40"/>
        <v>M294</v>
      </c>
      <c r="B295" t="str" cm="1">
        <f t="array" aca="1" ref="B295" ca="1">INDEX({"Paracetamol","Amoxicillin","Ibuprofen","Cetirizine","Metformin","Amlodipine","Omeprazole","Azithromycin","Losartan","Vitamin C"}, RANDBETWEEN(1,10))</f>
        <v>Vitamin C</v>
      </c>
      <c r="C295" t="str" cm="1">
        <f t="array" aca="1" ref="C295" ca="1">INDEX({"Painkiller","Antibiotic","Painkiller","Antihistamine","Diabetes","Hypertension","Antacid","Antibiotic","Hypertension","Supplement"},
MATCH(B295,{"Paracetamol","Amoxicillin","Ibuprofen","Cetirizine","Metformin","Amlodipine","Omeprazole","Azithromycin","Losartan","Vitamin C"},0))</f>
        <v>Supplement</v>
      </c>
      <c r="D295" t="str" cm="1">
        <f t="array" aca="1" ref="D295" ca="1">INDEX({"MedSupply Co","HealthCorp","PharmaPlus","GlobalMed"}, RANDBETWEEN(1,4))</f>
        <v>MedSupply Co</v>
      </c>
      <c r="E295">
        <f t="shared" ca="1" si="41"/>
        <v>120</v>
      </c>
      <c r="F295">
        <f t="shared" ca="1" si="42"/>
        <v>41</v>
      </c>
      <c r="G295">
        <f t="shared" ca="1" si="43"/>
        <v>0.73</v>
      </c>
      <c r="H295" s="1">
        <f t="shared" ca="1" si="44"/>
        <v>46312</v>
      </c>
      <c r="I295" s="1">
        <f t="shared" ca="1" si="45"/>
        <v>46005</v>
      </c>
      <c r="J295">
        <f t="shared" ca="1" si="46"/>
        <v>87.6</v>
      </c>
      <c r="K295" t="str">
        <f t="shared" ca="1" si="47"/>
        <v>In Stock</v>
      </c>
      <c r="L295" s="2">
        <f t="shared" ca="1" si="48"/>
        <v>193</v>
      </c>
      <c r="M295" t="str">
        <f t="shared" ca="1" si="49"/>
        <v>Safe</v>
      </c>
    </row>
    <row r="296" spans="1:13" x14ac:dyDescent="0.25">
      <c r="A296" t="str">
        <f t="shared" si="40"/>
        <v>M295</v>
      </c>
      <c r="B296" t="str" cm="1">
        <f t="array" aca="1" ref="B296" ca="1">INDEX({"Paracetamol","Amoxicillin","Ibuprofen","Cetirizine","Metformin","Amlodipine","Omeprazole","Azithromycin","Losartan","Vitamin C"}, RANDBETWEEN(1,10))</f>
        <v>Paracetamol</v>
      </c>
      <c r="C296" t="str" cm="1">
        <f t="array" aca="1" ref="C296" ca="1">INDEX({"Painkiller","Antibiotic","Painkiller","Antihistamine","Diabetes","Hypertension","Antacid","Antibiotic","Hypertension","Supplement"},
MATCH(B296,{"Paracetamol","Amoxicillin","Ibuprofen","Cetirizine","Metformin","Amlodipine","Omeprazole","Azithromycin","Losartan","Vitamin C"},0))</f>
        <v>Painkiller</v>
      </c>
      <c r="D296" t="str" cm="1">
        <f t="array" aca="1" ref="D296" ca="1">INDEX({"MedSupply Co","HealthCorp","PharmaPlus","GlobalMed"}, RANDBETWEEN(1,4))</f>
        <v>GlobalMed</v>
      </c>
      <c r="E296">
        <f t="shared" ca="1" si="41"/>
        <v>6</v>
      </c>
      <c r="F296">
        <f t="shared" ca="1" si="42"/>
        <v>62</v>
      </c>
      <c r="G296">
        <f t="shared" ca="1" si="43"/>
        <v>0.88</v>
      </c>
      <c r="H296" s="1">
        <f t="shared" ca="1" si="44"/>
        <v>46459</v>
      </c>
      <c r="I296" s="1">
        <f t="shared" ca="1" si="45"/>
        <v>46043</v>
      </c>
      <c r="J296">
        <f t="shared" ca="1" si="46"/>
        <v>5.28</v>
      </c>
      <c r="K296" t="str">
        <f t="shared" ca="1" si="47"/>
        <v>Low Stock</v>
      </c>
      <c r="L296" s="2">
        <f t="shared" ca="1" si="48"/>
        <v>340</v>
      </c>
      <c r="M296" t="str">
        <f t="shared" ca="1" si="49"/>
        <v>Safe</v>
      </c>
    </row>
    <row r="297" spans="1:13" x14ac:dyDescent="0.25">
      <c r="A297" t="str">
        <f t="shared" si="40"/>
        <v>M296</v>
      </c>
      <c r="B297" t="str" cm="1">
        <f t="array" aca="1" ref="B297" ca="1">INDEX({"Paracetamol","Amoxicillin","Ibuprofen","Cetirizine","Metformin","Amlodipine","Omeprazole","Azithromycin","Losartan","Vitamin C"}, RANDBETWEEN(1,10))</f>
        <v>Paracetamol</v>
      </c>
      <c r="C297" t="str" cm="1">
        <f t="array" aca="1" ref="C297" ca="1">INDEX({"Painkiller","Antibiotic","Painkiller","Antihistamine","Diabetes","Hypertension","Antacid","Antibiotic","Hypertension","Supplement"},
MATCH(B297,{"Paracetamol","Amoxicillin","Ibuprofen","Cetirizine","Metformin","Amlodipine","Omeprazole","Azithromycin","Losartan","Vitamin C"},0))</f>
        <v>Painkiller</v>
      </c>
      <c r="D297" t="str" cm="1">
        <f t="array" aca="1" ref="D297" ca="1">INDEX({"MedSupply Co","HealthCorp","PharmaPlus","GlobalMed"}, RANDBETWEEN(1,4))</f>
        <v>GlobalMed</v>
      </c>
      <c r="E297">
        <f t="shared" ca="1" si="41"/>
        <v>163</v>
      </c>
      <c r="F297">
        <f t="shared" ca="1" si="42"/>
        <v>61</v>
      </c>
      <c r="G297">
        <f t="shared" ca="1" si="43"/>
        <v>1.24</v>
      </c>
      <c r="H297" s="1">
        <f t="shared" ca="1" si="44"/>
        <v>46245</v>
      </c>
      <c r="I297" s="1">
        <f t="shared" ca="1" si="45"/>
        <v>45942</v>
      </c>
      <c r="J297">
        <f t="shared" ca="1" si="46"/>
        <v>202.12</v>
      </c>
      <c r="K297" t="str">
        <f t="shared" ca="1" si="47"/>
        <v>In Stock</v>
      </c>
      <c r="L297" s="2">
        <f t="shared" ca="1" si="48"/>
        <v>126</v>
      </c>
      <c r="M297" t="str">
        <f t="shared" ca="1" si="49"/>
        <v>Safe</v>
      </c>
    </row>
    <row r="298" spans="1:13" x14ac:dyDescent="0.25">
      <c r="A298" t="str">
        <f t="shared" si="40"/>
        <v>M297</v>
      </c>
      <c r="B298" t="str" cm="1">
        <f t="array" aca="1" ref="B298" ca="1">INDEX({"Paracetamol","Amoxicillin","Ibuprofen","Cetirizine","Metformin","Amlodipine","Omeprazole","Azithromycin","Losartan","Vitamin C"}, RANDBETWEEN(1,10))</f>
        <v>Amoxicillin</v>
      </c>
      <c r="C298" t="str" cm="1">
        <f t="array" aca="1" ref="C298" ca="1">INDEX({"Painkiller","Antibiotic","Painkiller","Antihistamine","Diabetes","Hypertension","Antacid","Antibiotic","Hypertension","Supplement"},
MATCH(B298,{"Paracetamol","Amoxicillin","Ibuprofen","Cetirizine","Metformin","Amlodipine","Omeprazole","Azithromycin","Losartan","Vitamin C"},0))</f>
        <v>Antibiotic</v>
      </c>
      <c r="D298" t="str" cm="1">
        <f t="array" aca="1" ref="D298" ca="1">INDEX({"MedSupply Co","HealthCorp","PharmaPlus","GlobalMed"}, RANDBETWEEN(1,4))</f>
        <v>GlobalMed</v>
      </c>
      <c r="E298">
        <f t="shared" ca="1" si="41"/>
        <v>95</v>
      </c>
      <c r="F298">
        <f t="shared" ca="1" si="42"/>
        <v>45</v>
      </c>
      <c r="G298">
        <f t="shared" ca="1" si="43"/>
        <v>1.0900000000000001</v>
      </c>
      <c r="H298" s="1">
        <f t="shared" ca="1" si="44"/>
        <v>46469</v>
      </c>
      <c r="I298" s="1">
        <f t="shared" ca="1" si="45"/>
        <v>46024</v>
      </c>
      <c r="J298">
        <f t="shared" ca="1" si="46"/>
        <v>103.55000000000001</v>
      </c>
      <c r="K298" t="str">
        <f t="shared" ca="1" si="47"/>
        <v>In Stock</v>
      </c>
      <c r="L298" s="2">
        <f t="shared" ca="1" si="48"/>
        <v>350</v>
      </c>
      <c r="M298" t="str">
        <f t="shared" ca="1" si="49"/>
        <v>Safe</v>
      </c>
    </row>
    <row r="299" spans="1:13" x14ac:dyDescent="0.25">
      <c r="A299" t="str">
        <f t="shared" si="40"/>
        <v>M298</v>
      </c>
      <c r="B299" t="str" cm="1">
        <f t="array" aca="1" ref="B299" ca="1">INDEX({"Paracetamol","Amoxicillin","Ibuprofen","Cetirizine","Metformin","Amlodipine","Omeprazole","Azithromycin","Losartan","Vitamin C"}, RANDBETWEEN(1,10))</f>
        <v>Metformin</v>
      </c>
      <c r="C299" t="str" cm="1">
        <f t="array" aca="1" ref="C299" ca="1">INDEX({"Painkiller","Antibiotic","Painkiller","Antihistamine","Diabetes","Hypertension","Antacid","Antibiotic","Hypertension","Supplement"},
MATCH(B299,{"Paracetamol","Amoxicillin","Ibuprofen","Cetirizine","Metformin","Amlodipine","Omeprazole","Azithromycin","Losartan","Vitamin C"},0))</f>
        <v>Diabetes</v>
      </c>
      <c r="D299" t="str" cm="1">
        <f t="array" aca="1" ref="D299" ca="1">INDEX({"MedSupply Co","HealthCorp","PharmaPlus","GlobalMed"}, RANDBETWEEN(1,4))</f>
        <v>PharmaPlus</v>
      </c>
      <c r="E299">
        <f t="shared" ca="1" si="41"/>
        <v>34</v>
      </c>
      <c r="F299">
        <f t="shared" ca="1" si="42"/>
        <v>61</v>
      </c>
      <c r="G299">
        <f t="shared" ca="1" si="43"/>
        <v>0.68</v>
      </c>
      <c r="H299" s="1">
        <f t="shared" ca="1" si="44"/>
        <v>46432</v>
      </c>
      <c r="I299" s="1">
        <f t="shared" ca="1" si="45"/>
        <v>46027</v>
      </c>
      <c r="J299">
        <f t="shared" ca="1" si="46"/>
        <v>23.12</v>
      </c>
      <c r="K299" t="str">
        <f t="shared" ca="1" si="47"/>
        <v>Low Stock</v>
      </c>
      <c r="L299" s="2">
        <f t="shared" ca="1" si="48"/>
        <v>313</v>
      </c>
      <c r="M299" t="str">
        <f t="shared" ca="1" si="49"/>
        <v>Safe</v>
      </c>
    </row>
    <row r="300" spans="1:13" x14ac:dyDescent="0.25">
      <c r="A300" t="str">
        <f t="shared" si="40"/>
        <v>M299</v>
      </c>
      <c r="B300" t="str" cm="1">
        <f t="array" aca="1" ref="B300" ca="1">INDEX({"Paracetamol","Amoxicillin","Ibuprofen","Cetirizine","Metformin","Amlodipine","Omeprazole","Azithromycin","Losartan","Vitamin C"}, RANDBETWEEN(1,10))</f>
        <v>Azithromycin</v>
      </c>
      <c r="C300" t="str" cm="1">
        <f t="array" aca="1" ref="C300" ca="1">INDEX({"Painkiller","Antibiotic","Painkiller","Antihistamine","Diabetes","Hypertension","Antacid","Antibiotic","Hypertension","Supplement"},
MATCH(B300,{"Paracetamol","Amoxicillin","Ibuprofen","Cetirizine","Metformin","Amlodipine","Omeprazole","Azithromycin","Losartan","Vitamin C"},0))</f>
        <v>Antibiotic</v>
      </c>
      <c r="D300" t="str" cm="1">
        <f t="array" aca="1" ref="D300" ca="1">INDEX({"MedSupply Co","HealthCorp","PharmaPlus","GlobalMed"}, RANDBETWEEN(1,4))</f>
        <v>GlobalMed</v>
      </c>
      <c r="E300">
        <f t="shared" ca="1" si="41"/>
        <v>156</v>
      </c>
      <c r="F300">
        <f t="shared" ca="1" si="42"/>
        <v>99</v>
      </c>
      <c r="G300">
        <f t="shared" ca="1" si="43"/>
        <v>1.99</v>
      </c>
      <c r="H300" s="1">
        <f t="shared" ca="1" si="44"/>
        <v>46183</v>
      </c>
      <c r="I300" s="1">
        <f t="shared" ca="1" si="45"/>
        <v>45997</v>
      </c>
      <c r="J300">
        <f t="shared" ca="1" si="46"/>
        <v>310.44</v>
      </c>
      <c r="K300" t="str">
        <f t="shared" ca="1" si="47"/>
        <v>In Stock</v>
      </c>
      <c r="L300" s="2">
        <f t="shared" ca="1" si="48"/>
        <v>64</v>
      </c>
      <c r="M300" t="str">
        <f t="shared" ca="1" si="49"/>
        <v>Safe</v>
      </c>
    </row>
    <row r="301" spans="1:13" x14ac:dyDescent="0.25">
      <c r="A301" t="str">
        <f t="shared" si="40"/>
        <v>M300</v>
      </c>
      <c r="B301" t="str" cm="1">
        <f t="array" aca="1" ref="B301" ca="1">INDEX({"Paracetamol","Amoxicillin","Ibuprofen","Cetirizine","Metformin","Amlodipine","Omeprazole","Azithromycin","Losartan","Vitamin C"}, RANDBETWEEN(1,10))</f>
        <v>Cetirizine</v>
      </c>
      <c r="C301" t="str" cm="1">
        <f t="array" aca="1" ref="C301" ca="1">INDEX({"Painkiller","Antibiotic","Painkiller","Antihistamine","Diabetes","Hypertension","Antacid","Antibiotic","Hypertension","Supplement"},
MATCH(B301,{"Paracetamol","Amoxicillin","Ibuprofen","Cetirizine","Metformin","Amlodipine","Omeprazole","Azithromycin","Losartan","Vitamin C"},0))</f>
        <v>Antihistamine</v>
      </c>
      <c r="D301" t="str" cm="1">
        <f t="array" aca="1" ref="D301" ca="1">INDEX({"MedSupply Co","HealthCorp","PharmaPlus","GlobalMed"}, RANDBETWEEN(1,4))</f>
        <v>GlobalMed</v>
      </c>
      <c r="E301">
        <f t="shared" ca="1" si="41"/>
        <v>8</v>
      </c>
      <c r="F301">
        <f t="shared" ca="1" si="42"/>
        <v>76</v>
      </c>
      <c r="G301">
        <f t="shared" ca="1" si="43"/>
        <v>0.88</v>
      </c>
      <c r="H301" s="1">
        <f t="shared" ca="1" si="44"/>
        <v>46472</v>
      </c>
      <c r="I301" s="1">
        <f t="shared" ca="1" si="45"/>
        <v>45971</v>
      </c>
      <c r="J301">
        <f t="shared" ca="1" si="46"/>
        <v>7.04</v>
      </c>
      <c r="K301" t="str">
        <f t="shared" ca="1" si="47"/>
        <v>Low Stock</v>
      </c>
      <c r="L301" s="2">
        <f t="shared" ca="1" si="48"/>
        <v>353</v>
      </c>
      <c r="M301" t="str">
        <f t="shared" ca="1" si="49"/>
        <v>Safe</v>
      </c>
    </row>
    <row r="302" spans="1:13" x14ac:dyDescent="0.25">
      <c r="A302" t="str">
        <f t="shared" si="40"/>
        <v>M301</v>
      </c>
      <c r="B302" t="str" cm="1">
        <f t="array" aca="1" ref="B302" ca="1">INDEX({"Paracetamol","Amoxicillin","Ibuprofen","Cetirizine","Metformin","Amlodipine","Omeprazole","Azithromycin","Losartan","Vitamin C"}, RANDBETWEEN(1,10))</f>
        <v>Cetirizine</v>
      </c>
      <c r="C302" t="str" cm="1">
        <f t="array" aca="1" ref="C302" ca="1">INDEX({"Painkiller","Antibiotic","Painkiller","Antihistamine","Diabetes","Hypertension","Antacid","Antibiotic","Hypertension","Supplement"},
MATCH(B302,{"Paracetamol","Amoxicillin","Ibuprofen","Cetirizine","Metformin","Amlodipine","Omeprazole","Azithromycin","Losartan","Vitamin C"},0))</f>
        <v>Antihistamine</v>
      </c>
      <c r="D302" t="str" cm="1">
        <f t="array" aca="1" ref="D302" ca="1">INDEX({"MedSupply Co","HealthCorp","PharmaPlus","GlobalMed"}, RANDBETWEEN(1,4))</f>
        <v>MedSupply Co</v>
      </c>
      <c r="E302">
        <f t="shared" ca="1" si="41"/>
        <v>5</v>
      </c>
      <c r="F302">
        <f t="shared" ca="1" si="42"/>
        <v>47</v>
      </c>
      <c r="G302">
        <f t="shared" ca="1" si="43"/>
        <v>1.66</v>
      </c>
      <c r="H302" s="1">
        <f t="shared" ca="1" si="44"/>
        <v>46224</v>
      </c>
      <c r="I302" s="1">
        <f t="shared" ca="1" si="45"/>
        <v>45973</v>
      </c>
      <c r="J302">
        <f t="shared" ca="1" si="46"/>
        <v>8.2999999999999989</v>
      </c>
      <c r="K302" t="str">
        <f t="shared" ca="1" si="47"/>
        <v>Low Stock</v>
      </c>
      <c r="L302" s="2">
        <f t="shared" ca="1" si="48"/>
        <v>105</v>
      </c>
      <c r="M302" t="str">
        <f t="shared" ca="1" si="49"/>
        <v>Safe</v>
      </c>
    </row>
    <row r="303" spans="1:13" x14ac:dyDescent="0.25">
      <c r="A303" t="str">
        <f t="shared" si="40"/>
        <v>M302</v>
      </c>
      <c r="B303" t="str" cm="1">
        <f t="array" aca="1" ref="B303" ca="1">INDEX({"Paracetamol","Amoxicillin","Ibuprofen","Cetirizine","Metformin","Amlodipine","Omeprazole","Azithromycin","Losartan","Vitamin C"}, RANDBETWEEN(1,10))</f>
        <v>Cetirizine</v>
      </c>
      <c r="C303" t="str" cm="1">
        <f t="array" aca="1" ref="C303" ca="1">INDEX({"Painkiller","Antibiotic","Painkiller","Antihistamine","Diabetes","Hypertension","Antacid","Antibiotic","Hypertension","Supplement"},
MATCH(B303,{"Paracetamol","Amoxicillin","Ibuprofen","Cetirizine","Metformin","Amlodipine","Omeprazole","Azithromycin","Losartan","Vitamin C"},0))</f>
        <v>Antihistamine</v>
      </c>
      <c r="D303" t="str" cm="1">
        <f t="array" aca="1" ref="D303" ca="1">INDEX({"MedSupply Co","HealthCorp","PharmaPlus","GlobalMed"}, RANDBETWEEN(1,4))</f>
        <v>PharmaPlus</v>
      </c>
      <c r="E303">
        <f t="shared" ca="1" si="41"/>
        <v>176</v>
      </c>
      <c r="F303">
        <f t="shared" ca="1" si="42"/>
        <v>84</v>
      </c>
      <c r="G303">
        <f t="shared" ca="1" si="43"/>
        <v>1.65</v>
      </c>
      <c r="H303" s="1">
        <f t="shared" ca="1" si="44"/>
        <v>46382</v>
      </c>
      <c r="I303" s="1">
        <f t="shared" ca="1" si="45"/>
        <v>46116</v>
      </c>
      <c r="J303">
        <f t="shared" ca="1" si="46"/>
        <v>290.39999999999998</v>
      </c>
      <c r="K303" t="str">
        <f t="shared" ca="1" si="47"/>
        <v>In Stock</v>
      </c>
      <c r="L303" s="2">
        <f t="shared" ca="1" si="48"/>
        <v>263</v>
      </c>
      <c r="M303" t="str">
        <f t="shared" ca="1" si="49"/>
        <v>Safe</v>
      </c>
    </row>
    <row r="304" spans="1:13" x14ac:dyDescent="0.25">
      <c r="A304" t="str">
        <f t="shared" si="40"/>
        <v>M303</v>
      </c>
      <c r="B304" t="str" cm="1">
        <f t="array" aca="1" ref="B304" ca="1">INDEX({"Paracetamol","Amoxicillin","Ibuprofen","Cetirizine","Metformin","Amlodipine","Omeprazole","Azithromycin","Losartan","Vitamin C"}, RANDBETWEEN(1,10))</f>
        <v>Cetirizine</v>
      </c>
      <c r="C304" t="str" cm="1">
        <f t="array" aca="1" ref="C304" ca="1">INDEX({"Painkiller","Antibiotic","Painkiller","Antihistamine","Diabetes","Hypertension","Antacid","Antibiotic","Hypertension","Supplement"},
MATCH(B304,{"Paracetamol","Amoxicillin","Ibuprofen","Cetirizine","Metformin","Amlodipine","Omeprazole","Azithromycin","Losartan","Vitamin C"},0))</f>
        <v>Antihistamine</v>
      </c>
      <c r="D304" t="str" cm="1">
        <f t="array" aca="1" ref="D304" ca="1">INDEX({"MedSupply Co","HealthCorp","PharmaPlus","GlobalMed"}, RANDBETWEEN(1,4))</f>
        <v>GlobalMed</v>
      </c>
      <c r="E304">
        <f t="shared" ca="1" si="41"/>
        <v>187</v>
      </c>
      <c r="F304">
        <f t="shared" ca="1" si="42"/>
        <v>37</v>
      </c>
      <c r="G304">
        <f t="shared" ca="1" si="43"/>
        <v>1.48</v>
      </c>
      <c r="H304" s="1">
        <f t="shared" ca="1" si="44"/>
        <v>46150</v>
      </c>
      <c r="I304" s="1">
        <f t="shared" ca="1" si="45"/>
        <v>45994</v>
      </c>
      <c r="J304">
        <f t="shared" ca="1" si="46"/>
        <v>276.76</v>
      </c>
      <c r="K304" t="str">
        <f t="shared" ca="1" si="47"/>
        <v>In Stock</v>
      </c>
      <c r="L304" s="2">
        <f t="shared" ca="1" si="48"/>
        <v>31</v>
      </c>
      <c r="M304" t="str">
        <f t="shared" ca="1" si="49"/>
        <v>Safe</v>
      </c>
    </row>
    <row r="305" spans="1:13" x14ac:dyDescent="0.25">
      <c r="A305" t="str">
        <f t="shared" si="40"/>
        <v>M304</v>
      </c>
      <c r="B305" t="str" cm="1">
        <f t="array" aca="1" ref="B305" ca="1">INDEX({"Paracetamol","Amoxicillin","Ibuprofen","Cetirizine","Metformin","Amlodipine","Omeprazole","Azithromycin","Losartan","Vitamin C"}, RANDBETWEEN(1,10))</f>
        <v>Amoxicillin</v>
      </c>
      <c r="C305" t="str" cm="1">
        <f t="array" aca="1" ref="C305" ca="1">INDEX({"Painkiller","Antibiotic","Painkiller","Antihistamine","Diabetes","Hypertension","Antacid","Antibiotic","Hypertension","Supplement"},
MATCH(B305,{"Paracetamol","Amoxicillin","Ibuprofen","Cetirizine","Metformin","Amlodipine","Omeprazole","Azithromycin","Losartan","Vitamin C"},0))</f>
        <v>Antibiotic</v>
      </c>
      <c r="D305" t="str" cm="1">
        <f t="array" aca="1" ref="D305" ca="1">INDEX({"MedSupply Co","HealthCorp","PharmaPlus","GlobalMed"}, RANDBETWEEN(1,4))</f>
        <v>PharmaPlus</v>
      </c>
      <c r="E305">
        <f t="shared" ca="1" si="41"/>
        <v>163</v>
      </c>
      <c r="F305">
        <f t="shared" ca="1" si="42"/>
        <v>28</v>
      </c>
      <c r="G305">
        <f t="shared" ca="1" si="43"/>
        <v>1.24</v>
      </c>
      <c r="H305" s="1">
        <f t="shared" ca="1" si="44"/>
        <v>46333</v>
      </c>
      <c r="I305" s="1">
        <f t="shared" ca="1" si="45"/>
        <v>46096</v>
      </c>
      <c r="J305">
        <f t="shared" ca="1" si="46"/>
        <v>202.12</v>
      </c>
      <c r="K305" t="str">
        <f t="shared" ca="1" si="47"/>
        <v>In Stock</v>
      </c>
      <c r="L305" s="2">
        <f t="shared" ca="1" si="48"/>
        <v>214</v>
      </c>
      <c r="M305" t="str">
        <f t="shared" ca="1" si="49"/>
        <v>Safe</v>
      </c>
    </row>
    <row r="306" spans="1:13" x14ac:dyDescent="0.25">
      <c r="A306" t="str">
        <f t="shared" si="40"/>
        <v>M305</v>
      </c>
      <c r="B306" t="str" cm="1">
        <f t="array" aca="1" ref="B306" ca="1">INDEX({"Paracetamol","Amoxicillin","Ibuprofen","Cetirizine","Metformin","Amlodipine","Omeprazole","Azithromycin","Losartan","Vitamin C"}, RANDBETWEEN(1,10))</f>
        <v>Amoxicillin</v>
      </c>
      <c r="C306" t="str" cm="1">
        <f t="array" aca="1" ref="C306" ca="1">INDEX({"Painkiller","Antibiotic","Painkiller","Antihistamine","Diabetes","Hypertension","Antacid","Antibiotic","Hypertension","Supplement"},
MATCH(B306,{"Paracetamol","Amoxicillin","Ibuprofen","Cetirizine","Metformin","Amlodipine","Omeprazole","Azithromycin","Losartan","Vitamin C"},0))</f>
        <v>Antibiotic</v>
      </c>
      <c r="D306" t="str" cm="1">
        <f t="array" aca="1" ref="D306" ca="1">INDEX({"MedSupply Co","HealthCorp","PharmaPlus","GlobalMed"}, RANDBETWEEN(1,4))</f>
        <v>GlobalMed</v>
      </c>
      <c r="E306">
        <f t="shared" ca="1" si="41"/>
        <v>36</v>
      </c>
      <c r="F306">
        <f t="shared" ca="1" si="42"/>
        <v>83</v>
      </c>
      <c r="G306">
        <f t="shared" ca="1" si="43"/>
        <v>0.59</v>
      </c>
      <c r="H306" s="1">
        <f t="shared" ca="1" si="44"/>
        <v>46152</v>
      </c>
      <c r="I306" s="1">
        <f t="shared" ca="1" si="45"/>
        <v>46066</v>
      </c>
      <c r="J306">
        <f t="shared" ca="1" si="46"/>
        <v>21.24</v>
      </c>
      <c r="K306" t="str">
        <f t="shared" ca="1" si="47"/>
        <v>Low Stock</v>
      </c>
      <c r="L306" s="2">
        <f t="shared" ca="1" si="48"/>
        <v>33</v>
      </c>
      <c r="M306" t="str">
        <f t="shared" ca="1" si="49"/>
        <v>Safe</v>
      </c>
    </row>
    <row r="307" spans="1:13" x14ac:dyDescent="0.25">
      <c r="A307" t="str">
        <f t="shared" si="40"/>
        <v>M306</v>
      </c>
      <c r="B307" t="str" cm="1">
        <f t="array" aca="1" ref="B307" ca="1">INDEX({"Paracetamol","Amoxicillin","Ibuprofen","Cetirizine","Metformin","Amlodipine","Omeprazole","Azithromycin","Losartan","Vitamin C"}, RANDBETWEEN(1,10))</f>
        <v>Paracetamol</v>
      </c>
      <c r="C307" t="str" cm="1">
        <f t="array" aca="1" ref="C307" ca="1">INDEX({"Painkiller","Antibiotic","Painkiller","Antihistamine","Diabetes","Hypertension","Antacid","Antibiotic","Hypertension","Supplement"},
MATCH(B307,{"Paracetamol","Amoxicillin","Ibuprofen","Cetirizine","Metformin","Amlodipine","Omeprazole","Azithromycin","Losartan","Vitamin C"},0))</f>
        <v>Painkiller</v>
      </c>
      <c r="D307" t="str" cm="1">
        <f t="array" aca="1" ref="D307" ca="1">INDEX({"MedSupply Co","HealthCorp","PharmaPlus","GlobalMed"}, RANDBETWEEN(1,4))</f>
        <v>HealthCorp</v>
      </c>
      <c r="E307">
        <f t="shared" ca="1" si="41"/>
        <v>61</v>
      </c>
      <c r="F307">
        <f t="shared" ca="1" si="42"/>
        <v>21</v>
      </c>
      <c r="G307">
        <f t="shared" ca="1" si="43"/>
        <v>1</v>
      </c>
      <c r="H307" s="1">
        <f t="shared" ca="1" si="44"/>
        <v>46153</v>
      </c>
      <c r="I307" s="1">
        <f t="shared" ca="1" si="45"/>
        <v>46010</v>
      </c>
      <c r="J307">
        <f t="shared" ca="1" si="46"/>
        <v>61</v>
      </c>
      <c r="K307" t="str">
        <f t="shared" ca="1" si="47"/>
        <v>In Stock</v>
      </c>
      <c r="L307" s="2">
        <f t="shared" ca="1" si="48"/>
        <v>34</v>
      </c>
      <c r="M307" t="str">
        <f t="shared" ca="1" si="49"/>
        <v>Safe</v>
      </c>
    </row>
    <row r="308" spans="1:13" x14ac:dyDescent="0.25">
      <c r="A308" t="str">
        <f t="shared" si="40"/>
        <v>M307</v>
      </c>
      <c r="B308" t="str" cm="1">
        <f t="array" aca="1" ref="B308" ca="1">INDEX({"Paracetamol","Amoxicillin","Ibuprofen","Cetirizine","Metformin","Amlodipine","Omeprazole","Azithromycin","Losartan","Vitamin C"}, RANDBETWEEN(1,10))</f>
        <v>Cetirizine</v>
      </c>
      <c r="C308" t="str" cm="1">
        <f t="array" aca="1" ref="C308" ca="1">INDEX({"Painkiller","Antibiotic","Painkiller","Antihistamine","Diabetes","Hypertension","Antacid","Antibiotic","Hypertension","Supplement"},
MATCH(B308,{"Paracetamol","Amoxicillin","Ibuprofen","Cetirizine","Metformin","Amlodipine","Omeprazole","Azithromycin","Losartan","Vitamin C"},0))</f>
        <v>Antihistamine</v>
      </c>
      <c r="D308" t="str" cm="1">
        <f t="array" aca="1" ref="D308" ca="1">INDEX({"MedSupply Co","HealthCorp","PharmaPlus","GlobalMed"}, RANDBETWEEN(1,4))</f>
        <v>MedSupply Co</v>
      </c>
      <c r="E308">
        <f t="shared" ca="1" si="41"/>
        <v>186</v>
      </c>
      <c r="F308">
        <f t="shared" ca="1" si="42"/>
        <v>40</v>
      </c>
      <c r="G308">
        <f t="shared" ca="1" si="43"/>
        <v>1.8</v>
      </c>
      <c r="H308" s="1">
        <f t="shared" ca="1" si="44"/>
        <v>46428</v>
      </c>
      <c r="I308" s="1">
        <f t="shared" ca="1" si="45"/>
        <v>46087</v>
      </c>
      <c r="J308">
        <f t="shared" ca="1" si="46"/>
        <v>334.8</v>
      </c>
      <c r="K308" t="str">
        <f t="shared" ca="1" si="47"/>
        <v>In Stock</v>
      </c>
      <c r="L308" s="2">
        <f t="shared" ca="1" si="48"/>
        <v>309</v>
      </c>
      <c r="M308" t="str">
        <f t="shared" ca="1" si="49"/>
        <v>Safe</v>
      </c>
    </row>
    <row r="309" spans="1:13" x14ac:dyDescent="0.25">
      <c r="A309" t="str">
        <f t="shared" si="40"/>
        <v>M308</v>
      </c>
      <c r="B309" t="str" cm="1">
        <f t="array" aca="1" ref="B309" ca="1">INDEX({"Paracetamol","Amoxicillin","Ibuprofen","Cetirizine","Metformin","Amlodipine","Omeprazole","Azithromycin","Losartan","Vitamin C"}, RANDBETWEEN(1,10))</f>
        <v>Amoxicillin</v>
      </c>
      <c r="C309" t="str" cm="1">
        <f t="array" aca="1" ref="C309" ca="1">INDEX({"Painkiller","Antibiotic","Painkiller","Antihistamine","Diabetes","Hypertension","Antacid","Antibiotic","Hypertension","Supplement"},
MATCH(B309,{"Paracetamol","Amoxicillin","Ibuprofen","Cetirizine","Metformin","Amlodipine","Omeprazole","Azithromycin","Losartan","Vitamin C"},0))</f>
        <v>Antibiotic</v>
      </c>
      <c r="D309" t="str" cm="1">
        <f t="array" aca="1" ref="D309" ca="1">INDEX({"MedSupply Co","HealthCorp","PharmaPlus","GlobalMed"}, RANDBETWEEN(1,4))</f>
        <v>MedSupply Co</v>
      </c>
      <c r="E309">
        <f t="shared" ca="1" si="41"/>
        <v>197</v>
      </c>
      <c r="F309">
        <f t="shared" ca="1" si="42"/>
        <v>71</v>
      </c>
      <c r="G309">
        <f t="shared" ca="1" si="43"/>
        <v>1.06</v>
      </c>
      <c r="H309" s="1">
        <f t="shared" ca="1" si="44"/>
        <v>46228</v>
      </c>
      <c r="I309" s="1">
        <f t="shared" ca="1" si="45"/>
        <v>46029</v>
      </c>
      <c r="J309">
        <f t="shared" ca="1" si="46"/>
        <v>208.82000000000002</v>
      </c>
      <c r="K309" t="str">
        <f t="shared" ca="1" si="47"/>
        <v>In Stock</v>
      </c>
      <c r="L309" s="2">
        <f t="shared" ca="1" si="48"/>
        <v>109</v>
      </c>
      <c r="M309" t="str">
        <f t="shared" ca="1" si="49"/>
        <v>Safe</v>
      </c>
    </row>
    <row r="310" spans="1:13" x14ac:dyDescent="0.25">
      <c r="A310" t="str">
        <f t="shared" si="40"/>
        <v>M309</v>
      </c>
      <c r="B310" t="str" cm="1">
        <f t="array" aca="1" ref="B310" ca="1">INDEX({"Paracetamol","Amoxicillin","Ibuprofen","Cetirizine","Metformin","Amlodipine","Omeprazole","Azithromycin","Losartan","Vitamin C"}, RANDBETWEEN(1,10))</f>
        <v>Ibuprofen</v>
      </c>
      <c r="C310" t="str" cm="1">
        <f t="array" aca="1" ref="C310" ca="1">INDEX({"Painkiller","Antibiotic","Painkiller","Antihistamine","Diabetes","Hypertension","Antacid","Antibiotic","Hypertension","Supplement"},
MATCH(B310,{"Paracetamol","Amoxicillin","Ibuprofen","Cetirizine","Metformin","Amlodipine","Omeprazole","Azithromycin","Losartan","Vitamin C"},0))</f>
        <v>Painkiller</v>
      </c>
      <c r="D310" t="str" cm="1">
        <f t="array" aca="1" ref="D310" ca="1">INDEX({"MedSupply Co","HealthCorp","PharmaPlus","GlobalMed"}, RANDBETWEEN(1,4))</f>
        <v>HealthCorp</v>
      </c>
      <c r="E310">
        <f t="shared" ca="1" si="41"/>
        <v>56</v>
      </c>
      <c r="F310">
        <f t="shared" ca="1" si="42"/>
        <v>38</v>
      </c>
      <c r="G310">
        <f t="shared" ca="1" si="43"/>
        <v>1.61</v>
      </c>
      <c r="H310" s="1">
        <f t="shared" ca="1" si="44"/>
        <v>46190</v>
      </c>
      <c r="I310" s="1">
        <f t="shared" ca="1" si="45"/>
        <v>45950</v>
      </c>
      <c r="J310">
        <f t="shared" ca="1" si="46"/>
        <v>90.160000000000011</v>
      </c>
      <c r="K310" t="str">
        <f t="shared" ca="1" si="47"/>
        <v>In Stock</v>
      </c>
      <c r="L310" s="2">
        <f t="shared" ca="1" si="48"/>
        <v>71</v>
      </c>
      <c r="M310" t="str">
        <f t="shared" ca="1" si="49"/>
        <v>Safe</v>
      </c>
    </row>
    <row r="311" spans="1:13" x14ac:dyDescent="0.25">
      <c r="A311" t="str">
        <f t="shared" si="40"/>
        <v>M310</v>
      </c>
      <c r="B311" t="str" cm="1">
        <f t="array" aca="1" ref="B311" ca="1">INDEX({"Paracetamol","Amoxicillin","Ibuprofen","Cetirizine","Metformin","Amlodipine","Omeprazole","Azithromycin","Losartan","Vitamin C"}, RANDBETWEEN(1,10))</f>
        <v>Amoxicillin</v>
      </c>
      <c r="C311" t="str" cm="1">
        <f t="array" aca="1" ref="C311" ca="1">INDEX({"Painkiller","Antibiotic","Painkiller","Antihistamine","Diabetes","Hypertension","Antacid","Antibiotic","Hypertension","Supplement"},
MATCH(B311,{"Paracetamol","Amoxicillin","Ibuprofen","Cetirizine","Metformin","Amlodipine","Omeprazole","Azithromycin","Losartan","Vitamin C"},0))</f>
        <v>Antibiotic</v>
      </c>
      <c r="D311" t="str" cm="1">
        <f t="array" aca="1" ref="D311" ca="1">INDEX({"MedSupply Co","HealthCorp","PharmaPlus","GlobalMed"}, RANDBETWEEN(1,4))</f>
        <v>MedSupply Co</v>
      </c>
      <c r="E311">
        <f t="shared" ca="1" si="41"/>
        <v>28</v>
      </c>
      <c r="F311">
        <f t="shared" ca="1" si="42"/>
        <v>64</v>
      </c>
      <c r="G311">
        <f t="shared" ca="1" si="43"/>
        <v>1.9</v>
      </c>
      <c r="H311" s="1">
        <f t="shared" ca="1" si="44"/>
        <v>46234</v>
      </c>
      <c r="I311" s="1">
        <f t="shared" ca="1" si="45"/>
        <v>46077</v>
      </c>
      <c r="J311">
        <f t="shared" ca="1" si="46"/>
        <v>53.199999999999996</v>
      </c>
      <c r="K311" t="str">
        <f t="shared" ca="1" si="47"/>
        <v>Low Stock</v>
      </c>
      <c r="L311" s="2">
        <f t="shared" ca="1" si="48"/>
        <v>115</v>
      </c>
      <c r="M311" t="str">
        <f t="shared" ca="1" si="49"/>
        <v>Safe</v>
      </c>
    </row>
    <row r="312" spans="1:13" x14ac:dyDescent="0.25">
      <c r="A312" t="str">
        <f t="shared" si="40"/>
        <v>M311</v>
      </c>
      <c r="B312" t="str" cm="1">
        <f t="array" aca="1" ref="B312" ca="1">INDEX({"Paracetamol","Amoxicillin","Ibuprofen","Cetirizine","Metformin","Amlodipine","Omeprazole","Azithromycin","Losartan","Vitamin C"}, RANDBETWEEN(1,10))</f>
        <v>Losartan</v>
      </c>
      <c r="C312" t="str" cm="1">
        <f t="array" aca="1" ref="C312" ca="1">INDEX({"Painkiller","Antibiotic","Painkiller","Antihistamine","Diabetes","Hypertension","Antacid","Antibiotic","Hypertension","Supplement"},
MATCH(B312,{"Paracetamol","Amoxicillin","Ibuprofen","Cetirizine","Metformin","Amlodipine","Omeprazole","Azithromycin","Losartan","Vitamin C"},0))</f>
        <v>Hypertension</v>
      </c>
      <c r="D312" t="str" cm="1">
        <f t="array" aca="1" ref="D312" ca="1">INDEX({"MedSupply Co","HealthCorp","PharmaPlus","GlobalMed"}, RANDBETWEEN(1,4))</f>
        <v>MedSupply Co</v>
      </c>
      <c r="E312">
        <f t="shared" ca="1" si="41"/>
        <v>20</v>
      </c>
      <c r="F312">
        <f t="shared" ca="1" si="42"/>
        <v>74</v>
      </c>
      <c r="G312">
        <f t="shared" ca="1" si="43"/>
        <v>0.86</v>
      </c>
      <c r="H312" s="1">
        <f t="shared" ca="1" si="44"/>
        <v>46423</v>
      </c>
      <c r="I312" s="1">
        <f t="shared" ca="1" si="45"/>
        <v>46070</v>
      </c>
      <c r="J312">
        <f t="shared" ca="1" si="46"/>
        <v>17.2</v>
      </c>
      <c r="K312" t="str">
        <f t="shared" ca="1" si="47"/>
        <v>Low Stock</v>
      </c>
      <c r="L312" s="2">
        <f t="shared" ca="1" si="48"/>
        <v>304</v>
      </c>
      <c r="M312" t="str">
        <f t="shared" ca="1" si="49"/>
        <v>Safe</v>
      </c>
    </row>
    <row r="313" spans="1:13" x14ac:dyDescent="0.25">
      <c r="A313" t="str">
        <f t="shared" si="40"/>
        <v>M312</v>
      </c>
      <c r="B313" t="str" cm="1">
        <f t="array" aca="1" ref="B313" ca="1">INDEX({"Paracetamol","Amoxicillin","Ibuprofen","Cetirizine","Metformin","Amlodipine","Omeprazole","Azithromycin","Losartan","Vitamin C"}, RANDBETWEEN(1,10))</f>
        <v>Paracetamol</v>
      </c>
      <c r="C313" t="str" cm="1">
        <f t="array" aca="1" ref="C313" ca="1">INDEX({"Painkiller","Antibiotic","Painkiller","Antihistamine","Diabetes","Hypertension","Antacid","Antibiotic","Hypertension","Supplement"},
MATCH(B313,{"Paracetamol","Amoxicillin","Ibuprofen","Cetirizine","Metformin","Amlodipine","Omeprazole","Azithromycin","Losartan","Vitamin C"},0))</f>
        <v>Painkiller</v>
      </c>
      <c r="D313" t="str" cm="1">
        <f t="array" aca="1" ref="D313" ca="1">INDEX({"MedSupply Co","HealthCorp","PharmaPlus","GlobalMed"}, RANDBETWEEN(1,4))</f>
        <v>PharmaPlus</v>
      </c>
      <c r="E313">
        <f t="shared" ca="1" si="41"/>
        <v>27</v>
      </c>
      <c r="F313">
        <f t="shared" ca="1" si="42"/>
        <v>37</v>
      </c>
      <c r="G313">
        <f t="shared" ca="1" si="43"/>
        <v>1.63</v>
      </c>
      <c r="H313" s="1">
        <f t="shared" ca="1" si="44"/>
        <v>46230</v>
      </c>
      <c r="I313" s="1">
        <f t="shared" ca="1" si="45"/>
        <v>46108</v>
      </c>
      <c r="J313">
        <f t="shared" ca="1" si="46"/>
        <v>44.01</v>
      </c>
      <c r="K313" t="str">
        <f t="shared" ca="1" si="47"/>
        <v>Low Stock</v>
      </c>
      <c r="L313" s="2">
        <f t="shared" ca="1" si="48"/>
        <v>111</v>
      </c>
      <c r="M313" t="str">
        <f t="shared" ca="1" si="49"/>
        <v>Safe</v>
      </c>
    </row>
    <row r="314" spans="1:13" x14ac:dyDescent="0.25">
      <c r="A314" t="str">
        <f t="shared" si="40"/>
        <v>M313</v>
      </c>
      <c r="B314" t="str" cm="1">
        <f t="array" aca="1" ref="B314" ca="1">INDEX({"Paracetamol","Amoxicillin","Ibuprofen","Cetirizine","Metformin","Amlodipine","Omeprazole","Azithromycin","Losartan","Vitamin C"}, RANDBETWEEN(1,10))</f>
        <v>Amlodipine</v>
      </c>
      <c r="C314" t="str" cm="1">
        <f t="array" aca="1" ref="C314" ca="1">INDEX({"Painkiller","Antibiotic","Painkiller","Antihistamine","Diabetes","Hypertension","Antacid","Antibiotic","Hypertension","Supplement"},
MATCH(B314,{"Paracetamol","Amoxicillin","Ibuprofen","Cetirizine","Metformin","Amlodipine","Omeprazole","Azithromycin","Losartan","Vitamin C"},0))</f>
        <v>Hypertension</v>
      </c>
      <c r="D314" t="str" cm="1">
        <f t="array" aca="1" ref="D314" ca="1">INDEX({"MedSupply Co","HealthCorp","PharmaPlus","GlobalMed"}, RANDBETWEEN(1,4))</f>
        <v>HealthCorp</v>
      </c>
      <c r="E314">
        <f t="shared" ca="1" si="41"/>
        <v>132</v>
      </c>
      <c r="F314">
        <f t="shared" ca="1" si="42"/>
        <v>39</v>
      </c>
      <c r="G314">
        <f t="shared" ca="1" si="43"/>
        <v>0.63</v>
      </c>
      <c r="H314" s="1">
        <f t="shared" ca="1" si="44"/>
        <v>46267</v>
      </c>
      <c r="I314" s="1">
        <f t="shared" ca="1" si="45"/>
        <v>46057</v>
      </c>
      <c r="J314">
        <f t="shared" ca="1" si="46"/>
        <v>83.16</v>
      </c>
      <c r="K314" t="str">
        <f t="shared" ca="1" si="47"/>
        <v>In Stock</v>
      </c>
      <c r="L314" s="2">
        <f t="shared" ca="1" si="48"/>
        <v>148</v>
      </c>
      <c r="M314" t="str">
        <f t="shared" ca="1" si="49"/>
        <v>Safe</v>
      </c>
    </row>
    <row r="315" spans="1:13" x14ac:dyDescent="0.25">
      <c r="A315" t="str">
        <f t="shared" si="40"/>
        <v>M314</v>
      </c>
      <c r="B315" t="str" cm="1">
        <f t="array" aca="1" ref="B315" ca="1">INDEX({"Paracetamol","Amoxicillin","Ibuprofen","Cetirizine","Metformin","Amlodipine","Omeprazole","Azithromycin","Losartan","Vitamin C"}, RANDBETWEEN(1,10))</f>
        <v>Azithromycin</v>
      </c>
      <c r="C315" t="str" cm="1">
        <f t="array" aca="1" ref="C315" ca="1">INDEX({"Painkiller","Antibiotic","Painkiller","Antihistamine","Diabetes","Hypertension","Antacid","Antibiotic","Hypertension","Supplement"},
MATCH(B315,{"Paracetamol","Amoxicillin","Ibuprofen","Cetirizine","Metformin","Amlodipine","Omeprazole","Azithromycin","Losartan","Vitamin C"},0))</f>
        <v>Antibiotic</v>
      </c>
      <c r="D315" t="str" cm="1">
        <f t="array" aca="1" ref="D315" ca="1">INDEX({"MedSupply Co","HealthCorp","PharmaPlus","GlobalMed"}, RANDBETWEEN(1,4))</f>
        <v>MedSupply Co</v>
      </c>
      <c r="E315">
        <f t="shared" ca="1" si="41"/>
        <v>137</v>
      </c>
      <c r="F315">
        <f t="shared" ca="1" si="42"/>
        <v>63</v>
      </c>
      <c r="G315">
        <f t="shared" ca="1" si="43"/>
        <v>0.76</v>
      </c>
      <c r="H315" s="1">
        <f t="shared" ca="1" si="44"/>
        <v>46481</v>
      </c>
      <c r="I315" s="1">
        <f t="shared" ca="1" si="45"/>
        <v>46080</v>
      </c>
      <c r="J315">
        <f t="shared" ca="1" si="46"/>
        <v>104.12</v>
      </c>
      <c r="K315" t="str">
        <f t="shared" ca="1" si="47"/>
        <v>In Stock</v>
      </c>
      <c r="L315" s="2">
        <f t="shared" ca="1" si="48"/>
        <v>362</v>
      </c>
      <c r="M315" t="str">
        <f t="shared" ca="1" si="49"/>
        <v>Safe</v>
      </c>
    </row>
    <row r="316" spans="1:13" x14ac:dyDescent="0.25">
      <c r="A316" t="str">
        <f t="shared" si="40"/>
        <v>M315</v>
      </c>
      <c r="B316" t="str" cm="1">
        <f t="array" aca="1" ref="B316" ca="1">INDEX({"Paracetamol","Amoxicillin","Ibuprofen","Cetirizine","Metformin","Amlodipine","Omeprazole","Azithromycin","Losartan","Vitamin C"}, RANDBETWEEN(1,10))</f>
        <v>Omeprazole</v>
      </c>
      <c r="C316" t="str" cm="1">
        <f t="array" aca="1" ref="C316" ca="1">INDEX({"Painkiller","Antibiotic","Painkiller","Antihistamine","Diabetes","Hypertension","Antacid","Antibiotic","Hypertension","Supplement"},
MATCH(B316,{"Paracetamol","Amoxicillin","Ibuprofen","Cetirizine","Metformin","Amlodipine","Omeprazole","Azithromycin","Losartan","Vitamin C"},0))</f>
        <v>Antacid</v>
      </c>
      <c r="D316" t="str" cm="1">
        <f t="array" aca="1" ref="D316" ca="1">INDEX({"MedSupply Co","HealthCorp","PharmaPlus","GlobalMed"}, RANDBETWEEN(1,4))</f>
        <v>GlobalMed</v>
      </c>
      <c r="E316">
        <f t="shared" ca="1" si="41"/>
        <v>58</v>
      </c>
      <c r="F316">
        <f t="shared" ca="1" si="42"/>
        <v>69</v>
      </c>
      <c r="G316">
        <f t="shared" ca="1" si="43"/>
        <v>0.51</v>
      </c>
      <c r="H316" s="1">
        <f t="shared" ca="1" si="44"/>
        <v>46306</v>
      </c>
      <c r="I316" s="1">
        <f t="shared" ca="1" si="45"/>
        <v>45941</v>
      </c>
      <c r="J316">
        <f t="shared" ca="1" si="46"/>
        <v>29.580000000000002</v>
      </c>
      <c r="K316" t="str">
        <f t="shared" ca="1" si="47"/>
        <v>Low Stock</v>
      </c>
      <c r="L316" s="2">
        <f t="shared" ca="1" si="48"/>
        <v>187</v>
      </c>
      <c r="M316" t="str">
        <f t="shared" ca="1" si="49"/>
        <v>Safe</v>
      </c>
    </row>
    <row r="317" spans="1:13" x14ac:dyDescent="0.25">
      <c r="A317" t="str">
        <f t="shared" si="40"/>
        <v>M316</v>
      </c>
      <c r="B317" t="str" cm="1">
        <f t="array" aca="1" ref="B317" ca="1">INDEX({"Paracetamol","Amoxicillin","Ibuprofen","Cetirizine","Metformin","Amlodipine","Omeprazole","Azithromycin","Losartan","Vitamin C"}, RANDBETWEEN(1,10))</f>
        <v>Cetirizine</v>
      </c>
      <c r="C317" t="str" cm="1">
        <f t="array" aca="1" ref="C317" ca="1">INDEX({"Painkiller","Antibiotic","Painkiller","Antihistamine","Diabetes","Hypertension","Antacid","Antibiotic","Hypertension","Supplement"},
MATCH(B317,{"Paracetamol","Amoxicillin","Ibuprofen","Cetirizine","Metformin","Amlodipine","Omeprazole","Azithromycin","Losartan","Vitamin C"},0))</f>
        <v>Antihistamine</v>
      </c>
      <c r="D317" t="str" cm="1">
        <f t="array" aca="1" ref="D317" ca="1">INDEX({"MedSupply Co","HealthCorp","PharmaPlus","GlobalMed"}, RANDBETWEEN(1,4))</f>
        <v>PharmaPlus</v>
      </c>
      <c r="E317">
        <f t="shared" ca="1" si="41"/>
        <v>38</v>
      </c>
      <c r="F317">
        <f t="shared" ca="1" si="42"/>
        <v>38</v>
      </c>
      <c r="G317">
        <f t="shared" ca="1" si="43"/>
        <v>0.91</v>
      </c>
      <c r="H317" s="1">
        <f t="shared" ca="1" si="44"/>
        <v>46384</v>
      </c>
      <c r="I317" s="1">
        <f t="shared" ca="1" si="45"/>
        <v>46090</v>
      </c>
      <c r="J317">
        <f t="shared" ca="1" si="46"/>
        <v>34.58</v>
      </c>
      <c r="K317" t="str">
        <f t="shared" ca="1" si="47"/>
        <v>In Stock</v>
      </c>
      <c r="L317" s="2">
        <f t="shared" ca="1" si="48"/>
        <v>265</v>
      </c>
      <c r="M317" t="str">
        <f t="shared" ca="1" si="49"/>
        <v>Safe</v>
      </c>
    </row>
    <row r="318" spans="1:13" x14ac:dyDescent="0.25">
      <c r="A318" t="str">
        <f t="shared" si="40"/>
        <v>M317</v>
      </c>
      <c r="B318" t="str" cm="1">
        <f t="array" aca="1" ref="B318" ca="1">INDEX({"Paracetamol","Amoxicillin","Ibuprofen","Cetirizine","Metformin","Amlodipine","Omeprazole","Azithromycin","Losartan","Vitamin C"}, RANDBETWEEN(1,10))</f>
        <v>Cetirizine</v>
      </c>
      <c r="C318" t="str" cm="1">
        <f t="array" aca="1" ref="C318" ca="1">INDEX({"Painkiller","Antibiotic","Painkiller","Antihistamine","Diabetes","Hypertension","Antacid","Antibiotic","Hypertension","Supplement"},
MATCH(B318,{"Paracetamol","Amoxicillin","Ibuprofen","Cetirizine","Metformin","Amlodipine","Omeprazole","Azithromycin","Losartan","Vitamin C"},0))</f>
        <v>Antihistamine</v>
      </c>
      <c r="D318" t="str" cm="1">
        <f t="array" aca="1" ref="D318" ca="1">INDEX({"MedSupply Co","HealthCorp","PharmaPlus","GlobalMed"}, RANDBETWEEN(1,4))</f>
        <v>HealthCorp</v>
      </c>
      <c r="E318">
        <f t="shared" ca="1" si="41"/>
        <v>138</v>
      </c>
      <c r="F318">
        <f t="shared" ca="1" si="42"/>
        <v>74</v>
      </c>
      <c r="G318">
        <f t="shared" ca="1" si="43"/>
        <v>1.0900000000000001</v>
      </c>
      <c r="H318" s="1">
        <f t="shared" ca="1" si="44"/>
        <v>46482</v>
      </c>
      <c r="I318" s="1">
        <f t="shared" ca="1" si="45"/>
        <v>46035</v>
      </c>
      <c r="J318">
        <f t="shared" ca="1" si="46"/>
        <v>150.42000000000002</v>
      </c>
      <c r="K318" t="str">
        <f t="shared" ca="1" si="47"/>
        <v>In Stock</v>
      </c>
      <c r="L318" s="2">
        <f t="shared" ca="1" si="48"/>
        <v>363</v>
      </c>
      <c r="M318" t="str">
        <f t="shared" ca="1" si="49"/>
        <v>Safe</v>
      </c>
    </row>
    <row r="319" spans="1:13" x14ac:dyDescent="0.25">
      <c r="A319" t="str">
        <f t="shared" si="40"/>
        <v>M318</v>
      </c>
      <c r="B319" t="str" cm="1">
        <f t="array" aca="1" ref="B319" ca="1">INDEX({"Paracetamol","Amoxicillin","Ibuprofen","Cetirizine","Metformin","Amlodipine","Omeprazole","Azithromycin","Losartan","Vitamin C"}, RANDBETWEEN(1,10))</f>
        <v>Azithromycin</v>
      </c>
      <c r="C319" t="str" cm="1">
        <f t="array" aca="1" ref="C319" ca="1">INDEX({"Painkiller","Antibiotic","Painkiller","Antihistamine","Diabetes","Hypertension","Antacid","Antibiotic","Hypertension","Supplement"},
MATCH(B319,{"Paracetamol","Amoxicillin","Ibuprofen","Cetirizine","Metformin","Amlodipine","Omeprazole","Azithromycin","Losartan","Vitamin C"},0))</f>
        <v>Antibiotic</v>
      </c>
      <c r="D319" t="str" cm="1">
        <f t="array" aca="1" ref="D319" ca="1">INDEX({"MedSupply Co","HealthCorp","PharmaPlus","GlobalMed"}, RANDBETWEEN(1,4))</f>
        <v>GlobalMed</v>
      </c>
      <c r="E319">
        <f t="shared" ca="1" si="41"/>
        <v>29</v>
      </c>
      <c r="F319">
        <f t="shared" ca="1" si="42"/>
        <v>96</v>
      </c>
      <c r="G319">
        <f t="shared" ca="1" si="43"/>
        <v>1.1200000000000001</v>
      </c>
      <c r="H319" s="1">
        <f t="shared" ca="1" si="44"/>
        <v>46483</v>
      </c>
      <c r="I319" s="1">
        <f t="shared" ca="1" si="45"/>
        <v>46110</v>
      </c>
      <c r="J319">
        <f t="shared" ca="1" si="46"/>
        <v>32.480000000000004</v>
      </c>
      <c r="K319" t="str">
        <f t="shared" ca="1" si="47"/>
        <v>Low Stock</v>
      </c>
      <c r="L319" s="2">
        <f t="shared" ca="1" si="48"/>
        <v>364</v>
      </c>
      <c r="M319" t="str">
        <f t="shared" ca="1" si="49"/>
        <v>Safe</v>
      </c>
    </row>
    <row r="320" spans="1:13" x14ac:dyDescent="0.25">
      <c r="A320" t="str">
        <f t="shared" si="40"/>
        <v>M319</v>
      </c>
      <c r="B320" t="str" cm="1">
        <f t="array" aca="1" ref="B320" ca="1">INDEX({"Paracetamol","Amoxicillin","Ibuprofen","Cetirizine","Metformin","Amlodipine","Omeprazole","Azithromycin","Losartan","Vitamin C"}, RANDBETWEEN(1,10))</f>
        <v>Amoxicillin</v>
      </c>
      <c r="C320" t="str" cm="1">
        <f t="array" aca="1" ref="C320" ca="1">INDEX({"Painkiller","Antibiotic","Painkiller","Antihistamine","Diabetes","Hypertension","Antacid","Antibiotic","Hypertension","Supplement"},
MATCH(B320,{"Paracetamol","Amoxicillin","Ibuprofen","Cetirizine","Metformin","Amlodipine","Omeprazole","Azithromycin","Losartan","Vitamin C"},0))</f>
        <v>Antibiotic</v>
      </c>
      <c r="D320" t="str" cm="1">
        <f t="array" aca="1" ref="D320" ca="1">INDEX({"MedSupply Co","HealthCorp","PharmaPlus","GlobalMed"}, RANDBETWEEN(1,4))</f>
        <v>MedSupply Co</v>
      </c>
      <c r="E320">
        <f t="shared" ca="1" si="41"/>
        <v>137</v>
      </c>
      <c r="F320">
        <f t="shared" ca="1" si="42"/>
        <v>34</v>
      </c>
      <c r="G320">
        <f t="shared" ca="1" si="43"/>
        <v>0.76</v>
      </c>
      <c r="H320" s="1">
        <f t="shared" ca="1" si="44"/>
        <v>46388</v>
      </c>
      <c r="I320" s="1">
        <f t="shared" ca="1" si="45"/>
        <v>46009</v>
      </c>
      <c r="J320">
        <f t="shared" ca="1" si="46"/>
        <v>104.12</v>
      </c>
      <c r="K320" t="str">
        <f t="shared" ca="1" si="47"/>
        <v>In Stock</v>
      </c>
      <c r="L320" s="2">
        <f t="shared" ca="1" si="48"/>
        <v>269</v>
      </c>
      <c r="M320" t="str">
        <f t="shared" ca="1" si="49"/>
        <v>Safe</v>
      </c>
    </row>
    <row r="321" spans="1:13" x14ac:dyDescent="0.25">
      <c r="A321" t="str">
        <f t="shared" si="40"/>
        <v>M320</v>
      </c>
      <c r="B321" t="str" cm="1">
        <f t="array" aca="1" ref="B321" ca="1">INDEX({"Paracetamol","Amoxicillin","Ibuprofen","Cetirizine","Metformin","Amlodipine","Omeprazole","Azithromycin","Losartan","Vitamin C"}, RANDBETWEEN(1,10))</f>
        <v>Amlodipine</v>
      </c>
      <c r="C321" t="str" cm="1">
        <f t="array" aca="1" ref="C321" ca="1">INDEX({"Painkiller","Antibiotic","Painkiller","Antihistamine","Diabetes","Hypertension","Antacid","Antibiotic","Hypertension","Supplement"},
MATCH(B321,{"Paracetamol","Amoxicillin","Ibuprofen","Cetirizine","Metformin","Amlodipine","Omeprazole","Azithromycin","Losartan","Vitamin C"},0))</f>
        <v>Hypertension</v>
      </c>
      <c r="D321" t="str" cm="1">
        <f t="array" aca="1" ref="D321" ca="1">INDEX({"MedSupply Co","HealthCorp","PharmaPlus","GlobalMed"}, RANDBETWEEN(1,4))</f>
        <v>GlobalMed</v>
      </c>
      <c r="E321">
        <f t="shared" ca="1" si="41"/>
        <v>149</v>
      </c>
      <c r="F321">
        <f t="shared" ca="1" si="42"/>
        <v>83</v>
      </c>
      <c r="G321">
        <f t="shared" ca="1" si="43"/>
        <v>1.36</v>
      </c>
      <c r="H321" s="1">
        <f t="shared" ca="1" si="44"/>
        <v>46294</v>
      </c>
      <c r="I321" s="1">
        <f t="shared" ca="1" si="45"/>
        <v>46071</v>
      </c>
      <c r="J321">
        <f t="shared" ca="1" si="46"/>
        <v>202.64000000000001</v>
      </c>
      <c r="K321" t="str">
        <f t="shared" ca="1" si="47"/>
        <v>In Stock</v>
      </c>
      <c r="L321" s="2">
        <f t="shared" ca="1" si="48"/>
        <v>175</v>
      </c>
      <c r="M321" t="str">
        <f t="shared" ca="1" si="49"/>
        <v>Safe</v>
      </c>
    </row>
    <row r="322" spans="1:13" x14ac:dyDescent="0.25">
      <c r="A322" t="str">
        <f t="shared" si="40"/>
        <v>M321</v>
      </c>
      <c r="B322" t="str" cm="1">
        <f t="array" aca="1" ref="B322" ca="1">INDEX({"Paracetamol","Amoxicillin","Ibuprofen","Cetirizine","Metformin","Amlodipine","Omeprazole","Azithromycin","Losartan","Vitamin C"}, RANDBETWEEN(1,10))</f>
        <v>Amoxicillin</v>
      </c>
      <c r="C322" t="str" cm="1">
        <f t="array" aca="1" ref="C322" ca="1">INDEX({"Painkiller","Antibiotic","Painkiller","Antihistamine","Diabetes","Hypertension","Antacid","Antibiotic","Hypertension","Supplement"},
MATCH(B322,{"Paracetamol","Amoxicillin","Ibuprofen","Cetirizine","Metformin","Amlodipine","Omeprazole","Azithromycin","Losartan","Vitamin C"},0))</f>
        <v>Antibiotic</v>
      </c>
      <c r="D322" t="str" cm="1">
        <f t="array" aca="1" ref="D322" ca="1">INDEX({"MedSupply Co","HealthCorp","PharmaPlus","GlobalMed"}, RANDBETWEEN(1,4))</f>
        <v>GlobalMed</v>
      </c>
      <c r="E322">
        <f t="shared" ca="1" si="41"/>
        <v>20</v>
      </c>
      <c r="F322">
        <f t="shared" ca="1" si="42"/>
        <v>35</v>
      </c>
      <c r="G322">
        <f t="shared" ca="1" si="43"/>
        <v>1.99</v>
      </c>
      <c r="H322" s="1">
        <f t="shared" ca="1" si="44"/>
        <v>46435</v>
      </c>
      <c r="I322" s="1">
        <f t="shared" ca="1" si="45"/>
        <v>45939</v>
      </c>
      <c r="J322">
        <f t="shared" ca="1" si="46"/>
        <v>39.799999999999997</v>
      </c>
      <c r="K322" t="str">
        <f t="shared" ca="1" si="47"/>
        <v>Low Stock</v>
      </c>
      <c r="L322" s="2">
        <f t="shared" ca="1" si="48"/>
        <v>316</v>
      </c>
      <c r="M322" t="str">
        <f t="shared" ca="1" si="49"/>
        <v>Safe</v>
      </c>
    </row>
    <row r="323" spans="1:13" x14ac:dyDescent="0.25">
      <c r="A323" t="str">
        <f t="shared" ref="A323:A386" si="50">"M"&amp;TEXT(ROW(A322),"000")</f>
        <v>M322</v>
      </c>
      <c r="B323" t="str" cm="1">
        <f t="array" aca="1" ref="B323" ca="1">INDEX({"Paracetamol","Amoxicillin","Ibuprofen","Cetirizine","Metformin","Amlodipine","Omeprazole","Azithromycin","Losartan","Vitamin C"}, RANDBETWEEN(1,10))</f>
        <v>Vitamin C</v>
      </c>
      <c r="C323" t="str" cm="1">
        <f t="array" aca="1" ref="C323" ca="1">INDEX({"Painkiller","Antibiotic","Painkiller","Antihistamine","Diabetes","Hypertension","Antacid","Antibiotic","Hypertension","Supplement"},
MATCH(B323,{"Paracetamol","Amoxicillin","Ibuprofen","Cetirizine","Metformin","Amlodipine","Omeprazole","Azithromycin","Losartan","Vitamin C"},0))</f>
        <v>Supplement</v>
      </c>
      <c r="D323" t="str" cm="1">
        <f t="array" aca="1" ref="D323" ca="1">INDEX({"MedSupply Co","HealthCorp","PharmaPlus","GlobalMed"}, RANDBETWEEN(1,4))</f>
        <v>GlobalMed</v>
      </c>
      <c r="E323">
        <f t="shared" ref="E323:E386" ca="1" si="51">RANDBETWEEN(0,200)</f>
        <v>20</v>
      </c>
      <c r="F323">
        <f t="shared" ref="F323:F386" ca="1" si="52">RANDBETWEEN(20,100)</f>
        <v>49</v>
      </c>
      <c r="G323">
        <f t="shared" ref="G323:G386" ca="1" si="53">ROUND(RANDBETWEEN(50,200)/100,2)</f>
        <v>1.87</v>
      </c>
      <c r="H323" s="1">
        <f t="shared" ref="H323:H386" ca="1" si="54">TODAY()+RANDBETWEEN(30,365)</f>
        <v>46172</v>
      </c>
      <c r="I323" s="1">
        <f t="shared" ref="I323:I386" ca="1" si="55">TODAY()-RANDBETWEEN(1,180)</f>
        <v>46002</v>
      </c>
      <c r="J323">
        <f t="shared" ref="J323:J386" ca="1" si="56">E323*G323</f>
        <v>37.400000000000006</v>
      </c>
      <c r="K323" t="str">
        <f t="shared" ref="K323:K386" ca="1" si="57">IF(E323=0,"Out of Stock",IF(E323&lt;F323,"Low Stock","In Stock"))</f>
        <v>Low Stock</v>
      </c>
      <c r="L323" s="2">
        <f t="shared" ref="L323:L386" ca="1" si="58">H323-TODAY()</f>
        <v>53</v>
      </c>
      <c r="M323" t="str">
        <f t="shared" ref="M323:M386" ca="1" si="59">IF(H323&lt;=TODAY()+30,"Expiring Soon","Safe")</f>
        <v>Safe</v>
      </c>
    </row>
    <row r="324" spans="1:13" x14ac:dyDescent="0.25">
      <c r="A324" t="str">
        <f t="shared" si="50"/>
        <v>M323</v>
      </c>
      <c r="B324" t="str" cm="1">
        <f t="array" aca="1" ref="B324" ca="1">INDEX({"Paracetamol","Amoxicillin","Ibuprofen","Cetirizine","Metformin","Amlodipine","Omeprazole","Azithromycin","Losartan","Vitamin C"}, RANDBETWEEN(1,10))</f>
        <v>Losartan</v>
      </c>
      <c r="C324" t="str" cm="1">
        <f t="array" aca="1" ref="C324" ca="1">INDEX({"Painkiller","Antibiotic","Painkiller","Antihistamine","Diabetes","Hypertension","Antacid","Antibiotic","Hypertension","Supplement"},
MATCH(B324,{"Paracetamol","Amoxicillin","Ibuprofen","Cetirizine","Metformin","Amlodipine","Omeprazole","Azithromycin","Losartan","Vitamin C"},0))</f>
        <v>Hypertension</v>
      </c>
      <c r="D324" t="str" cm="1">
        <f t="array" aca="1" ref="D324" ca="1">INDEX({"MedSupply Co","HealthCorp","PharmaPlus","GlobalMed"}, RANDBETWEEN(1,4))</f>
        <v>PharmaPlus</v>
      </c>
      <c r="E324">
        <f t="shared" ca="1" si="51"/>
        <v>54</v>
      </c>
      <c r="F324">
        <f t="shared" ca="1" si="52"/>
        <v>90</v>
      </c>
      <c r="G324">
        <f t="shared" ca="1" si="53"/>
        <v>1.57</v>
      </c>
      <c r="H324" s="1">
        <f t="shared" ca="1" si="54"/>
        <v>46430</v>
      </c>
      <c r="I324" s="1">
        <f t="shared" ca="1" si="55"/>
        <v>46045</v>
      </c>
      <c r="J324">
        <f t="shared" ca="1" si="56"/>
        <v>84.78</v>
      </c>
      <c r="K324" t="str">
        <f t="shared" ca="1" si="57"/>
        <v>Low Stock</v>
      </c>
      <c r="L324" s="2">
        <f t="shared" ca="1" si="58"/>
        <v>311</v>
      </c>
      <c r="M324" t="str">
        <f t="shared" ca="1" si="59"/>
        <v>Safe</v>
      </c>
    </row>
    <row r="325" spans="1:13" x14ac:dyDescent="0.25">
      <c r="A325" t="str">
        <f t="shared" si="50"/>
        <v>M324</v>
      </c>
      <c r="B325" t="str" cm="1">
        <f t="array" aca="1" ref="B325" ca="1">INDEX({"Paracetamol","Amoxicillin","Ibuprofen","Cetirizine","Metformin","Amlodipine","Omeprazole","Azithromycin","Losartan","Vitamin C"}, RANDBETWEEN(1,10))</f>
        <v>Metformin</v>
      </c>
      <c r="C325" t="str" cm="1">
        <f t="array" aca="1" ref="C325" ca="1">INDEX({"Painkiller","Antibiotic","Painkiller","Antihistamine","Diabetes","Hypertension","Antacid","Antibiotic","Hypertension","Supplement"},
MATCH(B325,{"Paracetamol","Amoxicillin","Ibuprofen","Cetirizine","Metformin","Amlodipine","Omeprazole","Azithromycin","Losartan","Vitamin C"},0))</f>
        <v>Diabetes</v>
      </c>
      <c r="D325" t="str" cm="1">
        <f t="array" aca="1" ref="D325" ca="1">INDEX({"MedSupply Co","HealthCorp","PharmaPlus","GlobalMed"}, RANDBETWEEN(1,4))</f>
        <v>GlobalMed</v>
      </c>
      <c r="E325">
        <f t="shared" ca="1" si="51"/>
        <v>120</v>
      </c>
      <c r="F325">
        <f t="shared" ca="1" si="52"/>
        <v>45</v>
      </c>
      <c r="G325">
        <f t="shared" ca="1" si="53"/>
        <v>1.49</v>
      </c>
      <c r="H325" s="1">
        <f t="shared" ca="1" si="54"/>
        <v>46334</v>
      </c>
      <c r="I325" s="1">
        <f t="shared" ca="1" si="55"/>
        <v>46041</v>
      </c>
      <c r="J325">
        <f t="shared" ca="1" si="56"/>
        <v>178.8</v>
      </c>
      <c r="K325" t="str">
        <f t="shared" ca="1" si="57"/>
        <v>In Stock</v>
      </c>
      <c r="L325" s="2">
        <f t="shared" ca="1" si="58"/>
        <v>215</v>
      </c>
      <c r="M325" t="str">
        <f t="shared" ca="1" si="59"/>
        <v>Safe</v>
      </c>
    </row>
    <row r="326" spans="1:13" x14ac:dyDescent="0.25">
      <c r="A326" t="str">
        <f t="shared" si="50"/>
        <v>M325</v>
      </c>
      <c r="B326" t="str" cm="1">
        <f t="array" aca="1" ref="B326" ca="1">INDEX({"Paracetamol","Amoxicillin","Ibuprofen","Cetirizine","Metformin","Amlodipine","Omeprazole","Azithromycin","Losartan","Vitamin C"}, RANDBETWEEN(1,10))</f>
        <v>Omeprazole</v>
      </c>
      <c r="C326" t="str" cm="1">
        <f t="array" aca="1" ref="C326" ca="1">INDEX({"Painkiller","Antibiotic","Painkiller","Antihistamine","Diabetes","Hypertension","Antacid","Antibiotic","Hypertension","Supplement"},
MATCH(B326,{"Paracetamol","Amoxicillin","Ibuprofen","Cetirizine","Metformin","Amlodipine","Omeprazole","Azithromycin","Losartan","Vitamin C"},0))</f>
        <v>Antacid</v>
      </c>
      <c r="D326" t="str" cm="1">
        <f t="array" aca="1" ref="D326" ca="1">INDEX({"MedSupply Co","HealthCorp","PharmaPlus","GlobalMed"}, RANDBETWEEN(1,4))</f>
        <v>HealthCorp</v>
      </c>
      <c r="E326">
        <f t="shared" ca="1" si="51"/>
        <v>25</v>
      </c>
      <c r="F326">
        <f t="shared" ca="1" si="52"/>
        <v>65</v>
      </c>
      <c r="G326">
        <f t="shared" ca="1" si="53"/>
        <v>0.5</v>
      </c>
      <c r="H326" s="1">
        <f t="shared" ca="1" si="54"/>
        <v>46472</v>
      </c>
      <c r="I326" s="1">
        <f t="shared" ca="1" si="55"/>
        <v>45959</v>
      </c>
      <c r="J326">
        <f t="shared" ca="1" si="56"/>
        <v>12.5</v>
      </c>
      <c r="K326" t="str">
        <f t="shared" ca="1" si="57"/>
        <v>Low Stock</v>
      </c>
      <c r="L326" s="2">
        <f t="shared" ca="1" si="58"/>
        <v>353</v>
      </c>
      <c r="M326" t="str">
        <f t="shared" ca="1" si="59"/>
        <v>Safe</v>
      </c>
    </row>
    <row r="327" spans="1:13" x14ac:dyDescent="0.25">
      <c r="A327" t="str">
        <f t="shared" si="50"/>
        <v>M326</v>
      </c>
      <c r="B327" t="str" cm="1">
        <f t="array" aca="1" ref="B327" ca="1">INDEX({"Paracetamol","Amoxicillin","Ibuprofen","Cetirizine","Metformin","Amlodipine","Omeprazole","Azithromycin","Losartan","Vitamin C"}, RANDBETWEEN(1,10))</f>
        <v>Azithromycin</v>
      </c>
      <c r="C327" t="str" cm="1">
        <f t="array" aca="1" ref="C327" ca="1">INDEX({"Painkiller","Antibiotic","Painkiller","Antihistamine","Diabetes","Hypertension","Antacid","Antibiotic","Hypertension","Supplement"},
MATCH(B327,{"Paracetamol","Amoxicillin","Ibuprofen","Cetirizine","Metformin","Amlodipine","Omeprazole","Azithromycin","Losartan","Vitamin C"},0))</f>
        <v>Antibiotic</v>
      </c>
      <c r="D327" t="str" cm="1">
        <f t="array" aca="1" ref="D327" ca="1">INDEX({"MedSupply Co","HealthCorp","PharmaPlus","GlobalMed"}, RANDBETWEEN(1,4))</f>
        <v>MedSupply Co</v>
      </c>
      <c r="E327">
        <f t="shared" ca="1" si="51"/>
        <v>193</v>
      </c>
      <c r="F327">
        <f t="shared" ca="1" si="52"/>
        <v>82</v>
      </c>
      <c r="G327">
        <f t="shared" ca="1" si="53"/>
        <v>1.27</v>
      </c>
      <c r="H327" s="1">
        <f t="shared" ca="1" si="54"/>
        <v>46151</v>
      </c>
      <c r="I327" s="1">
        <f t="shared" ca="1" si="55"/>
        <v>46060</v>
      </c>
      <c r="J327">
        <f t="shared" ca="1" si="56"/>
        <v>245.11</v>
      </c>
      <c r="K327" t="str">
        <f t="shared" ca="1" si="57"/>
        <v>In Stock</v>
      </c>
      <c r="L327" s="2">
        <f t="shared" ca="1" si="58"/>
        <v>32</v>
      </c>
      <c r="M327" t="str">
        <f t="shared" ca="1" si="59"/>
        <v>Safe</v>
      </c>
    </row>
    <row r="328" spans="1:13" x14ac:dyDescent="0.25">
      <c r="A328" t="str">
        <f t="shared" si="50"/>
        <v>M327</v>
      </c>
      <c r="B328" t="str" cm="1">
        <f t="array" aca="1" ref="B328" ca="1">INDEX({"Paracetamol","Amoxicillin","Ibuprofen","Cetirizine","Metformin","Amlodipine","Omeprazole","Azithromycin","Losartan","Vitamin C"}, RANDBETWEEN(1,10))</f>
        <v>Vitamin C</v>
      </c>
      <c r="C328" t="str" cm="1">
        <f t="array" aca="1" ref="C328" ca="1">INDEX({"Painkiller","Antibiotic","Painkiller","Antihistamine","Diabetes","Hypertension","Antacid","Antibiotic","Hypertension","Supplement"},
MATCH(B328,{"Paracetamol","Amoxicillin","Ibuprofen","Cetirizine","Metformin","Amlodipine","Omeprazole","Azithromycin","Losartan","Vitamin C"},0))</f>
        <v>Supplement</v>
      </c>
      <c r="D328" t="str" cm="1">
        <f t="array" aca="1" ref="D328" ca="1">INDEX({"MedSupply Co","HealthCorp","PharmaPlus","GlobalMed"}, RANDBETWEEN(1,4))</f>
        <v>MedSupply Co</v>
      </c>
      <c r="E328">
        <f t="shared" ca="1" si="51"/>
        <v>69</v>
      </c>
      <c r="F328">
        <f t="shared" ca="1" si="52"/>
        <v>73</v>
      </c>
      <c r="G328">
        <f t="shared" ca="1" si="53"/>
        <v>0.57999999999999996</v>
      </c>
      <c r="H328" s="1">
        <f t="shared" ca="1" si="54"/>
        <v>46215</v>
      </c>
      <c r="I328" s="1">
        <f t="shared" ca="1" si="55"/>
        <v>46056</v>
      </c>
      <c r="J328">
        <f t="shared" ca="1" si="56"/>
        <v>40.019999999999996</v>
      </c>
      <c r="K328" t="str">
        <f t="shared" ca="1" si="57"/>
        <v>Low Stock</v>
      </c>
      <c r="L328" s="2">
        <f t="shared" ca="1" si="58"/>
        <v>96</v>
      </c>
      <c r="M328" t="str">
        <f t="shared" ca="1" si="59"/>
        <v>Safe</v>
      </c>
    </row>
    <row r="329" spans="1:13" x14ac:dyDescent="0.25">
      <c r="A329" t="str">
        <f t="shared" si="50"/>
        <v>M328</v>
      </c>
      <c r="B329" t="str" cm="1">
        <f t="array" aca="1" ref="B329" ca="1">INDEX({"Paracetamol","Amoxicillin","Ibuprofen","Cetirizine","Metformin","Amlodipine","Omeprazole","Azithromycin","Losartan","Vitamin C"}, RANDBETWEEN(1,10))</f>
        <v>Metformin</v>
      </c>
      <c r="C329" t="str" cm="1">
        <f t="array" aca="1" ref="C329" ca="1">INDEX({"Painkiller","Antibiotic","Painkiller","Antihistamine","Diabetes","Hypertension","Antacid","Antibiotic","Hypertension","Supplement"},
MATCH(B329,{"Paracetamol","Amoxicillin","Ibuprofen","Cetirizine","Metformin","Amlodipine","Omeprazole","Azithromycin","Losartan","Vitamin C"},0))</f>
        <v>Diabetes</v>
      </c>
      <c r="D329" t="str" cm="1">
        <f t="array" aca="1" ref="D329" ca="1">INDEX({"MedSupply Co","HealthCorp","PharmaPlus","GlobalMed"}, RANDBETWEEN(1,4))</f>
        <v>GlobalMed</v>
      </c>
      <c r="E329">
        <f t="shared" ca="1" si="51"/>
        <v>116</v>
      </c>
      <c r="F329">
        <f t="shared" ca="1" si="52"/>
        <v>20</v>
      </c>
      <c r="G329">
        <f t="shared" ca="1" si="53"/>
        <v>1.21</v>
      </c>
      <c r="H329" s="1">
        <f t="shared" ca="1" si="54"/>
        <v>46462</v>
      </c>
      <c r="I329" s="1">
        <f t="shared" ca="1" si="55"/>
        <v>46052</v>
      </c>
      <c r="J329">
        <f t="shared" ca="1" si="56"/>
        <v>140.35999999999999</v>
      </c>
      <c r="K329" t="str">
        <f t="shared" ca="1" si="57"/>
        <v>In Stock</v>
      </c>
      <c r="L329" s="2">
        <f t="shared" ca="1" si="58"/>
        <v>343</v>
      </c>
      <c r="M329" t="str">
        <f t="shared" ca="1" si="59"/>
        <v>Safe</v>
      </c>
    </row>
    <row r="330" spans="1:13" x14ac:dyDescent="0.25">
      <c r="A330" t="str">
        <f t="shared" si="50"/>
        <v>M329</v>
      </c>
      <c r="B330" t="str" cm="1">
        <f t="array" aca="1" ref="B330" ca="1">INDEX({"Paracetamol","Amoxicillin","Ibuprofen","Cetirizine","Metformin","Amlodipine","Omeprazole","Azithromycin","Losartan","Vitamin C"}, RANDBETWEEN(1,10))</f>
        <v>Cetirizine</v>
      </c>
      <c r="C330" t="str" cm="1">
        <f t="array" aca="1" ref="C330" ca="1">INDEX({"Painkiller","Antibiotic","Painkiller","Antihistamine","Diabetes","Hypertension","Antacid","Antibiotic","Hypertension","Supplement"},
MATCH(B330,{"Paracetamol","Amoxicillin","Ibuprofen","Cetirizine","Metformin","Amlodipine","Omeprazole","Azithromycin","Losartan","Vitamin C"},0))</f>
        <v>Antihistamine</v>
      </c>
      <c r="D330" t="str" cm="1">
        <f t="array" aca="1" ref="D330" ca="1">INDEX({"MedSupply Co","HealthCorp","PharmaPlus","GlobalMed"}, RANDBETWEEN(1,4))</f>
        <v>PharmaPlus</v>
      </c>
      <c r="E330">
        <f t="shared" ca="1" si="51"/>
        <v>67</v>
      </c>
      <c r="F330">
        <f t="shared" ca="1" si="52"/>
        <v>45</v>
      </c>
      <c r="G330">
        <f t="shared" ca="1" si="53"/>
        <v>0.51</v>
      </c>
      <c r="H330" s="1">
        <f t="shared" ca="1" si="54"/>
        <v>46300</v>
      </c>
      <c r="I330" s="1">
        <f t="shared" ca="1" si="55"/>
        <v>45950</v>
      </c>
      <c r="J330">
        <f t="shared" ca="1" si="56"/>
        <v>34.17</v>
      </c>
      <c r="K330" t="str">
        <f t="shared" ca="1" si="57"/>
        <v>In Stock</v>
      </c>
      <c r="L330" s="2">
        <f t="shared" ca="1" si="58"/>
        <v>181</v>
      </c>
      <c r="M330" t="str">
        <f t="shared" ca="1" si="59"/>
        <v>Safe</v>
      </c>
    </row>
    <row r="331" spans="1:13" x14ac:dyDescent="0.25">
      <c r="A331" t="str">
        <f t="shared" si="50"/>
        <v>M330</v>
      </c>
      <c r="B331" t="str" cm="1">
        <f t="array" aca="1" ref="B331" ca="1">INDEX({"Paracetamol","Amoxicillin","Ibuprofen","Cetirizine","Metformin","Amlodipine","Omeprazole","Azithromycin","Losartan","Vitamin C"}, RANDBETWEEN(1,10))</f>
        <v>Amoxicillin</v>
      </c>
      <c r="C331" t="str" cm="1">
        <f t="array" aca="1" ref="C331" ca="1">INDEX({"Painkiller","Antibiotic","Painkiller","Antihistamine","Diabetes","Hypertension","Antacid","Antibiotic","Hypertension","Supplement"},
MATCH(B331,{"Paracetamol","Amoxicillin","Ibuprofen","Cetirizine","Metformin","Amlodipine","Omeprazole","Azithromycin","Losartan","Vitamin C"},0))</f>
        <v>Antibiotic</v>
      </c>
      <c r="D331" t="str" cm="1">
        <f t="array" aca="1" ref="D331" ca="1">INDEX({"MedSupply Co","HealthCorp","PharmaPlus","GlobalMed"}, RANDBETWEEN(1,4))</f>
        <v>PharmaPlus</v>
      </c>
      <c r="E331">
        <f t="shared" ca="1" si="51"/>
        <v>168</v>
      </c>
      <c r="F331">
        <f t="shared" ca="1" si="52"/>
        <v>34</v>
      </c>
      <c r="G331">
        <f t="shared" ca="1" si="53"/>
        <v>1.1299999999999999</v>
      </c>
      <c r="H331" s="1">
        <f t="shared" ca="1" si="54"/>
        <v>46364</v>
      </c>
      <c r="I331" s="1">
        <f t="shared" ca="1" si="55"/>
        <v>46098</v>
      </c>
      <c r="J331">
        <f t="shared" ca="1" si="56"/>
        <v>189.83999999999997</v>
      </c>
      <c r="K331" t="str">
        <f t="shared" ca="1" si="57"/>
        <v>In Stock</v>
      </c>
      <c r="L331" s="2">
        <f t="shared" ca="1" si="58"/>
        <v>245</v>
      </c>
      <c r="M331" t="str">
        <f t="shared" ca="1" si="59"/>
        <v>Safe</v>
      </c>
    </row>
    <row r="332" spans="1:13" x14ac:dyDescent="0.25">
      <c r="A332" t="str">
        <f t="shared" si="50"/>
        <v>M331</v>
      </c>
      <c r="B332" t="str" cm="1">
        <f t="array" aca="1" ref="B332" ca="1">INDEX({"Paracetamol","Amoxicillin","Ibuprofen","Cetirizine","Metformin","Amlodipine","Omeprazole","Azithromycin","Losartan","Vitamin C"}, RANDBETWEEN(1,10))</f>
        <v>Amoxicillin</v>
      </c>
      <c r="C332" t="str" cm="1">
        <f t="array" aca="1" ref="C332" ca="1">INDEX({"Painkiller","Antibiotic","Painkiller","Antihistamine","Diabetes","Hypertension","Antacid","Antibiotic","Hypertension","Supplement"},
MATCH(B332,{"Paracetamol","Amoxicillin","Ibuprofen","Cetirizine","Metformin","Amlodipine","Omeprazole","Azithromycin","Losartan","Vitamin C"},0))</f>
        <v>Antibiotic</v>
      </c>
      <c r="D332" t="str" cm="1">
        <f t="array" aca="1" ref="D332" ca="1">INDEX({"MedSupply Co","HealthCorp","PharmaPlus","GlobalMed"}, RANDBETWEEN(1,4))</f>
        <v>GlobalMed</v>
      </c>
      <c r="E332">
        <f t="shared" ca="1" si="51"/>
        <v>24</v>
      </c>
      <c r="F332">
        <f t="shared" ca="1" si="52"/>
        <v>32</v>
      </c>
      <c r="G332">
        <f t="shared" ca="1" si="53"/>
        <v>1.44</v>
      </c>
      <c r="H332" s="1">
        <f t="shared" ca="1" si="54"/>
        <v>46344</v>
      </c>
      <c r="I332" s="1">
        <f t="shared" ca="1" si="55"/>
        <v>46058</v>
      </c>
      <c r="J332">
        <f t="shared" ca="1" si="56"/>
        <v>34.56</v>
      </c>
      <c r="K332" t="str">
        <f t="shared" ca="1" si="57"/>
        <v>Low Stock</v>
      </c>
      <c r="L332" s="2">
        <f t="shared" ca="1" si="58"/>
        <v>225</v>
      </c>
      <c r="M332" t="str">
        <f t="shared" ca="1" si="59"/>
        <v>Safe</v>
      </c>
    </row>
    <row r="333" spans="1:13" x14ac:dyDescent="0.25">
      <c r="A333" t="str">
        <f t="shared" si="50"/>
        <v>M332</v>
      </c>
      <c r="B333" t="str" cm="1">
        <f t="array" aca="1" ref="B333" ca="1">INDEX({"Paracetamol","Amoxicillin","Ibuprofen","Cetirizine","Metformin","Amlodipine","Omeprazole","Azithromycin","Losartan","Vitamin C"}, RANDBETWEEN(1,10))</f>
        <v>Amoxicillin</v>
      </c>
      <c r="C333" t="str" cm="1">
        <f t="array" aca="1" ref="C333" ca="1">INDEX({"Painkiller","Antibiotic","Painkiller","Antihistamine","Diabetes","Hypertension","Antacid","Antibiotic","Hypertension","Supplement"},
MATCH(B333,{"Paracetamol","Amoxicillin","Ibuprofen","Cetirizine","Metformin","Amlodipine","Omeprazole","Azithromycin","Losartan","Vitamin C"},0))</f>
        <v>Antibiotic</v>
      </c>
      <c r="D333" t="str" cm="1">
        <f t="array" aca="1" ref="D333" ca="1">INDEX({"MedSupply Co","HealthCorp","PharmaPlus","GlobalMed"}, RANDBETWEEN(1,4))</f>
        <v>PharmaPlus</v>
      </c>
      <c r="E333">
        <f t="shared" ca="1" si="51"/>
        <v>80</v>
      </c>
      <c r="F333">
        <f t="shared" ca="1" si="52"/>
        <v>81</v>
      </c>
      <c r="G333">
        <f t="shared" ca="1" si="53"/>
        <v>1.88</v>
      </c>
      <c r="H333" s="1">
        <f t="shared" ca="1" si="54"/>
        <v>46231</v>
      </c>
      <c r="I333" s="1">
        <f t="shared" ca="1" si="55"/>
        <v>45960</v>
      </c>
      <c r="J333">
        <f t="shared" ca="1" si="56"/>
        <v>150.39999999999998</v>
      </c>
      <c r="K333" t="str">
        <f t="shared" ca="1" si="57"/>
        <v>Low Stock</v>
      </c>
      <c r="L333" s="2">
        <f t="shared" ca="1" si="58"/>
        <v>112</v>
      </c>
      <c r="M333" t="str">
        <f t="shared" ca="1" si="59"/>
        <v>Safe</v>
      </c>
    </row>
    <row r="334" spans="1:13" x14ac:dyDescent="0.25">
      <c r="A334" t="str">
        <f t="shared" si="50"/>
        <v>M333</v>
      </c>
      <c r="B334" t="str" cm="1">
        <f t="array" aca="1" ref="B334" ca="1">INDEX({"Paracetamol","Amoxicillin","Ibuprofen","Cetirizine","Metformin","Amlodipine","Omeprazole","Azithromycin","Losartan","Vitamin C"}, RANDBETWEEN(1,10))</f>
        <v>Metformin</v>
      </c>
      <c r="C334" t="str" cm="1">
        <f t="array" aca="1" ref="C334" ca="1">INDEX({"Painkiller","Antibiotic","Painkiller","Antihistamine","Diabetes","Hypertension","Antacid","Antibiotic","Hypertension","Supplement"},
MATCH(B334,{"Paracetamol","Amoxicillin","Ibuprofen","Cetirizine","Metformin","Amlodipine","Omeprazole","Azithromycin","Losartan","Vitamin C"},0))</f>
        <v>Diabetes</v>
      </c>
      <c r="D334" t="str" cm="1">
        <f t="array" aca="1" ref="D334" ca="1">INDEX({"MedSupply Co","HealthCorp","PharmaPlus","GlobalMed"}, RANDBETWEEN(1,4))</f>
        <v>HealthCorp</v>
      </c>
      <c r="E334">
        <f t="shared" ca="1" si="51"/>
        <v>85</v>
      </c>
      <c r="F334">
        <f t="shared" ca="1" si="52"/>
        <v>32</v>
      </c>
      <c r="G334">
        <f t="shared" ca="1" si="53"/>
        <v>0.7</v>
      </c>
      <c r="H334" s="1">
        <f t="shared" ca="1" si="54"/>
        <v>46336</v>
      </c>
      <c r="I334" s="1">
        <f t="shared" ca="1" si="55"/>
        <v>46005</v>
      </c>
      <c r="J334">
        <f t="shared" ca="1" si="56"/>
        <v>59.499999999999993</v>
      </c>
      <c r="K334" t="str">
        <f t="shared" ca="1" si="57"/>
        <v>In Stock</v>
      </c>
      <c r="L334" s="2">
        <f t="shared" ca="1" si="58"/>
        <v>217</v>
      </c>
      <c r="M334" t="str">
        <f t="shared" ca="1" si="59"/>
        <v>Safe</v>
      </c>
    </row>
    <row r="335" spans="1:13" x14ac:dyDescent="0.25">
      <c r="A335" t="str">
        <f t="shared" si="50"/>
        <v>M334</v>
      </c>
      <c r="B335" t="str" cm="1">
        <f t="array" aca="1" ref="B335" ca="1">INDEX({"Paracetamol","Amoxicillin","Ibuprofen","Cetirizine","Metformin","Amlodipine","Omeprazole","Azithromycin","Losartan","Vitamin C"}, RANDBETWEEN(1,10))</f>
        <v>Metformin</v>
      </c>
      <c r="C335" t="str" cm="1">
        <f t="array" aca="1" ref="C335" ca="1">INDEX({"Painkiller","Antibiotic","Painkiller","Antihistamine","Diabetes","Hypertension","Antacid","Antibiotic","Hypertension","Supplement"},
MATCH(B335,{"Paracetamol","Amoxicillin","Ibuprofen","Cetirizine","Metformin","Amlodipine","Omeprazole","Azithromycin","Losartan","Vitamin C"},0))</f>
        <v>Diabetes</v>
      </c>
      <c r="D335" t="str" cm="1">
        <f t="array" aca="1" ref="D335" ca="1">INDEX({"MedSupply Co","HealthCorp","PharmaPlus","GlobalMed"}, RANDBETWEEN(1,4))</f>
        <v>GlobalMed</v>
      </c>
      <c r="E335">
        <f t="shared" ca="1" si="51"/>
        <v>148</v>
      </c>
      <c r="F335">
        <f t="shared" ca="1" si="52"/>
        <v>81</v>
      </c>
      <c r="G335">
        <f t="shared" ca="1" si="53"/>
        <v>1.04</v>
      </c>
      <c r="H335" s="1">
        <f t="shared" ca="1" si="54"/>
        <v>46325</v>
      </c>
      <c r="I335" s="1">
        <f t="shared" ca="1" si="55"/>
        <v>46104</v>
      </c>
      <c r="J335">
        <f t="shared" ca="1" si="56"/>
        <v>153.92000000000002</v>
      </c>
      <c r="K335" t="str">
        <f t="shared" ca="1" si="57"/>
        <v>In Stock</v>
      </c>
      <c r="L335" s="2">
        <f t="shared" ca="1" si="58"/>
        <v>206</v>
      </c>
      <c r="M335" t="str">
        <f t="shared" ca="1" si="59"/>
        <v>Safe</v>
      </c>
    </row>
    <row r="336" spans="1:13" x14ac:dyDescent="0.25">
      <c r="A336" t="str">
        <f t="shared" si="50"/>
        <v>M335</v>
      </c>
      <c r="B336" t="str" cm="1">
        <f t="array" aca="1" ref="B336" ca="1">INDEX({"Paracetamol","Amoxicillin","Ibuprofen","Cetirizine","Metformin","Amlodipine","Omeprazole","Azithromycin","Losartan","Vitamin C"}, RANDBETWEEN(1,10))</f>
        <v>Losartan</v>
      </c>
      <c r="C336" t="str" cm="1">
        <f t="array" aca="1" ref="C336" ca="1">INDEX({"Painkiller","Antibiotic","Painkiller","Antihistamine","Diabetes","Hypertension","Antacid","Antibiotic","Hypertension","Supplement"},
MATCH(B336,{"Paracetamol","Amoxicillin","Ibuprofen","Cetirizine","Metformin","Amlodipine","Omeprazole","Azithromycin","Losartan","Vitamin C"},0))</f>
        <v>Hypertension</v>
      </c>
      <c r="D336" t="str" cm="1">
        <f t="array" aca="1" ref="D336" ca="1">INDEX({"MedSupply Co","HealthCorp","PharmaPlus","GlobalMed"}, RANDBETWEEN(1,4))</f>
        <v>PharmaPlus</v>
      </c>
      <c r="E336">
        <f t="shared" ca="1" si="51"/>
        <v>25</v>
      </c>
      <c r="F336">
        <f t="shared" ca="1" si="52"/>
        <v>73</v>
      </c>
      <c r="G336">
        <f t="shared" ca="1" si="53"/>
        <v>1.1399999999999999</v>
      </c>
      <c r="H336" s="1">
        <f t="shared" ca="1" si="54"/>
        <v>46157</v>
      </c>
      <c r="I336" s="1">
        <f t="shared" ca="1" si="55"/>
        <v>45950</v>
      </c>
      <c r="J336">
        <f t="shared" ca="1" si="56"/>
        <v>28.499999999999996</v>
      </c>
      <c r="K336" t="str">
        <f t="shared" ca="1" si="57"/>
        <v>Low Stock</v>
      </c>
      <c r="L336" s="2">
        <f t="shared" ca="1" si="58"/>
        <v>38</v>
      </c>
      <c r="M336" t="str">
        <f t="shared" ca="1" si="59"/>
        <v>Safe</v>
      </c>
    </row>
    <row r="337" spans="1:13" x14ac:dyDescent="0.25">
      <c r="A337" t="str">
        <f t="shared" si="50"/>
        <v>M336</v>
      </c>
      <c r="B337" t="str" cm="1">
        <f t="array" aca="1" ref="B337" ca="1">INDEX({"Paracetamol","Amoxicillin","Ibuprofen","Cetirizine","Metformin","Amlodipine","Omeprazole","Azithromycin","Losartan","Vitamin C"}, RANDBETWEEN(1,10))</f>
        <v>Paracetamol</v>
      </c>
      <c r="C337" t="str" cm="1">
        <f t="array" aca="1" ref="C337" ca="1">INDEX({"Painkiller","Antibiotic","Painkiller","Antihistamine","Diabetes","Hypertension","Antacid","Antibiotic","Hypertension","Supplement"},
MATCH(B337,{"Paracetamol","Amoxicillin","Ibuprofen","Cetirizine","Metformin","Amlodipine","Omeprazole","Azithromycin","Losartan","Vitamin C"},0))</f>
        <v>Painkiller</v>
      </c>
      <c r="D337" t="str" cm="1">
        <f t="array" aca="1" ref="D337" ca="1">INDEX({"MedSupply Co","HealthCorp","PharmaPlus","GlobalMed"}, RANDBETWEEN(1,4))</f>
        <v>GlobalMed</v>
      </c>
      <c r="E337">
        <f t="shared" ca="1" si="51"/>
        <v>125</v>
      </c>
      <c r="F337">
        <f t="shared" ca="1" si="52"/>
        <v>30</v>
      </c>
      <c r="G337">
        <f t="shared" ca="1" si="53"/>
        <v>0.63</v>
      </c>
      <c r="H337" s="1">
        <f t="shared" ca="1" si="54"/>
        <v>46210</v>
      </c>
      <c r="I337" s="1">
        <f t="shared" ca="1" si="55"/>
        <v>46000</v>
      </c>
      <c r="J337">
        <f t="shared" ca="1" si="56"/>
        <v>78.75</v>
      </c>
      <c r="K337" t="str">
        <f t="shared" ca="1" si="57"/>
        <v>In Stock</v>
      </c>
      <c r="L337" s="2">
        <f t="shared" ca="1" si="58"/>
        <v>91</v>
      </c>
      <c r="M337" t="str">
        <f t="shared" ca="1" si="59"/>
        <v>Safe</v>
      </c>
    </row>
    <row r="338" spans="1:13" x14ac:dyDescent="0.25">
      <c r="A338" t="str">
        <f t="shared" si="50"/>
        <v>M337</v>
      </c>
      <c r="B338" t="str" cm="1">
        <f t="array" aca="1" ref="B338" ca="1">INDEX({"Paracetamol","Amoxicillin","Ibuprofen","Cetirizine","Metformin","Amlodipine","Omeprazole","Azithromycin","Losartan","Vitamin C"}, RANDBETWEEN(1,10))</f>
        <v>Paracetamol</v>
      </c>
      <c r="C338" t="str" cm="1">
        <f t="array" aca="1" ref="C338" ca="1">INDEX({"Painkiller","Antibiotic","Painkiller","Antihistamine","Diabetes","Hypertension","Antacid","Antibiotic","Hypertension","Supplement"},
MATCH(B338,{"Paracetamol","Amoxicillin","Ibuprofen","Cetirizine","Metformin","Amlodipine","Omeprazole","Azithromycin","Losartan","Vitamin C"},0))</f>
        <v>Painkiller</v>
      </c>
      <c r="D338" t="str" cm="1">
        <f t="array" aca="1" ref="D338" ca="1">INDEX({"MedSupply Co","HealthCorp","PharmaPlus","GlobalMed"}, RANDBETWEEN(1,4))</f>
        <v>PharmaPlus</v>
      </c>
      <c r="E338">
        <f t="shared" ca="1" si="51"/>
        <v>23</v>
      </c>
      <c r="F338">
        <f t="shared" ca="1" si="52"/>
        <v>49</v>
      </c>
      <c r="G338">
        <f t="shared" ca="1" si="53"/>
        <v>0.63</v>
      </c>
      <c r="H338" s="1">
        <f t="shared" ca="1" si="54"/>
        <v>46362</v>
      </c>
      <c r="I338" s="1">
        <f t="shared" ca="1" si="55"/>
        <v>46002</v>
      </c>
      <c r="J338">
        <f t="shared" ca="1" si="56"/>
        <v>14.49</v>
      </c>
      <c r="K338" t="str">
        <f t="shared" ca="1" si="57"/>
        <v>Low Stock</v>
      </c>
      <c r="L338" s="2">
        <f t="shared" ca="1" si="58"/>
        <v>243</v>
      </c>
      <c r="M338" t="str">
        <f t="shared" ca="1" si="59"/>
        <v>Safe</v>
      </c>
    </row>
    <row r="339" spans="1:13" x14ac:dyDescent="0.25">
      <c r="A339" t="str">
        <f t="shared" si="50"/>
        <v>M338</v>
      </c>
      <c r="B339" t="str" cm="1">
        <f t="array" aca="1" ref="B339" ca="1">INDEX({"Paracetamol","Amoxicillin","Ibuprofen","Cetirizine","Metformin","Amlodipine","Omeprazole","Azithromycin","Losartan","Vitamin C"}, RANDBETWEEN(1,10))</f>
        <v>Omeprazole</v>
      </c>
      <c r="C339" t="str" cm="1">
        <f t="array" aca="1" ref="C339" ca="1">INDEX({"Painkiller","Antibiotic","Painkiller","Antihistamine","Diabetes","Hypertension","Antacid","Antibiotic","Hypertension","Supplement"},
MATCH(B339,{"Paracetamol","Amoxicillin","Ibuprofen","Cetirizine","Metformin","Amlodipine","Omeprazole","Azithromycin","Losartan","Vitamin C"},0))</f>
        <v>Antacid</v>
      </c>
      <c r="D339" t="str" cm="1">
        <f t="array" aca="1" ref="D339" ca="1">INDEX({"MedSupply Co","HealthCorp","PharmaPlus","GlobalMed"}, RANDBETWEEN(1,4))</f>
        <v>GlobalMed</v>
      </c>
      <c r="E339">
        <f t="shared" ca="1" si="51"/>
        <v>0</v>
      </c>
      <c r="F339">
        <f t="shared" ca="1" si="52"/>
        <v>42</v>
      </c>
      <c r="G339">
        <f t="shared" ca="1" si="53"/>
        <v>0.91</v>
      </c>
      <c r="H339" s="1">
        <f t="shared" ca="1" si="54"/>
        <v>46203</v>
      </c>
      <c r="I339" s="1">
        <f t="shared" ca="1" si="55"/>
        <v>46008</v>
      </c>
      <c r="J339">
        <f t="shared" ca="1" si="56"/>
        <v>0</v>
      </c>
      <c r="K339" t="str">
        <f t="shared" ca="1" si="57"/>
        <v>Out of Stock</v>
      </c>
      <c r="L339" s="2">
        <f t="shared" ca="1" si="58"/>
        <v>84</v>
      </c>
      <c r="M339" t="str">
        <f t="shared" ca="1" si="59"/>
        <v>Safe</v>
      </c>
    </row>
    <row r="340" spans="1:13" x14ac:dyDescent="0.25">
      <c r="A340" t="str">
        <f t="shared" si="50"/>
        <v>M339</v>
      </c>
      <c r="B340" t="str" cm="1">
        <f t="array" aca="1" ref="B340" ca="1">INDEX({"Paracetamol","Amoxicillin","Ibuprofen","Cetirizine","Metformin","Amlodipine","Omeprazole","Azithromycin","Losartan","Vitamin C"}, RANDBETWEEN(1,10))</f>
        <v>Ibuprofen</v>
      </c>
      <c r="C340" t="str" cm="1">
        <f t="array" aca="1" ref="C340" ca="1">INDEX({"Painkiller","Antibiotic","Painkiller","Antihistamine","Diabetes","Hypertension","Antacid","Antibiotic","Hypertension","Supplement"},
MATCH(B340,{"Paracetamol","Amoxicillin","Ibuprofen","Cetirizine","Metformin","Amlodipine","Omeprazole","Azithromycin","Losartan","Vitamin C"},0))</f>
        <v>Painkiller</v>
      </c>
      <c r="D340" t="str" cm="1">
        <f t="array" aca="1" ref="D340" ca="1">INDEX({"MedSupply Co","HealthCorp","PharmaPlus","GlobalMed"}, RANDBETWEEN(1,4))</f>
        <v>PharmaPlus</v>
      </c>
      <c r="E340">
        <f t="shared" ca="1" si="51"/>
        <v>61</v>
      </c>
      <c r="F340">
        <f t="shared" ca="1" si="52"/>
        <v>84</v>
      </c>
      <c r="G340">
        <f t="shared" ca="1" si="53"/>
        <v>0.77</v>
      </c>
      <c r="H340" s="1">
        <f t="shared" ca="1" si="54"/>
        <v>46200</v>
      </c>
      <c r="I340" s="1">
        <f t="shared" ca="1" si="55"/>
        <v>46010</v>
      </c>
      <c r="J340">
        <f t="shared" ca="1" si="56"/>
        <v>46.97</v>
      </c>
      <c r="K340" t="str">
        <f t="shared" ca="1" si="57"/>
        <v>Low Stock</v>
      </c>
      <c r="L340" s="2">
        <f t="shared" ca="1" si="58"/>
        <v>81</v>
      </c>
      <c r="M340" t="str">
        <f t="shared" ca="1" si="59"/>
        <v>Safe</v>
      </c>
    </row>
    <row r="341" spans="1:13" x14ac:dyDescent="0.25">
      <c r="A341" t="str">
        <f t="shared" si="50"/>
        <v>M340</v>
      </c>
      <c r="B341" t="str" cm="1">
        <f t="array" aca="1" ref="B341" ca="1">INDEX({"Paracetamol","Amoxicillin","Ibuprofen","Cetirizine","Metformin","Amlodipine","Omeprazole","Azithromycin","Losartan","Vitamin C"}, RANDBETWEEN(1,10))</f>
        <v>Vitamin C</v>
      </c>
      <c r="C341" t="str" cm="1">
        <f t="array" aca="1" ref="C341" ca="1">INDEX({"Painkiller","Antibiotic","Painkiller","Antihistamine","Diabetes","Hypertension","Antacid","Antibiotic","Hypertension","Supplement"},
MATCH(B341,{"Paracetamol","Amoxicillin","Ibuprofen","Cetirizine","Metformin","Amlodipine","Omeprazole","Azithromycin","Losartan","Vitamin C"},0))</f>
        <v>Supplement</v>
      </c>
      <c r="D341" t="str" cm="1">
        <f t="array" aca="1" ref="D341" ca="1">INDEX({"MedSupply Co","HealthCorp","PharmaPlus","GlobalMed"}, RANDBETWEEN(1,4))</f>
        <v>GlobalMed</v>
      </c>
      <c r="E341">
        <f t="shared" ca="1" si="51"/>
        <v>89</v>
      </c>
      <c r="F341">
        <f t="shared" ca="1" si="52"/>
        <v>68</v>
      </c>
      <c r="G341">
        <f t="shared" ca="1" si="53"/>
        <v>0.7</v>
      </c>
      <c r="H341" s="1">
        <f t="shared" ca="1" si="54"/>
        <v>46429</v>
      </c>
      <c r="I341" s="1">
        <f t="shared" ca="1" si="55"/>
        <v>46113</v>
      </c>
      <c r="J341">
        <f t="shared" ca="1" si="56"/>
        <v>62.3</v>
      </c>
      <c r="K341" t="str">
        <f t="shared" ca="1" si="57"/>
        <v>In Stock</v>
      </c>
      <c r="L341" s="2">
        <f t="shared" ca="1" si="58"/>
        <v>310</v>
      </c>
      <c r="M341" t="str">
        <f t="shared" ca="1" si="59"/>
        <v>Safe</v>
      </c>
    </row>
    <row r="342" spans="1:13" x14ac:dyDescent="0.25">
      <c r="A342" t="str">
        <f t="shared" si="50"/>
        <v>M341</v>
      </c>
      <c r="B342" t="str" cm="1">
        <f t="array" aca="1" ref="B342" ca="1">INDEX({"Paracetamol","Amoxicillin","Ibuprofen","Cetirizine","Metformin","Amlodipine","Omeprazole","Azithromycin","Losartan","Vitamin C"}, RANDBETWEEN(1,10))</f>
        <v>Vitamin C</v>
      </c>
      <c r="C342" t="str" cm="1">
        <f t="array" aca="1" ref="C342" ca="1">INDEX({"Painkiller","Antibiotic","Painkiller","Antihistamine","Diabetes","Hypertension","Antacid","Antibiotic","Hypertension","Supplement"},
MATCH(B342,{"Paracetamol","Amoxicillin","Ibuprofen","Cetirizine","Metformin","Amlodipine","Omeprazole","Azithromycin","Losartan","Vitamin C"},0))</f>
        <v>Supplement</v>
      </c>
      <c r="D342" t="str" cm="1">
        <f t="array" aca="1" ref="D342" ca="1">INDEX({"MedSupply Co","HealthCorp","PharmaPlus","GlobalMed"}, RANDBETWEEN(1,4))</f>
        <v>GlobalMed</v>
      </c>
      <c r="E342">
        <f t="shared" ca="1" si="51"/>
        <v>170</v>
      </c>
      <c r="F342">
        <f t="shared" ca="1" si="52"/>
        <v>55</v>
      </c>
      <c r="G342">
        <f t="shared" ca="1" si="53"/>
        <v>0.92</v>
      </c>
      <c r="H342" s="1">
        <f t="shared" ca="1" si="54"/>
        <v>46201</v>
      </c>
      <c r="I342" s="1">
        <f t="shared" ca="1" si="55"/>
        <v>46073</v>
      </c>
      <c r="J342">
        <f t="shared" ca="1" si="56"/>
        <v>156.4</v>
      </c>
      <c r="K342" t="str">
        <f t="shared" ca="1" si="57"/>
        <v>In Stock</v>
      </c>
      <c r="L342" s="2">
        <f t="shared" ca="1" si="58"/>
        <v>82</v>
      </c>
      <c r="M342" t="str">
        <f t="shared" ca="1" si="59"/>
        <v>Safe</v>
      </c>
    </row>
    <row r="343" spans="1:13" x14ac:dyDescent="0.25">
      <c r="A343" t="str">
        <f t="shared" si="50"/>
        <v>M342</v>
      </c>
      <c r="B343" t="str" cm="1">
        <f t="array" aca="1" ref="B343" ca="1">INDEX({"Paracetamol","Amoxicillin","Ibuprofen","Cetirizine","Metformin","Amlodipine","Omeprazole","Azithromycin","Losartan","Vitamin C"}, RANDBETWEEN(1,10))</f>
        <v>Losartan</v>
      </c>
      <c r="C343" t="str" cm="1">
        <f t="array" aca="1" ref="C343" ca="1">INDEX({"Painkiller","Antibiotic","Painkiller","Antihistamine","Diabetes","Hypertension","Antacid","Antibiotic","Hypertension","Supplement"},
MATCH(B343,{"Paracetamol","Amoxicillin","Ibuprofen","Cetirizine","Metformin","Amlodipine","Omeprazole","Azithromycin","Losartan","Vitamin C"},0))</f>
        <v>Hypertension</v>
      </c>
      <c r="D343" t="str" cm="1">
        <f t="array" aca="1" ref="D343" ca="1">INDEX({"MedSupply Co","HealthCorp","PharmaPlus","GlobalMed"}, RANDBETWEEN(1,4))</f>
        <v>MedSupply Co</v>
      </c>
      <c r="E343">
        <f t="shared" ca="1" si="51"/>
        <v>84</v>
      </c>
      <c r="F343">
        <f t="shared" ca="1" si="52"/>
        <v>36</v>
      </c>
      <c r="G343">
        <f t="shared" ca="1" si="53"/>
        <v>1.83</v>
      </c>
      <c r="H343" s="1">
        <f t="shared" ca="1" si="54"/>
        <v>46317</v>
      </c>
      <c r="I343" s="1">
        <f t="shared" ca="1" si="55"/>
        <v>45966</v>
      </c>
      <c r="J343">
        <f t="shared" ca="1" si="56"/>
        <v>153.72</v>
      </c>
      <c r="K343" t="str">
        <f t="shared" ca="1" si="57"/>
        <v>In Stock</v>
      </c>
      <c r="L343" s="2">
        <f t="shared" ca="1" si="58"/>
        <v>198</v>
      </c>
      <c r="M343" t="str">
        <f t="shared" ca="1" si="59"/>
        <v>Safe</v>
      </c>
    </row>
    <row r="344" spans="1:13" x14ac:dyDescent="0.25">
      <c r="A344" t="str">
        <f t="shared" si="50"/>
        <v>M343</v>
      </c>
      <c r="B344" t="str" cm="1">
        <f t="array" aca="1" ref="B344" ca="1">INDEX({"Paracetamol","Amoxicillin","Ibuprofen","Cetirizine","Metformin","Amlodipine","Omeprazole","Azithromycin","Losartan","Vitamin C"}, RANDBETWEEN(1,10))</f>
        <v>Losartan</v>
      </c>
      <c r="C344" t="str" cm="1">
        <f t="array" aca="1" ref="C344" ca="1">INDEX({"Painkiller","Antibiotic","Painkiller","Antihistamine","Diabetes","Hypertension","Antacid","Antibiotic","Hypertension","Supplement"},
MATCH(B344,{"Paracetamol","Amoxicillin","Ibuprofen","Cetirizine","Metformin","Amlodipine","Omeprazole","Azithromycin","Losartan","Vitamin C"},0))</f>
        <v>Hypertension</v>
      </c>
      <c r="D344" t="str" cm="1">
        <f t="array" aca="1" ref="D344" ca="1">INDEX({"MedSupply Co","HealthCorp","PharmaPlus","GlobalMed"}, RANDBETWEEN(1,4))</f>
        <v>GlobalMed</v>
      </c>
      <c r="E344">
        <f t="shared" ca="1" si="51"/>
        <v>169</v>
      </c>
      <c r="F344">
        <f t="shared" ca="1" si="52"/>
        <v>47</v>
      </c>
      <c r="G344">
        <f t="shared" ca="1" si="53"/>
        <v>1.19</v>
      </c>
      <c r="H344" s="1">
        <f t="shared" ca="1" si="54"/>
        <v>46260</v>
      </c>
      <c r="I344" s="1">
        <f t="shared" ca="1" si="55"/>
        <v>45954</v>
      </c>
      <c r="J344">
        <f t="shared" ca="1" si="56"/>
        <v>201.10999999999999</v>
      </c>
      <c r="K344" t="str">
        <f t="shared" ca="1" si="57"/>
        <v>In Stock</v>
      </c>
      <c r="L344" s="2">
        <f t="shared" ca="1" si="58"/>
        <v>141</v>
      </c>
      <c r="M344" t="str">
        <f t="shared" ca="1" si="59"/>
        <v>Safe</v>
      </c>
    </row>
    <row r="345" spans="1:13" x14ac:dyDescent="0.25">
      <c r="A345" t="str">
        <f t="shared" si="50"/>
        <v>M344</v>
      </c>
      <c r="B345" t="str" cm="1">
        <f t="array" aca="1" ref="B345" ca="1">INDEX({"Paracetamol","Amoxicillin","Ibuprofen","Cetirizine","Metformin","Amlodipine","Omeprazole","Azithromycin","Losartan","Vitamin C"}, RANDBETWEEN(1,10))</f>
        <v>Vitamin C</v>
      </c>
      <c r="C345" t="str" cm="1">
        <f t="array" aca="1" ref="C345" ca="1">INDEX({"Painkiller","Antibiotic","Painkiller","Antihistamine","Diabetes","Hypertension","Antacid","Antibiotic","Hypertension","Supplement"},
MATCH(B345,{"Paracetamol","Amoxicillin","Ibuprofen","Cetirizine","Metformin","Amlodipine","Omeprazole","Azithromycin","Losartan","Vitamin C"},0))</f>
        <v>Supplement</v>
      </c>
      <c r="D345" t="str" cm="1">
        <f t="array" aca="1" ref="D345" ca="1">INDEX({"MedSupply Co","HealthCorp","PharmaPlus","GlobalMed"}, RANDBETWEEN(1,4))</f>
        <v>PharmaPlus</v>
      </c>
      <c r="E345">
        <f t="shared" ca="1" si="51"/>
        <v>45</v>
      </c>
      <c r="F345">
        <f t="shared" ca="1" si="52"/>
        <v>93</v>
      </c>
      <c r="G345">
        <f t="shared" ca="1" si="53"/>
        <v>1.22</v>
      </c>
      <c r="H345" s="1">
        <f t="shared" ca="1" si="54"/>
        <v>46345</v>
      </c>
      <c r="I345" s="1">
        <f t="shared" ca="1" si="55"/>
        <v>46006</v>
      </c>
      <c r="J345">
        <f t="shared" ca="1" si="56"/>
        <v>54.9</v>
      </c>
      <c r="K345" t="str">
        <f t="shared" ca="1" si="57"/>
        <v>Low Stock</v>
      </c>
      <c r="L345" s="2">
        <f t="shared" ca="1" si="58"/>
        <v>226</v>
      </c>
      <c r="M345" t="str">
        <f t="shared" ca="1" si="59"/>
        <v>Safe</v>
      </c>
    </row>
    <row r="346" spans="1:13" x14ac:dyDescent="0.25">
      <c r="A346" t="str">
        <f t="shared" si="50"/>
        <v>M345</v>
      </c>
      <c r="B346" t="str" cm="1">
        <f t="array" aca="1" ref="B346" ca="1">INDEX({"Paracetamol","Amoxicillin","Ibuprofen","Cetirizine","Metformin","Amlodipine","Omeprazole","Azithromycin","Losartan","Vitamin C"}, RANDBETWEEN(1,10))</f>
        <v>Amlodipine</v>
      </c>
      <c r="C346" t="str" cm="1">
        <f t="array" aca="1" ref="C346" ca="1">INDEX({"Painkiller","Antibiotic","Painkiller","Antihistamine","Diabetes","Hypertension","Antacid","Antibiotic","Hypertension","Supplement"},
MATCH(B346,{"Paracetamol","Amoxicillin","Ibuprofen","Cetirizine","Metformin","Amlodipine","Omeprazole","Azithromycin","Losartan","Vitamin C"},0))</f>
        <v>Hypertension</v>
      </c>
      <c r="D346" t="str" cm="1">
        <f t="array" aca="1" ref="D346" ca="1">INDEX({"MedSupply Co","HealthCorp","PharmaPlus","GlobalMed"}, RANDBETWEEN(1,4))</f>
        <v>GlobalMed</v>
      </c>
      <c r="E346">
        <f t="shared" ca="1" si="51"/>
        <v>160</v>
      </c>
      <c r="F346">
        <f t="shared" ca="1" si="52"/>
        <v>86</v>
      </c>
      <c r="G346">
        <f t="shared" ca="1" si="53"/>
        <v>1.7</v>
      </c>
      <c r="H346" s="1">
        <f t="shared" ca="1" si="54"/>
        <v>46332</v>
      </c>
      <c r="I346" s="1">
        <f t="shared" ca="1" si="55"/>
        <v>46110</v>
      </c>
      <c r="J346">
        <f t="shared" ca="1" si="56"/>
        <v>272</v>
      </c>
      <c r="K346" t="str">
        <f t="shared" ca="1" si="57"/>
        <v>In Stock</v>
      </c>
      <c r="L346" s="2">
        <f t="shared" ca="1" si="58"/>
        <v>213</v>
      </c>
      <c r="M346" t="str">
        <f t="shared" ca="1" si="59"/>
        <v>Safe</v>
      </c>
    </row>
    <row r="347" spans="1:13" x14ac:dyDescent="0.25">
      <c r="A347" t="str">
        <f t="shared" si="50"/>
        <v>M346</v>
      </c>
      <c r="B347" t="str" cm="1">
        <f t="array" aca="1" ref="B347" ca="1">INDEX({"Paracetamol","Amoxicillin","Ibuprofen","Cetirizine","Metformin","Amlodipine","Omeprazole","Azithromycin","Losartan","Vitamin C"}, RANDBETWEEN(1,10))</f>
        <v>Omeprazole</v>
      </c>
      <c r="C347" t="str" cm="1">
        <f t="array" aca="1" ref="C347" ca="1">INDEX({"Painkiller","Antibiotic","Painkiller","Antihistamine","Diabetes","Hypertension","Antacid","Antibiotic","Hypertension","Supplement"},
MATCH(B347,{"Paracetamol","Amoxicillin","Ibuprofen","Cetirizine","Metformin","Amlodipine","Omeprazole","Azithromycin","Losartan","Vitamin C"},0))</f>
        <v>Antacid</v>
      </c>
      <c r="D347" t="str" cm="1">
        <f t="array" aca="1" ref="D347" ca="1">INDEX({"MedSupply Co","HealthCorp","PharmaPlus","GlobalMed"}, RANDBETWEEN(1,4))</f>
        <v>HealthCorp</v>
      </c>
      <c r="E347">
        <f t="shared" ca="1" si="51"/>
        <v>171</v>
      </c>
      <c r="F347">
        <f t="shared" ca="1" si="52"/>
        <v>55</v>
      </c>
      <c r="G347">
        <f t="shared" ca="1" si="53"/>
        <v>0.5</v>
      </c>
      <c r="H347" s="1">
        <f t="shared" ca="1" si="54"/>
        <v>46419</v>
      </c>
      <c r="I347" s="1">
        <f t="shared" ca="1" si="55"/>
        <v>45954</v>
      </c>
      <c r="J347">
        <f t="shared" ca="1" si="56"/>
        <v>85.5</v>
      </c>
      <c r="K347" t="str">
        <f t="shared" ca="1" si="57"/>
        <v>In Stock</v>
      </c>
      <c r="L347" s="2">
        <f t="shared" ca="1" si="58"/>
        <v>300</v>
      </c>
      <c r="M347" t="str">
        <f t="shared" ca="1" si="59"/>
        <v>Safe</v>
      </c>
    </row>
    <row r="348" spans="1:13" x14ac:dyDescent="0.25">
      <c r="A348" t="str">
        <f t="shared" si="50"/>
        <v>M347</v>
      </c>
      <c r="B348" t="str" cm="1">
        <f t="array" aca="1" ref="B348" ca="1">INDEX({"Paracetamol","Amoxicillin","Ibuprofen","Cetirizine","Metformin","Amlodipine","Omeprazole","Azithromycin","Losartan","Vitamin C"}, RANDBETWEEN(1,10))</f>
        <v>Azithromycin</v>
      </c>
      <c r="C348" t="str" cm="1">
        <f t="array" aca="1" ref="C348" ca="1">INDEX({"Painkiller","Antibiotic","Painkiller","Antihistamine","Diabetes","Hypertension","Antacid","Antibiotic","Hypertension","Supplement"},
MATCH(B348,{"Paracetamol","Amoxicillin","Ibuprofen","Cetirizine","Metformin","Amlodipine","Omeprazole","Azithromycin","Losartan","Vitamin C"},0))</f>
        <v>Antibiotic</v>
      </c>
      <c r="D348" t="str" cm="1">
        <f t="array" aca="1" ref="D348" ca="1">INDEX({"MedSupply Co","HealthCorp","PharmaPlus","GlobalMed"}, RANDBETWEEN(1,4))</f>
        <v>HealthCorp</v>
      </c>
      <c r="E348">
        <f t="shared" ca="1" si="51"/>
        <v>178</v>
      </c>
      <c r="F348">
        <f t="shared" ca="1" si="52"/>
        <v>39</v>
      </c>
      <c r="G348">
        <f t="shared" ca="1" si="53"/>
        <v>1.76</v>
      </c>
      <c r="H348" s="1">
        <f t="shared" ca="1" si="54"/>
        <v>46381</v>
      </c>
      <c r="I348" s="1">
        <f t="shared" ca="1" si="55"/>
        <v>46058</v>
      </c>
      <c r="J348">
        <f t="shared" ca="1" si="56"/>
        <v>313.28000000000003</v>
      </c>
      <c r="K348" t="str">
        <f t="shared" ca="1" si="57"/>
        <v>In Stock</v>
      </c>
      <c r="L348" s="2">
        <f t="shared" ca="1" si="58"/>
        <v>262</v>
      </c>
      <c r="M348" t="str">
        <f t="shared" ca="1" si="59"/>
        <v>Safe</v>
      </c>
    </row>
    <row r="349" spans="1:13" x14ac:dyDescent="0.25">
      <c r="A349" t="str">
        <f t="shared" si="50"/>
        <v>M348</v>
      </c>
      <c r="B349" t="str" cm="1">
        <f t="array" aca="1" ref="B349" ca="1">INDEX({"Paracetamol","Amoxicillin","Ibuprofen","Cetirizine","Metformin","Amlodipine","Omeprazole","Azithromycin","Losartan","Vitamin C"}, RANDBETWEEN(1,10))</f>
        <v>Amoxicillin</v>
      </c>
      <c r="C349" t="str" cm="1">
        <f t="array" aca="1" ref="C349" ca="1">INDEX({"Painkiller","Antibiotic","Painkiller","Antihistamine","Diabetes","Hypertension","Antacid","Antibiotic","Hypertension","Supplement"},
MATCH(B349,{"Paracetamol","Amoxicillin","Ibuprofen","Cetirizine","Metformin","Amlodipine","Omeprazole","Azithromycin","Losartan","Vitamin C"},0))</f>
        <v>Antibiotic</v>
      </c>
      <c r="D349" t="str" cm="1">
        <f t="array" aca="1" ref="D349" ca="1">INDEX({"MedSupply Co","HealthCorp","PharmaPlus","GlobalMed"}, RANDBETWEEN(1,4))</f>
        <v>GlobalMed</v>
      </c>
      <c r="E349">
        <f t="shared" ca="1" si="51"/>
        <v>87</v>
      </c>
      <c r="F349">
        <f t="shared" ca="1" si="52"/>
        <v>54</v>
      </c>
      <c r="G349">
        <f t="shared" ca="1" si="53"/>
        <v>0.89</v>
      </c>
      <c r="H349" s="1">
        <f t="shared" ca="1" si="54"/>
        <v>46206</v>
      </c>
      <c r="I349" s="1">
        <f t="shared" ca="1" si="55"/>
        <v>46099</v>
      </c>
      <c r="J349">
        <f t="shared" ca="1" si="56"/>
        <v>77.430000000000007</v>
      </c>
      <c r="K349" t="str">
        <f t="shared" ca="1" si="57"/>
        <v>In Stock</v>
      </c>
      <c r="L349" s="2">
        <f t="shared" ca="1" si="58"/>
        <v>87</v>
      </c>
      <c r="M349" t="str">
        <f t="shared" ca="1" si="59"/>
        <v>Safe</v>
      </c>
    </row>
    <row r="350" spans="1:13" x14ac:dyDescent="0.25">
      <c r="A350" t="str">
        <f t="shared" si="50"/>
        <v>M349</v>
      </c>
      <c r="B350" t="str" cm="1">
        <f t="array" aca="1" ref="B350" ca="1">INDEX({"Paracetamol","Amoxicillin","Ibuprofen","Cetirizine","Metformin","Amlodipine","Omeprazole","Azithromycin","Losartan","Vitamin C"}, RANDBETWEEN(1,10))</f>
        <v>Cetirizine</v>
      </c>
      <c r="C350" t="str" cm="1">
        <f t="array" aca="1" ref="C350" ca="1">INDEX({"Painkiller","Antibiotic","Painkiller","Antihistamine","Diabetes","Hypertension","Antacid","Antibiotic","Hypertension","Supplement"},
MATCH(B350,{"Paracetamol","Amoxicillin","Ibuprofen","Cetirizine","Metformin","Amlodipine","Omeprazole","Azithromycin","Losartan","Vitamin C"},0))</f>
        <v>Antihistamine</v>
      </c>
      <c r="D350" t="str" cm="1">
        <f t="array" aca="1" ref="D350" ca="1">INDEX({"MedSupply Co","HealthCorp","PharmaPlus","GlobalMed"}, RANDBETWEEN(1,4))</f>
        <v>MedSupply Co</v>
      </c>
      <c r="E350">
        <f t="shared" ca="1" si="51"/>
        <v>40</v>
      </c>
      <c r="F350">
        <f t="shared" ca="1" si="52"/>
        <v>38</v>
      </c>
      <c r="G350">
        <f t="shared" ca="1" si="53"/>
        <v>1.63</v>
      </c>
      <c r="H350" s="1">
        <f t="shared" ca="1" si="54"/>
        <v>46300</v>
      </c>
      <c r="I350" s="1">
        <f t="shared" ca="1" si="55"/>
        <v>46064</v>
      </c>
      <c r="J350">
        <f t="shared" ca="1" si="56"/>
        <v>65.199999999999989</v>
      </c>
      <c r="K350" t="str">
        <f t="shared" ca="1" si="57"/>
        <v>In Stock</v>
      </c>
      <c r="L350" s="2">
        <f t="shared" ca="1" si="58"/>
        <v>181</v>
      </c>
      <c r="M350" t="str">
        <f t="shared" ca="1" si="59"/>
        <v>Safe</v>
      </c>
    </row>
    <row r="351" spans="1:13" x14ac:dyDescent="0.25">
      <c r="A351" t="str">
        <f t="shared" si="50"/>
        <v>M350</v>
      </c>
      <c r="B351" t="str" cm="1">
        <f t="array" aca="1" ref="B351" ca="1">INDEX({"Paracetamol","Amoxicillin","Ibuprofen","Cetirizine","Metformin","Amlodipine","Omeprazole","Azithromycin","Losartan","Vitamin C"}, RANDBETWEEN(1,10))</f>
        <v>Ibuprofen</v>
      </c>
      <c r="C351" t="str" cm="1">
        <f t="array" aca="1" ref="C351" ca="1">INDEX({"Painkiller","Antibiotic","Painkiller","Antihistamine","Diabetes","Hypertension","Antacid","Antibiotic","Hypertension","Supplement"},
MATCH(B351,{"Paracetamol","Amoxicillin","Ibuprofen","Cetirizine","Metformin","Amlodipine","Omeprazole","Azithromycin","Losartan","Vitamin C"},0))</f>
        <v>Painkiller</v>
      </c>
      <c r="D351" t="str" cm="1">
        <f t="array" aca="1" ref="D351" ca="1">INDEX({"MedSupply Co","HealthCorp","PharmaPlus","GlobalMed"}, RANDBETWEEN(1,4))</f>
        <v>PharmaPlus</v>
      </c>
      <c r="E351">
        <f t="shared" ca="1" si="51"/>
        <v>159</v>
      </c>
      <c r="F351">
        <f t="shared" ca="1" si="52"/>
        <v>73</v>
      </c>
      <c r="G351">
        <f t="shared" ca="1" si="53"/>
        <v>1.25</v>
      </c>
      <c r="H351" s="1">
        <f t="shared" ca="1" si="54"/>
        <v>46403</v>
      </c>
      <c r="I351" s="1">
        <f t="shared" ca="1" si="55"/>
        <v>46089</v>
      </c>
      <c r="J351">
        <f t="shared" ca="1" si="56"/>
        <v>198.75</v>
      </c>
      <c r="K351" t="str">
        <f t="shared" ca="1" si="57"/>
        <v>In Stock</v>
      </c>
      <c r="L351" s="2">
        <f t="shared" ca="1" si="58"/>
        <v>284</v>
      </c>
      <c r="M351" t="str">
        <f t="shared" ca="1" si="59"/>
        <v>Safe</v>
      </c>
    </row>
    <row r="352" spans="1:13" x14ac:dyDescent="0.25">
      <c r="A352" t="str">
        <f t="shared" si="50"/>
        <v>M351</v>
      </c>
      <c r="B352" t="str" cm="1">
        <f t="array" aca="1" ref="B352" ca="1">INDEX({"Paracetamol","Amoxicillin","Ibuprofen","Cetirizine","Metformin","Amlodipine","Omeprazole","Azithromycin","Losartan","Vitamin C"}, RANDBETWEEN(1,10))</f>
        <v>Omeprazole</v>
      </c>
      <c r="C352" t="str" cm="1">
        <f t="array" aca="1" ref="C352" ca="1">INDEX({"Painkiller","Antibiotic","Painkiller","Antihistamine","Diabetes","Hypertension","Antacid","Antibiotic","Hypertension","Supplement"},
MATCH(B352,{"Paracetamol","Amoxicillin","Ibuprofen","Cetirizine","Metformin","Amlodipine","Omeprazole","Azithromycin","Losartan","Vitamin C"},0))</f>
        <v>Antacid</v>
      </c>
      <c r="D352" t="str" cm="1">
        <f t="array" aca="1" ref="D352" ca="1">INDEX({"MedSupply Co","HealthCorp","PharmaPlus","GlobalMed"}, RANDBETWEEN(1,4))</f>
        <v>MedSupply Co</v>
      </c>
      <c r="E352">
        <f t="shared" ca="1" si="51"/>
        <v>112</v>
      </c>
      <c r="F352">
        <f t="shared" ca="1" si="52"/>
        <v>89</v>
      </c>
      <c r="G352">
        <f t="shared" ca="1" si="53"/>
        <v>1.95</v>
      </c>
      <c r="H352" s="1">
        <f t="shared" ca="1" si="54"/>
        <v>46208</v>
      </c>
      <c r="I352" s="1">
        <f t="shared" ca="1" si="55"/>
        <v>46070</v>
      </c>
      <c r="J352">
        <f t="shared" ca="1" si="56"/>
        <v>218.4</v>
      </c>
      <c r="K352" t="str">
        <f t="shared" ca="1" si="57"/>
        <v>In Stock</v>
      </c>
      <c r="L352" s="2">
        <f t="shared" ca="1" si="58"/>
        <v>89</v>
      </c>
      <c r="M352" t="str">
        <f t="shared" ca="1" si="59"/>
        <v>Safe</v>
      </c>
    </row>
    <row r="353" spans="1:13" x14ac:dyDescent="0.25">
      <c r="A353" t="str">
        <f t="shared" si="50"/>
        <v>M352</v>
      </c>
      <c r="B353" t="str" cm="1">
        <f t="array" aca="1" ref="B353" ca="1">INDEX({"Paracetamol","Amoxicillin","Ibuprofen","Cetirizine","Metformin","Amlodipine","Omeprazole","Azithromycin","Losartan","Vitamin C"}, RANDBETWEEN(1,10))</f>
        <v>Omeprazole</v>
      </c>
      <c r="C353" t="str" cm="1">
        <f t="array" aca="1" ref="C353" ca="1">INDEX({"Painkiller","Antibiotic","Painkiller","Antihistamine","Diabetes","Hypertension","Antacid","Antibiotic","Hypertension","Supplement"},
MATCH(B353,{"Paracetamol","Amoxicillin","Ibuprofen","Cetirizine","Metformin","Amlodipine","Omeprazole","Azithromycin","Losartan","Vitamin C"},0))</f>
        <v>Antacid</v>
      </c>
      <c r="D353" t="str" cm="1">
        <f t="array" aca="1" ref="D353" ca="1">INDEX({"MedSupply Co","HealthCorp","PharmaPlus","GlobalMed"}, RANDBETWEEN(1,4))</f>
        <v>GlobalMed</v>
      </c>
      <c r="E353">
        <f t="shared" ca="1" si="51"/>
        <v>26</v>
      </c>
      <c r="F353">
        <f t="shared" ca="1" si="52"/>
        <v>75</v>
      </c>
      <c r="G353">
        <f t="shared" ca="1" si="53"/>
        <v>1.73</v>
      </c>
      <c r="H353" s="1">
        <f t="shared" ca="1" si="54"/>
        <v>46316</v>
      </c>
      <c r="I353" s="1">
        <f t="shared" ca="1" si="55"/>
        <v>45950</v>
      </c>
      <c r="J353">
        <f t="shared" ca="1" si="56"/>
        <v>44.98</v>
      </c>
      <c r="K353" t="str">
        <f t="shared" ca="1" si="57"/>
        <v>Low Stock</v>
      </c>
      <c r="L353" s="2">
        <f t="shared" ca="1" si="58"/>
        <v>197</v>
      </c>
      <c r="M353" t="str">
        <f t="shared" ca="1" si="59"/>
        <v>Safe</v>
      </c>
    </row>
    <row r="354" spans="1:13" x14ac:dyDescent="0.25">
      <c r="A354" t="str">
        <f t="shared" si="50"/>
        <v>M353</v>
      </c>
      <c r="B354" t="str" cm="1">
        <f t="array" aca="1" ref="B354" ca="1">INDEX({"Paracetamol","Amoxicillin","Ibuprofen","Cetirizine","Metformin","Amlodipine","Omeprazole","Azithromycin","Losartan","Vitamin C"}, RANDBETWEEN(1,10))</f>
        <v>Cetirizine</v>
      </c>
      <c r="C354" t="str" cm="1">
        <f t="array" aca="1" ref="C354" ca="1">INDEX({"Painkiller","Antibiotic","Painkiller","Antihistamine","Diabetes","Hypertension","Antacid","Antibiotic","Hypertension","Supplement"},
MATCH(B354,{"Paracetamol","Amoxicillin","Ibuprofen","Cetirizine","Metformin","Amlodipine","Omeprazole","Azithromycin","Losartan","Vitamin C"},0))</f>
        <v>Antihistamine</v>
      </c>
      <c r="D354" t="str" cm="1">
        <f t="array" aca="1" ref="D354" ca="1">INDEX({"MedSupply Co","HealthCorp","PharmaPlus","GlobalMed"}, RANDBETWEEN(1,4))</f>
        <v>GlobalMed</v>
      </c>
      <c r="E354">
        <f t="shared" ca="1" si="51"/>
        <v>185</v>
      </c>
      <c r="F354">
        <f t="shared" ca="1" si="52"/>
        <v>46</v>
      </c>
      <c r="G354">
        <f t="shared" ca="1" si="53"/>
        <v>1.78</v>
      </c>
      <c r="H354" s="1">
        <f t="shared" ca="1" si="54"/>
        <v>46208</v>
      </c>
      <c r="I354" s="1">
        <f t="shared" ca="1" si="55"/>
        <v>45999</v>
      </c>
      <c r="J354">
        <f t="shared" ca="1" si="56"/>
        <v>329.3</v>
      </c>
      <c r="K354" t="str">
        <f t="shared" ca="1" si="57"/>
        <v>In Stock</v>
      </c>
      <c r="L354" s="2">
        <f t="shared" ca="1" si="58"/>
        <v>89</v>
      </c>
      <c r="M354" t="str">
        <f t="shared" ca="1" si="59"/>
        <v>Safe</v>
      </c>
    </row>
    <row r="355" spans="1:13" x14ac:dyDescent="0.25">
      <c r="A355" t="str">
        <f t="shared" si="50"/>
        <v>M354</v>
      </c>
      <c r="B355" t="str" cm="1">
        <f t="array" aca="1" ref="B355" ca="1">INDEX({"Paracetamol","Amoxicillin","Ibuprofen","Cetirizine","Metformin","Amlodipine","Omeprazole","Azithromycin","Losartan","Vitamin C"}, RANDBETWEEN(1,10))</f>
        <v>Metformin</v>
      </c>
      <c r="C355" t="str" cm="1">
        <f t="array" aca="1" ref="C355" ca="1">INDEX({"Painkiller","Antibiotic","Painkiller","Antihistamine","Diabetes","Hypertension","Antacid","Antibiotic","Hypertension","Supplement"},
MATCH(B355,{"Paracetamol","Amoxicillin","Ibuprofen","Cetirizine","Metformin","Amlodipine","Omeprazole","Azithromycin","Losartan","Vitamin C"},0))</f>
        <v>Diabetes</v>
      </c>
      <c r="D355" t="str" cm="1">
        <f t="array" aca="1" ref="D355" ca="1">INDEX({"MedSupply Co","HealthCorp","PharmaPlus","GlobalMed"}, RANDBETWEEN(1,4))</f>
        <v>MedSupply Co</v>
      </c>
      <c r="E355">
        <f t="shared" ca="1" si="51"/>
        <v>37</v>
      </c>
      <c r="F355">
        <f t="shared" ca="1" si="52"/>
        <v>79</v>
      </c>
      <c r="G355">
        <f t="shared" ca="1" si="53"/>
        <v>0.74</v>
      </c>
      <c r="H355" s="1">
        <f t="shared" ca="1" si="54"/>
        <v>46188</v>
      </c>
      <c r="I355" s="1">
        <f t="shared" ca="1" si="55"/>
        <v>46108</v>
      </c>
      <c r="J355">
        <f t="shared" ca="1" si="56"/>
        <v>27.38</v>
      </c>
      <c r="K355" t="str">
        <f t="shared" ca="1" si="57"/>
        <v>Low Stock</v>
      </c>
      <c r="L355" s="2">
        <f t="shared" ca="1" si="58"/>
        <v>69</v>
      </c>
      <c r="M355" t="str">
        <f t="shared" ca="1" si="59"/>
        <v>Safe</v>
      </c>
    </row>
    <row r="356" spans="1:13" x14ac:dyDescent="0.25">
      <c r="A356" t="str">
        <f t="shared" si="50"/>
        <v>M355</v>
      </c>
      <c r="B356" t="str" cm="1">
        <f t="array" aca="1" ref="B356" ca="1">INDEX({"Paracetamol","Amoxicillin","Ibuprofen","Cetirizine","Metformin","Amlodipine","Omeprazole","Azithromycin","Losartan","Vitamin C"}, RANDBETWEEN(1,10))</f>
        <v>Vitamin C</v>
      </c>
      <c r="C356" t="str" cm="1">
        <f t="array" aca="1" ref="C356" ca="1">INDEX({"Painkiller","Antibiotic","Painkiller","Antihistamine","Diabetes","Hypertension","Antacid","Antibiotic","Hypertension","Supplement"},
MATCH(B356,{"Paracetamol","Amoxicillin","Ibuprofen","Cetirizine","Metformin","Amlodipine","Omeprazole","Azithromycin","Losartan","Vitamin C"},0))</f>
        <v>Supplement</v>
      </c>
      <c r="D356" t="str" cm="1">
        <f t="array" aca="1" ref="D356" ca="1">INDEX({"MedSupply Co","HealthCorp","PharmaPlus","GlobalMed"}, RANDBETWEEN(1,4))</f>
        <v>GlobalMed</v>
      </c>
      <c r="E356">
        <f t="shared" ca="1" si="51"/>
        <v>43</v>
      </c>
      <c r="F356">
        <f t="shared" ca="1" si="52"/>
        <v>94</v>
      </c>
      <c r="G356">
        <f t="shared" ca="1" si="53"/>
        <v>0.72</v>
      </c>
      <c r="H356" s="1">
        <f t="shared" ca="1" si="54"/>
        <v>46323</v>
      </c>
      <c r="I356" s="1">
        <f t="shared" ca="1" si="55"/>
        <v>46005</v>
      </c>
      <c r="J356">
        <f t="shared" ca="1" si="56"/>
        <v>30.959999999999997</v>
      </c>
      <c r="K356" t="str">
        <f t="shared" ca="1" si="57"/>
        <v>Low Stock</v>
      </c>
      <c r="L356" s="2">
        <f t="shared" ca="1" si="58"/>
        <v>204</v>
      </c>
      <c r="M356" t="str">
        <f t="shared" ca="1" si="59"/>
        <v>Safe</v>
      </c>
    </row>
    <row r="357" spans="1:13" x14ac:dyDescent="0.25">
      <c r="A357" t="str">
        <f t="shared" si="50"/>
        <v>M356</v>
      </c>
      <c r="B357" t="str" cm="1">
        <f t="array" aca="1" ref="B357" ca="1">INDEX({"Paracetamol","Amoxicillin","Ibuprofen","Cetirizine","Metformin","Amlodipine","Omeprazole","Azithromycin","Losartan","Vitamin C"}, RANDBETWEEN(1,10))</f>
        <v>Amlodipine</v>
      </c>
      <c r="C357" t="str" cm="1">
        <f t="array" aca="1" ref="C357" ca="1">INDEX({"Painkiller","Antibiotic","Painkiller","Antihistamine","Diabetes","Hypertension","Antacid","Antibiotic","Hypertension","Supplement"},
MATCH(B357,{"Paracetamol","Amoxicillin","Ibuprofen","Cetirizine","Metformin","Amlodipine","Omeprazole","Azithromycin","Losartan","Vitamin C"},0))</f>
        <v>Hypertension</v>
      </c>
      <c r="D357" t="str" cm="1">
        <f t="array" aca="1" ref="D357" ca="1">INDEX({"MedSupply Co","HealthCorp","PharmaPlus","GlobalMed"}, RANDBETWEEN(1,4))</f>
        <v>HealthCorp</v>
      </c>
      <c r="E357">
        <f t="shared" ca="1" si="51"/>
        <v>63</v>
      </c>
      <c r="F357">
        <f t="shared" ca="1" si="52"/>
        <v>44</v>
      </c>
      <c r="G357">
        <f t="shared" ca="1" si="53"/>
        <v>1.08</v>
      </c>
      <c r="H357" s="1">
        <f t="shared" ca="1" si="54"/>
        <v>46280</v>
      </c>
      <c r="I357" s="1">
        <f t="shared" ca="1" si="55"/>
        <v>46030</v>
      </c>
      <c r="J357">
        <f t="shared" ca="1" si="56"/>
        <v>68.040000000000006</v>
      </c>
      <c r="K357" t="str">
        <f t="shared" ca="1" si="57"/>
        <v>In Stock</v>
      </c>
      <c r="L357" s="2">
        <f t="shared" ca="1" si="58"/>
        <v>161</v>
      </c>
      <c r="M357" t="str">
        <f t="shared" ca="1" si="59"/>
        <v>Safe</v>
      </c>
    </row>
    <row r="358" spans="1:13" x14ac:dyDescent="0.25">
      <c r="A358" t="str">
        <f t="shared" si="50"/>
        <v>M357</v>
      </c>
      <c r="B358" t="str" cm="1">
        <f t="array" aca="1" ref="B358" ca="1">INDEX({"Paracetamol","Amoxicillin","Ibuprofen","Cetirizine","Metformin","Amlodipine","Omeprazole","Azithromycin","Losartan","Vitamin C"}, RANDBETWEEN(1,10))</f>
        <v>Azithromycin</v>
      </c>
      <c r="C358" t="str" cm="1">
        <f t="array" aca="1" ref="C358" ca="1">INDEX({"Painkiller","Antibiotic","Painkiller","Antihistamine","Diabetes","Hypertension","Antacid","Antibiotic","Hypertension","Supplement"},
MATCH(B358,{"Paracetamol","Amoxicillin","Ibuprofen","Cetirizine","Metformin","Amlodipine","Omeprazole","Azithromycin","Losartan","Vitamin C"},0))</f>
        <v>Antibiotic</v>
      </c>
      <c r="D358" t="str" cm="1">
        <f t="array" aca="1" ref="D358" ca="1">INDEX({"MedSupply Co","HealthCorp","PharmaPlus","GlobalMed"}, RANDBETWEEN(1,4))</f>
        <v>HealthCorp</v>
      </c>
      <c r="E358">
        <f t="shared" ca="1" si="51"/>
        <v>62</v>
      </c>
      <c r="F358">
        <f t="shared" ca="1" si="52"/>
        <v>69</v>
      </c>
      <c r="G358">
        <f t="shared" ca="1" si="53"/>
        <v>1.4</v>
      </c>
      <c r="H358" s="1">
        <f t="shared" ca="1" si="54"/>
        <v>46326</v>
      </c>
      <c r="I358" s="1">
        <f t="shared" ca="1" si="55"/>
        <v>45998</v>
      </c>
      <c r="J358">
        <f t="shared" ca="1" si="56"/>
        <v>86.8</v>
      </c>
      <c r="K358" t="str">
        <f t="shared" ca="1" si="57"/>
        <v>Low Stock</v>
      </c>
      <c r="L358" s="2">
        <f t="shared" ca="1" si="58"/>
        <v>207</v>
      </c>
      <c r="M358" t="str">
        <f t="shared" ca="1" si="59"/>
        <v>Safe</v>
      </c>
    </row>
    <row r="359" spans="1:13" x14ac:dyDescent="0.25">
      <c r="A359" t="str">
        <f t="shared" si="50"/>
        <v>M358</v>
      </c>
      <c r="B359" t="str" cm="1">
        <f t="array" aca="1" ref="B359" ca="1">INDEX({"Paracetamol","Amoxicillin","Ibuprofen","Cetirizine","Metformin","Amlodipine","Omeprazole","Azithromycin","Losartan","Vitamin C"}, RANDBETWEEN(1,10))</f>
        <v>Paracetamol</v>
      </c>
      <c r="C359" t="str" cm="1">
        <f t="array" aca="1" ref="C359" ca="1">INDEX({"Painkiller","Antibiotic","Painkiller","Antihistamine","Diabetes","Hypertension","Antacid","Antibiotic","Hypertension","Supplement"},
MATCH(B359,{"Paracetamol","Amoxicillin","Ibuprofen","Cetirizine","Metformin","Amlodipine","Omeprazole","Azithromycin","Losartan","Vitamin C"},0))</f>
        <v>Painkiller</v>
      </c>
      <c r="D359" t="str" cm="1">
        <f t="array" aca="1" ref="D359" ca="1">INDEX({"MedSupply Co","HealthCorp","PharmaPlus","GlobalMed"}, RANDBETWEEN(1,4))</f>
        <v>GlobalMed</v>
      </c>
      <c r="E359">
        <f t="shared" ca="1" si="51"/>
        <v>98</v>
      </c>
      <c r="F359">
        <f t="shared" ca="1" si="52"/>
        <v>23</v>
      </c>
      <c r="G359">
        <f t="shared" ca="1" si="53"/>
        <v>0.8</v>
      </c>
      <c r="H359" s="1">
        <f t="shared" ca="1" si="54"/>
        <v>46407</v>
      </c>
      <c r="I359" s="1">
        <f t="shared" ca="1" si="55"/>
        <v>45984</v>
      </c>
      <c r="J359">
        <f t="shared" ca="1" si="56"/>
        <v>78.400000000000006</v>
      </c>
      <c r="K359" t="str">
        <f t="shared" ca="1" si="57"/>
        <v>In Stock</v>
      </c>
      <c r="L359" s="2">
        <f t="shared" ca="1" si="58"/>
        <v>288</v>
      </c>
      <c r="M359" t="str">
        <f t="shared" ca="1" si="59"/>
        <v>Safe</v>
      </c>
    </row>
    <row r="360" spans="1:13" x14ac:dyDescent="0.25">
      <c r="A360" t="str">
        <f t="shared" si="50"/>
        <v>M359</v>
      </c>
      <c r="B360" t="str" cm="1">
        <f t="array" aca="1" ref="B360" ca="1">INDEX({"Paracetamol","Amoxicillin","Ibuprofen","Cetirizine","Metformin","Amlodipine","Omeprazole","Azithromycin","Losartan","Vitamin C"}, RANDBETWEEN(1,10))</f>
        <v>Azithromycin</v>
      </c>
      <c r="C360" t="str" cm="1">
        <f t="array" aca="1" ref="C360" ca="1">INDEX({"Painkiller","Antibiotic","Painkiller","Antihistamine","Diabetes","Hypertension","Antacid","Antibiotic","Hypertension","Supplement"},
MATCH(B360,{"Paracetamol","Amoxicillin","Ibuprofen","Cetirizine","Metformin","Amlodipine","Omeprazole","Azithromycin","Losartan","Vitamin C"},0))</f>
        <v>Antibiotic</v>
      </c>
      <c r="D360" t="str" cm="1">
        <f t="array" aca="1" ref="D360" ca="1">INDEX({"MedSupply Co","HealthCorp","PharmaPlus","GlobalMed"}, RANDBETWEEN(1,4))</f>
        <v>PharmaPlus</v>
      </c>
      <c r="E360">
        <f t="shared" ca="1" si="51"/>
        <v>22</v>
      </c>
      <c r="F360">
        <f t="shared" ca="1" si="52"/>
        <v>88</v>
      </c>
      <c r="G360">
        <f t="shared" ca="1" si="53"/>
        <v>1.67</v>
      </c>
      <c r="H360" s="1">
        <f t="shared" ca="1" si="54"/>
        <v>46246</v>
      </c>
      <c r="I360" s="1">
        <f t="shared" ca="1" si="55"/>
        <v>46008</v>
      </c>
      <c r="J360">
        <f t="shared" ca="1" si="56"/>
        <v>36.739999999999995</v>
      </c>
      <c r="K360" t="str">
        <f t="shared" ca="1" si="57"/>
        <v>Low Stock</v>
      </c>
      <c r="L360" s="2">
        <f t="shared" ca="1" si="58"/>
        <v>127</v>
      </c>
      <c r="M360" t="str">
        <f t="shared" ca="1" si="59"/>
        <v>Safe</v>
      </c>
    </row>
    <row r="361" spans="1:13" x14ac:dyDescent="0.25">
      <c r="A361" t="str">
        <f t="shared" si="50"/>
        <v>M360</v>
      </c>
      <c r="B361" t="str" cm="1">
        <f t="array" aca="1" ref="B361" ca="1">INDEX({"Paracetamol","Amoxicillin","Ibuprofen","Cetirizine","Metformin","Amlodipine","Omeprazole","Azithromycin","Losartan","Vitamin C"}, RANDBETWEEN(1,10))</f>
        <v>Metformin</v>
      </c>
      <c r="C361" t="str" cm="1">
        <f t="array" aca="1" ref="C361" ca="1">INDEX({"Painkiller","Antibiotic","Painkiller","Antihistamine","Diabetes","Hypertension","Antacid","Antibiotic","Hypertension","Supplement"},
MATCH(B361,{"Paracetamol","Amoxicillin","Ibuprofen","Cetirizine","Metformin","Amlodipine","Omeprazole","Azithromycin","Losartan","Vitamin C"},0))</f>
        <v>Diabetes</v>
      </c>
      <c r="D361" t="str" cm="1">
        <f t="array" aca="1" ref="D361" ca="1">INDEX({"MedSupply Co","HealthCorp","PharmaPlus","GlobalMed"}, RANDBETWEEN(1,4))</f>
        <v>GlobalMed</v>
      </c>
      <c r="E361">
        <f t="shared" ca="1" si="51"/>
        <v>64</v>
      </c>
      <c r="F361">
        <f t="shared" ca="1" si="52"/>
        <v>66</v>
      </c>
      <c r="G361">
        <f t="shared" ca="1" si="53"/>
        <v>0.53</v>
      </c>
      <c r="H361" s="1">
        <f t="shared" ca="1" si="54"/>
        <v>46153</v>
      </c>
      <c r="I361" s="1">
        <f t="shared" ca="1" si="55"/>
        <v>45943</v>
      </c>
      <c r="J361">
        <f t="shared" ca="1" si="56"/>
        <v>33.92</v>
      </c>
      <c r="K361" t="str">
        <f t="shared" ca="1" si="57"/>
        <v>Low Stock</v>
      </c>
      <c r="L361" s="2">
        <f t="shared" ca="1" si="58"/>
        <v>34</v>
      </c>
      <c r="M361" t="str">
        <f t="shared" ca="1" si="59"/>
        <v>Safe</v>
      </c>
    </row>
    <row r="362" spans="1:13" x14ac:dyDescent="0.25">
      <c r="A362" t="str">
        <f t="shared" si="50"/>
        <v>M361</v>
      </c>
      <c r="B362" t="str" cm="1">
        <f t="array" aca="1" ref="B362" ca="1">INDEX({"Paracetamol","Amoxicillin","Ibuprofen","Cetirizine","Metformin","Amlodipine","Omeprazole","Azithromycin","Losartan","Vitamin C"}, RANDBETWEEN(1,10))</f>
        <v>Cetirizine</v>
      </c>
      <c r="C362" t="str" cm="1">
        <f t="array" aca="1" ref="C362" ca="1">INDEX({"Painkiller","Antibiotic","Painkiller","Antihistamine","Diabetes","Hypertension","Antacid","Antibiotic","Hypertension","Supplement"},
MATCH(B362,{"Paracetamol","Amoxicillin","Ibuprofen","Cetirizine","Metformin","Amlodipine","Omeprazole","Azithromycin","Losartan","Vitamin C"},0))</f>
        <v>Antihistamine</v>
      </c>
      <c r="D362" t="str" cm="1">
        <f t="array" aca="1" ref="D362" ca="1">INDEX({"MedSupply Co","HealthCorp","PharmaPlus","GlobalMed"}, RANDBETWEEN(1,4))</f>
        <v>PharmaPlus</v>
      </c>
      <c r="E362">
        <f t="shared" ca="1" si="51"/>
        <v>51</v>
      </c>
      <c r="F362">
        <f t="shared" ca="1" si="52"/>
        <v>91</v>
      </c>
      <c r="G362">
        <f t="shared" ca="1" si="53"/>
        <v>1.93</v>
      </c>
      <c r="H362" s="1">
        <f t="shared" ca="1" si="54"/>
        <v>46235</v>
      </c>
      <c r="I362" s="1">
        <f t="shared" ca="1" si="55"/>
        <v>46069</v>
      </c>
      <c r="J362">
        <f t="shared" ca="1" si="56"/>
        <v>98.429999999999993</v>
      </c>
      <c r="K362" t="str">
        <f t="shared" ca="1" si="57"/>
        <v>Low Stock</v>
      </c>
      <c r="L362" s="2">
        <f t="shared" ca="1" si="58"/>
        <v>116</v>
      </c>
      <c r="M362" t="str">
        <f t="shared" ca="1" si="59"/>
        <v>Safe</v>
      </c>
    </row>
    <row r="363" spans="1:13" x14ac:dyDescent="0.25">
      <c r="A363" t="str">
        <f t="shared" si="50"/>
        <v>M362</v>
      </c>
      <c r="B363" t="str" cm="1">
        <f t="array" aca="1" ref="B363" ca="1">INDEX({"Paracetamol","Amoxicillin","Ibuprofen","Cetirizine","Metformin","Amlodipine","Omeprazole","Azithromycin","Losartan","Vitamin C"}, RANDBETWEEN(1,10))</f>
        <v>Cetirizine</v>
      </c>
      <c r="C363" t="str" cm="1">
        <f t="array" aca="1" ref="C363" ca="1">INDEX({"Painkiller","Antibiotic","Painkiller","Antihistamine","Diabetes","Hypertension","Antacid","Antibiotic","Hypertension","Supplement"},
MATCH(B363,{"Paracetamol","Amoxicillin","Ibuprofen","Cetirizine","Metformin","Amlodipine","Omeprazole","Azithromycin","Losartan","Vitamin C"},0))</f>
        <v>Antihistamine</v>
      </c>
      <c r="D363" t="str" cm="1">
        <f t="array" aca="1" ref="D363" ca="1">INDEX({"MedSupply Co","HealthCorp","PharmaPlus","GlobalMed"}, RANDBETWEEN(1,4))</f>
        <v>HealthCorp</v>
      </c>
      <c r="E363">
        <f t="shared" ca="1" si="51"/>
        <v>144</v>
      </c>
      <c r="F363">
        <f t="shared" ca="1" si="52"/>
        <v>49</v>
      </c>
      <c r="G363">
        <f t="shared" ca="1" si="53"/>
        <v>1.94</v>
      </c>
      <c r="H363" s="1">
        <f t="shared" ca="1" si="54"/>
        <v>46157</v>
      </c>
      <c r="I363" s="1">
        <f t="shared" ca="1" si="55"/>
        <v>46111</v>
      </c>
      <c r="J363">
        <f t="shared" ca="1" si="56"/>
        <v>279.36</v>
      </c>
      <c r="K363" t="str">
        <f t="shared" ca="1" si="57"/>
        <v>In Stock</v>
      </c>
      <c r="L363" s="2">
        <f t="shared" ca="1" si="58"/>
        <v>38</v>
      </c>
      <c r="M363" t="str">
        <f t="shared" ca="1" si="59"/>
        <v>Safe</v>
      </c>
    </row>
    <row r="364" spans="1:13" x14ac:dyDescent="0.25">
      <c r="A364" t="str">
        <f t="shared" si="50"/>
        <v>M363</v>
      </c>
      <c r="B364" t="str" cm="1">
        <f t="array" aca="1" ref="B364" ca="1">INDEX({"Paracetamol","Amoxicillin","Ibuprofen","Cetirizine","Metformin","Amlodipine","Omeprazole","Azithromycin","Losartan","Vitamin C"}, RANDBETWEEN(1,10))</f>
        <v>Omeprazole</v>
      </c>
      <c r="C364" t="str" cm="1">
        <f t="array" aca="1" ref="C364" ca="1">INDEX({"Painkiller","Antibiotic","Painkiller","Antihistamine","Diabetes","Hypertension","Antacid","Antibiotic","Hypertension","Supplement"},
MATCH(B364,{"Paracetamol","Amoxicillin","Ibuprofen","Cetirizine","Metformin","Amlodipine","Omeprazole","Azithromycin","Losartan","Vitamin C"},0))</f>
        <v>Antacid</v>
      </c>
      <c r="D364" t="str" cm="1">
        <f t="array" aca="1" ref="D364" ca="1">INDEX({"MedSupply Co","HealthCorp","PharmaPlus","GlobalMed"}, RANDBETWEEN(1,4))</f>
        <v>PharmaPlus</v>
      </c>
      <c r="E364">
        <f t="shared" ca="1" si="51"/>
        <v>29</v>
      </c>
      <c r="F364">
        <f t="shared" ca="1" si="52"/>
        <v>27</v>
      </c>
      <c r="G364">
        <f t="shared" ca="1" si="53"/>
        <v>1.5</v>
      </c>
      <c r="H364" s="1">
        <f t="shared" ca="1" si="54"/>
        <v>46313</v>
      </c>
      <c r="I364" s="1">
        <f t="shared" ca="1" si="55"/>
        <v>46041</v>
      </c>
      <c r="J364">
        <f t="shared" ca="1" si="56"/>
        <v>43.5</v>
      </c>
      <c r="K364" t="str">
        <f t="shared" ca="1" si="57"/>
        <v>In Stock</v>
      </c>
      <c r="L364" s="2">
        <f t="shared" ca="1" si="58"/>
        <v>194</v>
      </c>
      <c r="M364" t="str">
        <f t="shared" ca="1" si="59"/>
        <v>Safe</v>
      </c>
    </row>
    <row r="365" spans="1:13" x14ac:dyDescent="0.25">
      <c r="A365" t="str">
        <f t="shared" si="50"/>
        <v>M364</v>
      </c>
      <c r="B365" t="str" cm="1">
        <f t="array" aca="1" ref="B365" ca="1">INDEX({"Paracetamol","Amoxicillin","Ibuprofen","Cetirizine","Metformin","Amlodipine","Omeprazole","Azithromycin","Losartan","Vitamin C"}, RANDBETWEEN(1,10))</f>
        <v>Cetirizine</v>
      </c>
      <c r="C365" t="str" cm="1">
        <f t="array" aca="1" ref="C365" ca="1">INDEX({"Painkiller","Antibiotic","Painkiller","Antihistamine","Diabetes","Hypertension","Antacid","Antibiotic","Hypertension","Supplement"},
MATCH(B365,{"Paracetamol","Amoxicillin","Ibuprofen","Cetirizine","Metformin","Amlodipine","Omeprazole","Azithromycin","Losartan","Vitamin C"},0))</f>
        <v>Antihistamine</v>
      </c>
      <c r="D365" t="str" cm="1">
        <f t="array" aca="1" ref="D365" ca="1">INDEX({"MedSupply Co","HealthCorp","PharmaPlus","GlobalMed"}, RANDBETWEEN(1,4))</f>
        <v>PharmaPlus</v>
      </c>
      <c r="E365">
        <f t="shared" ca="1" si="51"/>
        <v>109</v>
      </c>
      <c r="F365">
        <f t="shared" ca="1" si="52"/>
        <v>45</v>
      </c>
      <c r="G365">
        <f t="shared" ca="1" si="53"/>
        <v>1.75</v>
      </c>
      <c r="H365" s="1">
        <f t="shared" ca="1" si="54"/>
        <v>46397</v>
      </c>
      <c r="I365" s="1">
        <f t="shared" ca="1" si="55"/>
        <v>45940</v>
      </c>
      <c r="J365">
        <f t="shared" ca="1" si="56"/>
        <v>190.75</v>
      </c>
      <c r="K365" t="str">
        <f t="shared" ca="1" si="57"/>
        <v>In Stock</v>
      </c>
      <c r="L365" s="2">
        <f t="shared" ca="1" si="58"/>
        <v>278</v>
      </c>
      <c r="M365" t="str">
        <f t="shared" ca="1" si="59"/>
        <v>Safe</v>
      </c>
    </row>
    <row r="366" spans="1:13" x14ac:dyDescent="0.25">
      <c r="A366" t="str">
        <f t="shared" si="50"/>
        <v>M365</v>
      </c>
      <c r="B366" t="str" cm="1">
        <f t="array" aca="1" ref="B366" ca="1">INDEX({"Paracetamol","Amoxicillin","Ibuprofen","Cetirizine","Metformin","Amlodipine","Omeprazole","Azithromycin","Losartan","Vitamin C"}, RANDBETWEEN(1,10))</f>
        <v>Azithromycin</v>
      </c>
      <c r="C366" t="str" cm="1">
        <f t="array" aca="1" ref="C366" ca="1">INDEX({"Painkiller","Antibiotic","Painkiller","Antihistamine","Diabetes","Hypertension","Antacid","Antibiotic","Hypertension","Supplement"},
MATCH(B366,{"Paracetamol","Amoxicillin","Ibuprofen","Cetirizine","Metformin","Amlodipine","Omeprazole","Azithromycin","Losartan","Vitamin C"},0))</f>
        <v>Antibiotic</v>
      </c>
      <c r="D366" t="str" cm="1">
        <f t="array" aca="1" ref="D366" ca="1">INDEX({"MedSupply Co","HealthCorp","PharmaPlus","GlobalMed"}, RANDBETWEEN(1,4))</f>
        <v>GlobalMed</v>
      </c>
      <c r="E366">
        <f t="shared" ca="1" si="51"/>
        <v>42</v>
      </c>
      <c r="F366">
        <f t="shared" ca="1" si="52"/>
        <v>88</v>
      </c>
      <c r="G366">
        <f t="shared" ca="1" si="53"/>
        <v>1.1100000000000001</v>
      </c>
      <c r="H366" s="1">
        <f t="shared" ca="1" si="54"/>
        <v>46252</v>
      </c>
      <c r="I366" s="1">
        <f t="shared" ca="1" si="55"/>
        <v>46091</v>
      </c>
      <c r="J366">
        <f t="shared" ca="1" si="56"/>
        <v>46.620000000000005</v>
      </c>
      <c r="K366" t="str">
        <f t="shared" ca="1" si="57"/>
        <v>Low Stock</v>
      </c>
      <c r="L366" s="2">
        <f t="shared" ca="1" si="58"/>
        <v>133</v>
      </c>
      <c r="M366" t="str">
        <f t="shared" ca="1" si="59"/>
        <v>Safe</v>
      </c>
    </row>
    <row r="367" spans="1:13" x14ac:dyDescent="0.25">
      <c r="A367" t="str">
        <f t="shared" si="50"/>
        <v>M366</v>
      </c>
      <c r="B367" t="str" cm="1">
        <f t="array" aca="1" ref="B367" ca="1">INDEX({"Paracetamol","Amoxicillin","Ibuprofen","Cetirizine","Metformin","Amlodipine","Omeprazole","Azithromycin","Losartan","Vitamin C"}, RANDBETWEEN(1,10))</f>
        <v>Losartan</v>
      </c>
      <c r="C367" t="str" cm="1">
        <f t="array" aca="1" ref="C367" ca="1">INDEX({"Painkiller","Antibiotic","Painkiller","Antihistamine","Diabetes","Hypertension","Antacid","Antibiotic","Hypertension","Supplement"},
MATCH(B367,{"Paracetamol","Amoxicillin","Ibuprofen","Cetirizine","Metformin","Amlodipine","Omeprazole","Azithromycin","Losartan","Vitamin C"},0))</f>
        <v>Hypertension</v>
      </c>
      <c r="D367" t="str" cm="1">
        <f t="array" aca="1" ref="D367" ca="1">INDEX({"MedSupply Co","HealthCorp","PharmaPlus","GlobalMed"}, RANDBETWEEN(1,4))</f>
        <v>PharmaPlus</v>
      </c>
      <c r="E367">
        <f t="shared" ca="1" si="51"/>
        <v>148</v>
      </c>
      <c r="F367">
        <f t="shared" ca="1" si="52"/>
        <v>59</v>
      </c>
      <c r="G367">
        <f t="shared" ca="1" si="53"/>
        <v>1.4</v>
      </c>
      <c r="H367" s="1">
        <f t="shared" ca="1" si="54"/>
        <v>46408</v>
      </c>
      <c r="I367" s="1">
        <f t="shared" ca="1" si="55"/>
        <v>46078</v>
      </c>
      <c r="J367">
        <f t="shared" ca="1" si="56"/>
        <v>207.2</v>
      </c>
      <c r="K367" t="str">
        <f t="shared" ca="1" si="57"/>
        <v>In Stock</v>
      </c>
      <c r="L367" s="2">
        <f t="shared" ca="1" si="58"/>
        <v>289</v>
      </c>
      <c r="M367" t="str">
        <f t="shared" ca="1" si="59"/>
        <v>Safe</v>
      </c>
    </row>
    <row r="368" spans="1:13" x14ac:dyDescent="0.25">
      <c r="A368" t="str">
        <f t="shared" si="50"/>
        <v>M367</v>
      </c>
      <c r="B368" t="str" cm="1">
        <f t="array" aca="1" ref="B368" ca="1">INDEX({"Paracetamol","Amoxicillin","Ibuprofen","Cetirizine","Metformin","Amlodipine","Omeprazole","Azithromycin","Losartan","Vitamin C"}, RANDBETWEEN(1,10))</f>
        <v>Ibuprofen</v>
      </c>
      <c r="C368" t="str" cm="1">
        <f t="array" aca="1" ref="C368" ca="1">INDEX({"Painkiller","Antibiotic","Painkiller","Antihistamine","Diabetes","Hypertension","Antacid","Antibiotic","Hypertension","Supplement"},
MATCH(B368,{"Paracetamol","Amoxicillin","Ibuprofen","Cetirizine","Metformin","Amlodipine","Omeprazole","Azithromycin","Losartan","Vitamin C"},0))</f>
        <v>Painkiller</v>
      </c>
      <c r="D368" t="str" cm="1">
        <f t="array" aca="1" ref="D368" ca="1">INDEX({"MedSupply Co","HealthCorp","PharmaPlus","GlobalMed"}, RANDBETWEEN(1,4))</f>
        <v>HealthCorp</v>
      </c>
      <c r="E368">
        <f t="shared" ca="1" si="51"/>
        <v>84</v>
      </c>
      <c r="F368">
        <f t="shared" ca="1" si="52"/>
        <v>49</v>
      </c>
      <c r="G368">
        <f t="shared" ca="1" si="53"/>
        <v>1.21</v>
      </c>
      <c r="H368" s="1">
        <f t="shared" ca="1" si="54"/>
        <v>46260</v>
      </c>
      <c r="I368" s="1">
        <f t="shared" ca="1" si="55"/>
        <v>46063</v>
      </c>
      <c r="J368">
        <f t="shared" ca="1" si="56"/>
        <v>101.64</v>
      </c>
      <c r="K368" t="str">
        <f t="shared" ca="1" si="57"/>
        <v>In Stock</v>
      </c>
      <c r="L368" s="2">
        <f t="shared" ca="1" si="58"/>
        <v>141</v>
      </c>
      <c r="M368" t="str">
        <f t="shared" ca="1" si="59"/>
        <v>Safe</v>
      </c>
    </row>
    <row r="369" spans="1:13" x14ac:dyDescent="0.25">
      <c r="A369" t="str">
        <f t="shared" si="50"/>
        <v>M368</v>
      </c>
      <c r="B369" t="str" cm="1">
        <f t="array" aca="1" ref="B369" ca="1">INDEX({"Paracetamol","Amoxicillin","Ibuprofen","Cetirizine","Metformin","Amlodipine","Omeprazole","Azithromycin","Losartan","Vitamin C"}, RANDBETWEEN(1,10))</f>
        <v>Paracetamol</v>
      </c>
      <c r="C369" t="str" cm="1">
        <f t="array" aca="1" ref="C369" ca="1">INDEX({"Painkiller","Antibiotic","Painkiller","Antihistamine","Diabetes","Hypertension","Antacid","Antibiotic","Hypertension","Supplement"},
MATCH(B369,{"Paracetamol","Amoxicillin","Ibuprofen","Cetirizine","Metformin","Amlodipine","Omeprazole","Azithromycin","Losartan","Vitamin C"},0))</f>
        <v>Painkiller</v>
      </c>
      <c r="D369" t="str" cm="1">
        <f t="array" aca="1" ref="D369" ca="1">INDEX({"MedSupply Co","HealthCorp","PharmaPlus","GlobalMed"}, RANDBETWEEN(1,4))</f>
        <v>MedSupply Co</v>
      </c>
      <c r="E369">
        <f t="shared" ca="1" si="51"/>
        <v>48</v>
      </c>
      <c r="F369">
        <f t="shared" ca="1" si="52"/>
        <v>86</v>
      </c>
      <c r="G369">
        <f t="shared" ca="1" si="53"/>
        <v>0.55000000000000004</v>
      </c>
      <c r="H369" s="1">
        <f t="shared" ca="1" si="54"/>
        <v>46387</v>
      </c>
      <c r="I369" s="1">
        <f t="shared" ca="1" si="55"/>
        <v>46044</v>
      </c>
      <c r="J369">
        <f t="shared" ca="1" si="56"/>
        <v>26.400000000000002</v>
      </c>
      <c r="K369" t="str">
        <f t="shared" ca="1" si="57"/>
        <v>Low Stock</v>
      </c>
      <c r="L369" s="2">
        <f t="shared" ca="1" si="58"/>
        <v>268</v>
      </c>
      <c r="M369" t="str">
        <f t="shared" ca="1" si="59"/>
        <v>Safe</v>
      </c>
    </row>
    <row r="370" spans="1:13" x14ac:dyDescent="0.25">
      <c r="A370" t="str">
        <f t="shared" si="50"/>
        <v>M369</v>
      </c>
      <c r="B370" t="str" cm="1">
        <f t="array" aca="1" ref="B370" ca="1">INDEX({"Paracetamol","Amoxicillin","Ibuprofen","Cetirizine","Metformin","Amlodipine","Omeprazole","Azithromycin","Losartan","Vitamin C"}, RANDBETWEEN(1,10))</f>
        <v>Azithromycin</v>
      </c>
      <c r="C370" t="str" cm="1">
        <f t="array" aca="1" ref="C370" ca="1">INDEX({"Painkiller","Antibiotic","Painkiller","Antihistamine","Diabetes","Hypertension","Antacid","Antibiotic","Hypertension","Supplement"},
MATCH(B370,{"Paracetamol","Amoxicillin","Ibuprofen","Cetirizine","Metformin","Amlodipine","Omeprazole","Azithromycin","Losartan","Vitamin C"},0))</f>
        <v>Antibiotic</v>
      </c>
      <c r="D370" t="str" cm="1">
        <f t="array" aca="1" ref="D370" ca="1">INDEX({"MedSupply Co","HealthCorp","PharmaPlus","GlobalMed"}, RANDBETWEEN(1,4))</f>
        <v>PharmaPlus</v>
      </c>
      <c r="E370">
        <f t="shared" ca="1" si="51"/>
        <v>198</v>
      </c>
      <c r="F370">
        <f t="shared" ca="1" si="52"/>
        <v>97</v>
      </c>
      <c r="G370">
        <f t="shared" ca="1" si="53"/>
        <v>0.71</v>
      </c>
      <c r="H370" s="1">
        <f t="shared" ca="1" si="54"/>
        <v>46356</v>
      </c>
      <c r="I370" s="1">
        <f t="shared" ca="1" si="55"/>
        <v>45942</v>
      </c>
      <c r="J370">
        <f t="shared" ca="1" si="56"/>
        <v>140.57999999999998</v>
      </c>
      <c r="K370" t="str">
        <f t="shared" ca="1" si="57"/>
        <v>In Stock</v>
      </c>
      <c r="L370" s="2">
        <f t="shared" ca="1" si="58"/>
        <v>237</v>
      </c>
      <c r="M370" t="str">
        <f t="shared" ca="1" si="59"/>
        <v>Safe</v>
      </c>
    </row>
    <row r="371" spans="1:13" x14ac:dyDescent="0.25">
      <c r="A371" t="str">
        <f t="shared" si="50"/>
        <v>M370</v>
      </c>
      <c r="B371" t="str" cm="1">
        <f t="array" aca="1" ref="B371" ca="1">INDEX({"Paracetamol","Amoxicillin","Ibuprofen","Cetirizine","Metformin","Amlodipine","Omeprazole","Azithromycin","Losartan","Vitamin C"}, RANDBETWEEN(1,10))</f>
        <v>Cetirizine</v>
      </c>
      <c r="C371" t="str" cm="1">
        <f t="array" aca="1" ref="C371" ca="1">INDEX({"Painkiller","Antibiotic","Painkiller","Antihistamine","Diabetes","Hypertension","Antacid","Antibiotic","Hypertension","Supplement"},
MATCH(B371,{"Paracetamol","Amoxicillin","Ibuprofen","Cetirizine","Metformin","Amlodipine","Omeprazole","Azithromycin","Losartan","Vitamin C"},0))</f>
        <v>Antihistamine</v>
      </c>
      <c r="D371" t="str" cm="1">
        <f t="array" aca="1" ref="D371" ca="1">INDEX({"MedSupply Co","HealthCorp","PharmaPlus","GlobalMed"}, RANDBETWEEN(1,4))</f>
        <v>HealthCorp</v>
      </c>
      <c r="E371">
        <f t="shared" ca="1" si="51"/>
        <v>25</v>
      </c>
      <c r="F371">
        <f t="shared" ca="1" si="52"/>
        <v>43</v>
      </c>
      <c r="G371">
        <f t="shared" ca="1" si="53"/>
        <v>0.62</v>
      </c>
      <c r="H371" s="1">
        <f t="shared" ca="1" si="54"/>
        <v>46264</v>
      </c>
      <c r="I371" s="1">
        <f t="shared" ca="1" si="55"/>
        <v>46114</v>
      </c>
      <c r="J371">
        <f t="shared" ca="1" si="56"/>
        <v>15.5</v>
      </c>
      <c r="K371" t="str">
        <f t="shared" ca="1" si="57"/>
        <v>Low Stock</v>
      </c>
      <c r="L371" s="2">
        <f t="shared" ca="1" si="58"/>
        <v>145</v>
      </c>
      <c r="M371" t="str">
        <f t="shared" ca="1" si="59"/>
        <v>Safe</v>
      </c>
    </row>
    <row r="372" spans="1:13" x14ac:dyDescent="0.25">
      <c r="A372" t="str">
        <f t="shared" si="50"/>
        <v>M371</v>
      </c>
      <c r="B372" t="str" cm="1">
        <f t="array" aca="1" ref="B372" ca="1">INDEX({"Paracetamol","Amoxicillin","Ibuprofen","Cetirizine","Metformin","Amlodipine","Omeprazole","Azithromycin","Losartan","Vitamin C"}, RANDBETWEEN(1,10))</f>
        <v>Cetirizine</v>
      </c>
      <c r="C372" t="str" cm="1">
        <f t="array" aca="1" ref="C372" ca="1">INDEX({"Painkiller","Antibiotic","Painkiller","Antihistamine","Diabetes","Hypertension","Antacid","Antibiotic","Hypertension","Supplement"},
MATCH(B372,{"Paracetamol","Amoxicillin","Ibuprofen","Cetirizine","Metformin","Amlodipine","Omeprazole","Azithromycin","Losartan","Vitamin C"},0))</f>
        <v>Antihistamine</v>
      </c>
      <c r="D372" t="str" cm="1">
        <f t="array" aca="1" ref="D372" ca="1">INDEX({"MedSupply Co","HealthCorp","PharmaPlus","GlobalMed"}, RANDBETWEEN(1,4))</f>
        <v>PharmaPlus</v>
      </c>
      <c r="E372">
        <f t="shared" ca="1" si="51"/>
        <v>48</v>
      </c>
      <c r="F372">
        <f t="shared" ca="1" si="52"/>
        <v>32</v>
      </c>
      <c r="G372">
        <f t="shared" ca="1" si="53"/>
        <v>0.97</v>
      </c>
      <c r="H372" s="1">
        <f t="shared" ca="1" si="54"/>
        <v>46185</v>
      </c>
      <c r="I372" s="1">
        <f t="shared" ca="1" si="55"/>
        <v>46011</v>
      </c>
      <c r="J372">
        <f t="shared" ca="1" si="56"/>
        <v>46.56</v>
      </c>
      <c r="K372" t="str">
        <f t="shared" ca="1" si="57"/>
        <v>In Stock</v>
      </c>
      <c r="L372" s="2">
        <f t="shared" ca="1" si="58"/>
        <v>66</v>
      </c>
      <c r="M372" t="str">
        <f t="shared" ca="1" si="59"/>
        <v>Safe</v>
      </c>
    </row>
    <row r="373" spans="1:13" x14ac:dyDescent="0.25">
      <c r="A373" t="str">
        <f t="shared" si="50"/>
        <v>M372</v>
      </c>
      <c r="B373" t="str" cm="1">
        <f t="array" aca="1" ref="B373" ca="1">INDEX({"Paracetamol","Amoxicillin","Ibuprofen","Cetirizine","Metformin","Amlodipine","Omeprazole","Azithromycin","Losartan","Vitamin C"}, RANDBETWEEN(1,10))</f>
        <v>Omeprazole</v>
      </c>
      <c r="C373" t="str" cm="1">
        <f t="array" aca="1" ref="C373" ca="1">INDEX({"Painkiller","Antibiotic","Painkiller","Antihistamine","Diabetes","Hypertension","Antacid","Antibiotic","Hypertension","Supplement"},
MATCH(B373,{"Paracetamol","Amoxicillin","Ibuprofen","Cetirizine","Metformin","Amlodipine","Omeprazole","Azithromycin","Losartan","Vitamin C"},0))</f>
        <v>Antacid</v>
      </c>
      <c r="D373" t="str" cm="1">
        <f t="array" aca="1" ref="D373" ca="1">INDEX({"MedSupply Co","HealthCorp","PharmaPlus","GlobalMed"}, RANDBETWEEN(1,4))</f>
        <v>GlobalMed</v>
      </c>
      <c r="E373">
        <f t="shared" ca="1" si="51"/>
        <v>44</v>
      </c>
      <c r="F373">
        <f t="shared" ca="1" si="52"/>
        <v>90</v>
      </c>
      <c r="G373">
        <f t="shared" ca="1" si="53"/>
        <v>0.53</v>
      </c>
      <c r="H373" s="1">
        <f t="shared" ca="1" si="54"/>
        <v>46348</v>
      </c>
      <c r="I373" s="1">
        <f t="shared" ca="1" si="55"/>
        <v>46050</v>
      </c>
      <c r="J373">
        <f t="shared" ca="1" si="56"/>
        <v>23.32</v>
      </c>
      <c r="K373" t="str">
        <f t="shared" ca="1" si="57"/>
        <v>Low Stock</v>
      </c>
      <c r="L373" s="2">
        <f t="shared" ca="1" si="58"/>
        <v>229</v>
      </c>
      <c r="M373" t="str">
        <f t="shared" ca="1" si="59"/>
        <v>Safe</v>
      </c>
    </row>
    <row r="374" spans="1:13" x14ac:dyDescent="0.25">
      <c r="A374" t="str">
        <f t="shared" si="50"/>
        <v>M373</v>
      </c>
      <c r="B374" t="str" cm="1">
        <f t="array" aca="1" ref="B374" ca="1">INDEX({"Paracetamol","Amoxicillin","Ibuprofen","Cetirizine","Metformin","Amlodipine","Omeprazole","Azithromycin","Losartan","Vitamin C"}, RANDBETWEEN(1,10))</f>
        <v>Omeprazole</v>
      </c>
      <c r="C374" t="str" cm="1">
        <f t="array" aca="1" ref="C374" ca="1">INDEX({"Painkiller","Antibiotic","Painkiller","Antihistamine","Diabetes","Hypertension","Antacid","Antibiotic","Hypertension","Supplement"},
MATCH(B374,{"Paracetamol","Amoxicillin","Ibuprofen","Cetirizine","Metformin","Amlodipine","Omeprazole","Azithromycin","Losartan","Vitamin C"},0))</f>
        <v>Antacid</v>
      </c>
      <c r="D374" t="str" cm="1">
        <f t="array" aca="1" ref="D374" ca="1">INDEX({"MedSupply Co","HealthCorp","PharmaPlus","GlobalMed"}, RANDBETWEEN(1,4))</f>
        <v>PharmaPlus</v>
      </c>
      <c r="E374">
        <f t="shared" ca="1" si="51"/>
        <v>145</v>
      </c>
      <c r="F374">
        <f t="shared" ca="1" si="52"/>
        <v>24</v>
      </c>
      <c r="G374">
        <f t="shared" ca="1" si="53"/>
        <v>0.98</v>
      </c>
      <c r="H374" s="1">
        <f t="shared" ca="1" si="54"/>
        <v>46202</v>
      </c>
      <c r="I374" s="1">
        <f t="shared" ca="1" si="55"/>
        <v>46005</v>
      </c>
      <c r="J374">
        <f t="shared" ca="1" si="56"/>
        <v>142.1</v>
      </c>
      <c r="K374" t="str">
        <f t="shared" ca="1" si="57"/>
        <v>In Stock</v>
      </c>
      <c r="L374" s="2">
        <f t="shared" ca="1" si="58"/>
        <v>83</v>
      </c>
      <c r="M374" t="str">
        <f t="shared" ca="1" si="59"/>
        <v>Safe</v>
      </c>
    </row>
    <row r="375" spans="1:13" x14ac:dyDescent="0.25">
      <c r="A375" t="str">
        <f t="shared" si="50"/>
        <v>M374</v>
      </c>
      <c r="B375" t="str" cm="1">
        <f t="array" aca="1" ref="B375" ca="1">INDEX({"Paracetamol","Amoxicillin","Ibuprofen","Cetirizine","Metformin","Amlodipine","Omeprazole","Azithromycin","Losartan","Vitamin C"}, RANDBETWEEN(1,10))</f>
        <v>Azithromycin</v>
      </c>
      <c r="C375" t="str" cm="1">
        <f t="array" aca="1" ref="C375" ca="1">INDEX({"Painkiller","Antibiotic","Painkiller","Antihistamine","Diabetes","Hypertension","Antacid","Antibiotic","Hypertension","Supplement"},
MATCH(B375,{"Paracetamol","Amoxicillin","Ibuprofen","Cetirizine","Metformin","Amlodipine","Omeprazole","Azithromycin","Losartan","Vitamin C"},0))</f>
        <v>Antibiotic</v>
      </c>
      <c r="D375" t="str" cm="1">
        <f t="array" aca="1" ref="D375" ca="1">INDEX({"MedSupply Co","HealthCorp","PharmaPlus","GlobalMed"}, RANDBETWEEN(1,4))</f>
        <v>GlobalMed</v>
      </c>
      <c r="E375">
        <f t="shared" ca="1" si="51"/>
        <v>14</v>
      </c>
      <c r="F375">
        <f t="shared" ca="1" si="52"/>
        <v>79</v>
      </c>
      <c r="G375">
        <f t="shared" ca="1" si="53"/>
        <v>1.03</v>
      </c>
      <c r="H375" s="1">
        <f t="shared" ca="1" si="54"/>
        <v>46246</v>
      </c>
      <c r="I375" s="1">
        <f t="shared" ca="1" si="55"/>
        <v>46056</v>
      </c>
      <c r="J375">
        <f t="shared" ca="1" si="56"/>
        <v>14.42</v>
      </c>
      <c r="K375" t="str">
        <f t="shared" ca="1" si="57"/>
        <v>Low Stock</v>
      </c>
      <c r="L375" s="2">
        <f t="shared" ca="1" si="58"/>
        <v>127</v>
      </c>
      <c r="M375" t="str">
        <f t="shared" ca="1" si="59"/>
        <v>Safe</v>
      </c>
    </row>
    <row r="376" spans="1:13" x14ac:dyDescent="0.25">
      <c r="A376" t="str">
        <f t="shared" si="50"/>
        <v>M375</v>
      </c>
      <c r="B376" t="str" cm="1">
        <f t="array" aca="1" ref="B376" ca="1">INDEX({"Paracetamol","Amoxicillin","Ibuprofen","Cetirizine","Metformin","Amlodipine","Omeprazole","Azithromycin","Losartan","Vitamin C"}, RANDBETWEEN(1,10))</f>
        <v>Vitamin C</v>
      </c>
      <c r="C376" t="str" cm="1">
        <f t="array" aca="1" ref="C376" ca="1">INDEX({"Painkiller","Antibiotic","Painkiller","Antihistamine","Diabetes","Hypertension","Antacid","Antibiotic","Hypertension","Supplement"},
MATCH(B376,{"Paracetamol","Amoxicillin","Ibuprofen","Cetirizine","Metformin","Amlodipine","Omeprazole","Azithromycin","Losartan","Vitamin C"},0))</f>
        <v>Supplement</v>
      </c>
      <c r="D376" t="str" cm="1">
        <f t="array" aca="1" ref="D376" ca="1">INDEX({"MedSupply Co","HealthCorp","PharmaPlus","GlobalMed"}, RANDBETWEEN(1,4))</f>
        <v>MedSupply Co</v>
      </c>
      <c r="E376">
        <f t="shared" ca="1" si="51"/>
        <v>182</v>
      </c>
      <c r="F376">
        <f t="shared" ca="1" si="52"/>
        <v>67</v>
      </c>
      <c r="G376">
        <f t="shared" ca="1" si="53"/>
        <v>1.61</v>
      </c>
      <c r="H376" s="1">
        <f t="shared" ca="1" si="54"/>
        <v>46170</v>
      </c>
      <c r="I376" s="1">
        <f t="shared" ca="1" si="55"/>
        <v>45971</v>
      </c>
      <c r="J376">
        <f t="shared" ca="1" si="56"/>
        <v>293.02000000000004</v>
      </c>
      <c r="K376" t="str">
        <f t="shared" ca="1" si="57"/>
        <v>In Stock</v>
      </c>
      <c r="L376" s="2">
        <f t="shared" ca="1" si="58"/>
        <v>51</v>
      </c>
      <c r="M376" t="str">
        <f t="shared" ca="1" si="59"/>
        <v>Safe</v>
      </c>
    </row>
    <row r="377" spans="1:13" x14ac:dyDescent="0.25">
      <c r="A377" t="str">
        <f t="shared" si="50"/>
        <v>M376</v>
      </c>
      <c r="B377" t="str" cm="1">
        <f t="array" aca="1" ref="B377" ca="1">INDEX({"Paracetamol","Amoxicillin","Ibuprofen","Cetirizine","Metformin","Amlodipine","Omeprazole","Azithromycin","Losartan","Vitamin C"}, RANDBETWEEN(1,10))</f>
        <v>Amoxicillin</v>
      </c>
      <c r="C377" t="str" cm="1">
        <f t="array" aca="1" ref="C377" ca="1">INDEX({"Painkiller","Antibiotic","Painkiller","Antihistamine","Diabetes","Hypertension","Antacid","Antibiotic","Hypertension","Supplement"},
MATCH(B377,{"Paracetamol","Amoxicillin","Ibuprofen","Cetirizine","Metformin","Amlodipine","Omeprazole","Azithromycin","Losartan","Vitamin C"},0))</f>
        <v>Antibiotic</v>
      </c>
      <c r="D377" t="str" cm="1">
        <f t="array" aca="1" ref="D377" ca="1">INDEX({"MedSupply Co","HealthCorp","PharmaPlus","GlobalMed"}, RANDBETWEEN(1,4))</f>
        <v>PharmaPlus</v>
      </c>
      <c r="E377">
        <f t="shared" ca="1" si="51"/>
        <v>169</v>
      </c>
      <c r="F377">
        <f t="shared" ca="1" si="52"/>
        <v>73</v>
      </c>
      <c r="G377">
        <f t="shared" ca="1" si="53"/>
        <v>1.89</v>
      </c>
      <c r="H377" s="1">
        <f t="shared" ca="1" si="54"/>
        <v>46439</v>
      </c>
      <c r="I377" s="1">
        <f t="shared" ca="1" si="55"/>
        <v>46067</v>
      </c>
      <c r="J377">
        <f t="shared" ca="1" si="56"/>
        <v>319.40999999999997</v>
      </c>
      <c r="K377" t="str">
        <f t="shared" ca="1" si="57"/>
        <v>In Stock</v>
      </c>
      <c r="L377" s="2">
        <f t="shared" ca="1" si="58"/>
        <v>320</v>
      </c>
      <c r="M377" t="str">
        <f t="shared" ca="1" si="59"/>
        <v>Safe</v>
      </c>
    </row>
    <row r="378" spans="1:13" x14ac:dyDescent="0.25">
      <c r="A378" t="str">
        <f t="shared" si="50"/>
        <v>M377</v>
      </c>
      <c r="B378" t="str" cm="1">
        <f t="array" aca="1" ref="B378" ca="1">INDEX({"Paracetamol","Amoxicillin","Ibuprofen","Cetirizine","Metformin","Amlodipine","Omeprazole","Azithromycin","Losartan","Vitamin C"}, RANDBETWEEN(1,10))</f>
        <v>Metformin</v>
      </c>
      <c r="C378" t="str" cm="1">
        <f t="array" aca="1" ref="C378" ca="1">INDEX({"Painkiller","Antibiotic","Painkiller","Antihistamine","Diabetes","Hypertension","Antacid","Antibiotic","Hypertension","Supplement"},
MATCH(B378,{"Paracetamol","Amoxicillin","Ibuprofen","Cetirizine","Metformin","Amlodipine","Omeprazole","Azithromycin","Losartan","Vitamin C"},0))</f>
        <v>Diabetes</v>
      </c>
      <c r="D378" t="str" cm="1">
        <f t="array" aca="1" ref="D378" ca="1">INDEX({"MedSupply Co","HealthCorp","PharmaPlus","GlobalMed"}, RANDBETWEEN(1,4))</f>
        <v>PharmaPlus</v>
      </c>
      <c r="E378">
        <f t="shared" ca="1" si="51"/>
        <v>151</v>
      </c>
      <c r="F378">
        <f t="shared" ca="1" si="52"/>
        <v>89</v>
      </c>
      <c r="G378">
        <f t="shared" ca="1" si="53"/>
        <v>0.67</v>
      </c>
      <c r="H378" s="1">
        <f t="shared" ca="1" si="54"/>
        <v>46438</v>
      </c>
      <c r="I378" s="1">
        <f t="shared" ca="1" si="55"/>
        <v>46081</v>
      </c>
      <c r="J378">
        <f t="shared" ca="1" si="56"/>
        <v>101.17</v>
      </c>
      <c r="K378" t="str">
        <f t="shared" ca="1" si="57"/>
        <v>In Stock</v>
      </c>
      <c r="L378" s="2">
        <f t="shared" ca="1" si="58"/>
        <v>319</v>
      </c>
      <c r="M378" t="str">
        <f t="shared" ca="1" si="59"/>
        <v>Safe</v>
      </c>
    </row>
    <row r="379" spans="1:13" x14ac:dyDescent="0.25">
      <c r="A379" t="str">
        <f t="shared" si="50"/>
        <v>M378</v>
      </c>
      <c r="B379" t="str" cm="1">
        <f t="array" aca="1" ref="B379" ca="1">INDEX({"Paracetamol","Amoxicillin","Ibuprofen","Cetirizine","Metformin","Amlodipine","Omeprazole","Azithromycin","Losartan","Vitamin C"}, RANDBETWEEN(1,10))</f>
        <v>Amoxicillin</v>
      </c>
      <c r="C379" t="str" cm="1">
        <f t="array" aca="1" ref="C379" ca="1">INDEX({"Painkiller","Antibiotic","Painkiller","Antihistamine","Diabetes","Hypertension","Antacid","Antibiotic","Hypertension","Supplement"},
MATCH(B379,{"Paracetamol","Amoxicillin","Ibuprofen","Cetirizine","Metformin","Amlodipine","Omeprazole","Azithromycin","Losartan","Vitamin C"},0))</f>
        <v>Antibiotic</v>
      </c>
      <c r="D379" t="str" cm="1">
        <f t="array" aca="1" ref="D379" ca="1">INDEX({"MedSupply Co","HealthCorp","PharmaPlus","GlobalMed"}, RANDBETWEEN(1,4))</f>
        <v>PharmaPlus</v>
      </c>
      <c r="E379">
        <f t="shared" ca="1" si="51"/>
        <v>164</v>
      </c>
      <c r="F379">
        <f t="shared" ca="1" si="52"/>
        <v>69</v>
      </c>
      <c r="G379">
        <f t="shared" ca="1" si="53"/>
        <v>1.35</v>
      </c>
      <c r="H379" s="1">
        <f t="shared" ca="1" si="54"/>
        <v>46351</v>
      </c>
      <c r="I379" s="1">
        <f t="shared" ca="1" si="55"/>
        <v>45961</v>
      </c>
      <c r="J379">
        <f t="shared" ca="1" si="56"/>
        <v>221.4</v>
      </c>
      <c r="K379" t="str">
        <f t="shared" ca="1" si="57"/>
        <v>In Stock</v>
      </c>
      <c r="L379" s="2">
        <f t="shared" ca="1" si="58"/>
        <v>232</v>
      </c>
      <c r="M379" t="str">
        <f t="shared" ca="1" si="59"/>
        <v>Safe</v>
      </c>
    </row>
    <row r="380" spans="1:13" x14ac:dyDescent="0.25">
      <c r="A380" t="str">
        <f t="shared" si="50"/>
        <v>M379</v>
      </c>
      <c r="B380" t="str" cm="1">
        <f t="array" aca="1" ref="B380" ca="1">INDEX({"Paracetamol","Amoxicillin","Ibuprofen","Cetirizine","Metformin","Amlodipine","Omeprazole","Azithromycin","Losartan","Vitamin C"}, RANDBETWEEN(1,10))</f>
        <v>Metformin</v>
      </c>
      <c r="C380" t="str" cm="1">
        <f t="array" aca="1" ref="C380" ca="1">INDEX({"Painkiller","Antibiotic","Painkiller","Antihistamine","Diabetes","Hypertension","Antacid","Antibiotic","Hypertension","Supplement"},
MATCH(B380,{"Paracetamol","Amoxicillin","Ibuprofen","Cetirizine","Metformin","Amlodipine","Omeprazole","Azithromycin","Losartan","Vitamin C"},0))</f>
        <v>Diabetes</v>
      </c>
      <c r="D380" t="str" cm="1">
        <f t="array" aca="1" ref="D380" ca="1">INDEX({"MedSupply Co","HealthCorp","PharmaPlus","GlobalMed"}, RANDBETWEEN(1,4))</f>
        <v>MedSupply Co</v>
      </c>
      <c r="E380">
        <f t="shared" ca="1" si="51"/>
        <v>50</v>
      </c>
      <c r="F380">
        <f t="shared" ca="1" si="52"/>
        <v>90</v>
      </c>
      <c r="G380">
        <f t="shared" ca="1" si="53"/>
        <v>1.35</v>
      </c>
      <c r="H380" s="1">
        <f t="shared" ca="1" si="54"/>
        <v>46265</v>
      </c>
      <c r="I380" s="1">
        <f t="shared" ca="1" si="55"/>
        <v>45948</v>
      </c>
      <c r="J380">
        <f t="shared" ca="1" si="56"/>
        <v>67.5</v>
      </c>
      <c r="K380" t="str">
        <f t="shared" ca="1" si="57"/>
        <v>Low Stock</v>
      </c>
      <c r="L380" s="2">
        <f t="shared" ca="1" si="58"/>
        <v>146</v>
      </c>
      <c r="M380" t="str">
        <f t="shared" ca="1" si="59"/>
        <v>Safe</v>
      </c>
    </row>
    <row r="381" spans="1:13" x14ac:dyDescent="0.25">
      <c r="A381" t="str">
        <f t="shared" si="50"/>
        <v>M380</v>
      </c>
      <c r="B381" t="str" cm="1">
        <f t="array" aca="1" ref="B381" ca="1">INDEX({"Paracetamol","Amoxicillin","Ibuprofen","Cetirizine","Metformin","Amlodipine","Omeprazole","Azithromycin","Losartan","Vitamin C"}, RANDBETWEEN(1,10))</f>
        <v>Amlodipine</v>
      </c>
      <c r="C381" t="str" cm="1">
        <f t="array" aca="1" ref="C381" ca="1">INDEX({"Painkiller","Antibiotic","Painkiller","Antihistamine","Diabetes","Hypertension","Antacid","Antibiotic","Hypertension","Supplement"},
MATCH(B381,{"Paracetamol","Amoxicillin","Ibuprofen","Cetirizine","Metformin","Amlodipine","Omeprazole","Azithromycin","Losartan","Vitamin C"},0))</f>
        <v>Hypertension</v>
      </c>
      <c r="D381" t="str" cm="1">
        <f t="array" aca="1" ref="D381" ca="1">INDEX({"MedSupply Co","HealthCorp","PharmaPlus","GlobalMed"}, RANDBETWEEN(1,4))</f>
        <v>PharmaPlus</v>
      </c>
      <c r="E381">
        <f t="shared" ca="1" si="51"/>
        <v>27</v>
      </c>
      <c r="F381">
        <f t="shared" ca="1" si="52"/>
        <v>74</v>
      </c>
      <c r="G381">
        <f t="shared" ca="1" si="53"/>
        <v>1.18</v>
      </c>
      <c r="H381" s="1">
        <f t="shared" ca="1" si="54"/>
        <v>46335</v>
      </c>
      <c r="I381" s="1">
        <f t="shared" ca="1" si="55"/>
        <v>46070</v>
      </c>
      <c r="J381">
        <f t="shared" ca="1" si="56"/>
        <v>31.86</v>
      </c>
      <c r="K381" t="str">
        <f t="shared" ca="1" si="57"/>
        <v>Low Stock</v>
      </c>
      <c r="L381" s="2">
        <f t="shared" ca="1" si="58"/>
        <v>216</v>
      </c>
      <c r="M381" t="str">
        <f t="shared" ca="1" si="59"/>
        <v>Safe</v>
      </c>
    </row>
    <row r="382" spans="1:13" x14ac:dyDescent="0.25">
      <c r="A382" t="str">
        <f t="shared" si="50"/>
        <v>M381</v>
      </c>
      <c r="B382" t="str" cm="1">
        <f t="array" aca="1" ref="B382" ca="1">INDEX({"Paracetamol","Amoxicillin","Ibuprofen","Cetirizine","Metformin","Amlodipine","Omeprazole","Azithromycin","Losartan","Vitamin C"}, RANDBETWEEN(1,10))</f>
        <v>Omeprazole</v>
      </c>
      <c r="C382" t="str" cm="1">
        <f t="array" aca="1" ref="C382" ca="1">INDEX({"Painkiller","Antibiotic","Painkiller","Antihistamine","Diabetes","Hypertension","Antacid","Antibiotic","Hypertension","Supplement"},
MATCH(B382,{"Paracetamol","Amoxicillin","Ibuprofen","Cetirizine","Metformin","Amlodipine","Omeprazole","Azithromycin","Losartan","Vitamin C"},0))</f>
        <v>Antacid</v>
      </c>
      <c r="D382" t="str" cm="1">
        <f t="array" aca="1" ref="D382" ca="1">INDEX({"MedSupply Co","HealthCorp","PharmaPlus","GlobalMed"}, RANDBETWEEN(1,4))</f>
        <v>HealthCorp</v>
      </c>
      <c r="E382">
        <f t="shared" ca="1" si="51"/>
        <v>85</v>
      </c>
      <c r="F382">
        <f t="shared" ca="1" si="52"/>
        <v>95</v>
      </c>
      <c r="G382">
        <f t="shared" ca="1" si="53"/>
        <v>0.57999999999999996</v>
      </c>
      <c r="H382" s="1">
        <f t="shared" ca="1" si="54"/>
        <v>46395</v>
      </c>
      <c r="I382" s="1">
        <f t="shared" ca="1" si="55"/>
        <v>46058</v>
      </c>
      <c r="J382">
        <f t="shared" ca="1" si="56"/>
        <v>49.3</v>
      </c>
      <c r="K382" t="str">
        <f t="shared" ca="1" si="57"/>
        <v>Low Stock</v>
      </c>
      <c r="L382" s="2">
        <f t="shared" ca="1" si="58"/>
        <v>276</v>
      </c>
      <c r="M382" t="str">
        <f t="shared" ca="1" si="59"/>
        <v>Safe</v>
      </c>
    </row>
    <row r="383" spans="1:13" x14ac:dyDescent="0.25">
      <c r="A383" t="str">
        <f t="shared" si="50"/>
        <v>M382</v>
      </c>
      <c r="B383" t="str" cm="1">
        <f t="array" aca="1" ref="B383" ca="1">INDEX({"Paracetamol","Amoxicillin","Ibuprofen","Cetirizine","Metformin","Amlodipine","Omeprazole","Azithromycin","Losartan","Vitamin C"}, RANDBETWEEN(1,10))</f>
        <v>Vitamin C</v>
      </c>
      <c r="C383" t="str" cm="1">
        <f t="array" aca="1" ref="C383" ca="1">INDEX({"Painkiller","Antibiotic","Painkiller","Antihistamine","Diabetes","Hypertension","Antacid","Antibiotic","Hypertension","Supplement"},
MATCH(B383,{"Paracetamol","Amoxicillin","Ibuprofen","Cetirizine","Metformin","Amlodipine","Omeprazole","Azithromycin","Losartan","Vitamin C"},0))</f>
        <v>Supplement</v>
      </c>
      <c r="D383" t="str" cm="1">
        <f t="array" aca="1" ref="D383" ca="1">INDEX({"MedSupply Co","HealthCorp","PharmaPlus","GlobalMed"}, RANDBETWEEN(1,4))</f>
        <v>HealthCorp</v>
      </c>
      <c r="E383">
        <f t="shared" ca="1" si="51"/>
        <v>195</v>
      </c>
      <c r="F383">
        <f t="shared" ca="1" si="52"/>
        <v>41</v>
      </c>
      <c r="G383">
        <f t="shared" ca="1" si="53"/>
        <v>0.84</v>
      </c>
      <c r="H383" s="1">
        <f t="shared" ca="1" si="54"/>
        <v>46335</v>
      </c>
      <c r="I383" s="1">
        <f t="shared" ca="1" si="55"/>
        <v>46068</v>
      </c>
      <c r="J383">
        <f t="shared" ca="1" si="56"/>
        <v>163.79999999999998</v>
      </c>
      <c r="K383" t="str">
        <f t="shared" ca="1" si="57"/>
        <v>In Stock</v>
      </c>
      <c r="L383" s="2">
        <f t="shared" ca="1" si="58"/>
        <v>216</v>
      </c>
      <c r="M383" t="str">
        <f t="shared" ca="1" si="59"/>
        <v>Safe</v>
      </c>
    </row>
    <row r="384" spans="1:13" x14ac:dyDescent="0.25">
      <c r="A384" t="str">
        <f t="shared" si="50"/>
        <v>M383</v>
      </c>
      <c r="B384" t="str" cm="1">
        <f t="array" aca="1" ref="B384" ca="1">INDEX({"Paracetamol","Amoxicillin","Ibuprofen","Cetirizine","Metformin","Amlodipine","Omeprazole","Azithromycin","Losartan","Vitamin C"}, RANDBETWEEN(1,10))</f>
        <v>Omeprazole</v>
      </c>
      <c r="C384" t="str" cm="1">
        <f t="array" aca="1" ref="C384" ca="1">INDEX({"Painkiller","Antibiotic","Painkiller","Antihistamine","Diabetes","Hypertension","Antacid","Antibiotic","Hypertension","Supplement"},
MATCH(B384,{"Paracetamol","Amoxicillin","Ibuprofen","Cetirizine","Metformin","Amlodipine","Omeprazole","Azithromycin","Losartan","Vitamin C"},0))</f>
        <v>Antacid</v>
      </c>
      <c r="D384" t="str" cm="1">
        <f t="array" aca="1" ref="D384" ca="1">INDEX({"MedSupply Co","HealthCorp","PharmaPlus","GlobalMed"}, RANDBETWEEN(1,4))</f>
        <v>PharmaPlus</v>
      </c>
      <c r="E384">
        <f t="shared" ca="1" si="51"/>
        <v>137</v>
      </c>
      <c r="F384">
        <f t="shared" ca="1" si="52"/>
        <v>35</v>
      </c>
      <c r="G384">
        <f t="shared" ca="1" si="53"/>
        <v>0.68</v>
      </c>
      <c r="H384" s="1">
        <f t="shared" ca="1" si="54"/>
        <v>46266</v>
      </c>
      <c r="I384" s="1">
        <f t="shared" ca="1" si="55"/>
        <v>46002</v>
      </c>
      <c r="J384">
        <f t="shared" ca="1" si="56"/>
        <v>93.160000000000011</v>
      </c>
      <c r="K384" t="str">
        <f t="shared" ca="1" si="57"/>
        <v>In Stock</v>
      </c>
      <c r="L384" s="2">
        <f t="shared" ca="1" si="58"/>
        <v>147</v>
      </c>
      <c r="M384" t="str">
        <f t="shared" ca="1" si="59"/>
        <v>Safe</v>
      </c>
    </row>
    <row r="385" spans="1:13" x14ac:dyDescent="0.25">
      <c r="A385" t="str">
        <f t="shared" si="50"/>
        <v>M384</v>
      </c>
      <c r="B385" t="str" cm="1">
        <f t="array" aca="1" ref="B385" ca="1">INDEX({"Paracetamol","Amoxicillin","Ibuprofen","Cetirizine","Metformin","Amlodipine","Omeprazole","Azithromycin","Losartan","Vitamin C"}, RANDBETWEEN(1,10))</f>
        <v>Omeprazole</v>
      </c>
      <c r="C385" t="str" cm="1">
        <f t="array" aca="1" ref="C385" ca="1">INDEX({"Painkiller","Antibiotic","Painkiller","Antihistamine","Diabetes","Hypertension","Antacid","Antibiotic","Hypertension","Supplement"},
MATCH(B385,{"Paracetamol","Amoxicillin","Ibuprofen","Cetirizine","Metformin","Amlodipine","Omeprazole","Azithromycin","Losartan","Vitamin C"},0))</f>
        <v>Antacid</v>
      </c>
      <c r="D385" t="str" cm="1">
        <f t="array" aca="1" ref="D385" ca="1">INDEX({"MedSupply Co","HealthCorp","PharmaPlus","GlobalMed"}, RANDBETWEEN(1,4))</f>
        <v>GlobalMed</v>
      </c>
      <c r="E385">
        <f t="shared" ca="1" si="51"/>
        <v>147</v>
      </c>
      <c r="F385">
        <f t="shared" ca="1" si="52"/>
        <v>79</v>
      </c>
      <c r="G385">
        <f t="shared" ca="1" si="53"/>
        <v>2</v>
      </c>
      <c r="H385" s="1">
        <f t="shared" ca="1" si="54"/>
        <v>46234</v>
      </c>
      <c r="I385" s="1">
        <f t="shared" ca="1" si="55"/>
        <v>45978</v>
      </c>
      <c r="J385">
        <f t="shared" ca="1" si="56"/>
        <v>294</v>
      </c>
      <c r="K385" t="str">
        <f t="shared" ca="1" si="57"/>
        <v>In Stock</v>
      </c>
      <c r="L385" s="2">
        <f t="shared" ca="1" si="58"/>
        <v>115</v>
      </c>
      <c r="M385" t="str">
        <f t="shared" ca="1" si="59"/>
        <v>Safe</v>
      </c>
    </row>
    <row r="386" spans="1:13" x14ac:dyDescent="0.25">
      <c r="A386" t="str">
        <f t="shared" si="50"/>
        <v>M385</v>
      </c>
      <c r="B386" t="str" cm="1">
        <f t="array" aca="1" ref="B386" ca="1">INDEX({"Paracetamol","Amoxicillin","Ibuprofen","Cetirizine","Metformin","Amlodipine","Omeprazole","Azithromycin","Losartan","Vitamin C"}, RANDBETWEEN(1,10))</f>
        <v>Cetirizine</v>
      </c>
      <c r="C386" t="str" cm="1">
        <f t="array" aca="1" ref="C386" ca="1">INDEX({"Painkiller","Antibiotic","Painkiller","Antihistamine","Diabetes","Hypertension","Antacid","Antibiotic","Hypertension","Supplement"},
MATCH(B386,{"Paracetamol","Amoxicillin","Ibuprofen","Cetirizine","Metformin","Amlodipine","Omeprazole","Azithromycin","Losartan","Vitamin C"},0))</f>
        <v>Antihistamine</v>
      </c>
      <c r="D386" t="str" cm="1">
        <f t="array" aca="1" ref="D386" ca="1">INDEX({"MedSupply Co","HealthCorp","PharmaPlus","GlobalMed"}, RANDBETWEEN(1,4))</f>
        <v>MedSupply Co</v>
      </c>
      <c r="E386">
        <f t="shared" ca="1" si="51"/>
        <v>92</v>
      </c>
      <c r="F386">
        <f t="shared" ca="1" si="52"/>
        <v>56</v>
      </c>
      <c r="G386">
        <f t="shared" ca="1" si="53"/>
        <v>0.55000000000000004</v>
      </c>
      <c r="H386" s="1">
        <f t="shared" ca="1" si="54"/>
        <v>46277</v>
      </c>
      <c r="I386" s="1">
        <f t="shared" ca="1" si="55"/>
        <v>46106</v>
      </c>
      <c r="J386">
        <f t="shared" ca="1" si="56"/>
        <v>50.6</v>
      </c>
      <c r="K386" t="str">
        <f t="shared" ca="1" si="57"/>
        <v>In Stock</v>
      </c>
      <c r="L386" s="2">
        <f t="shared" ca="1" si="58"/>
        <v>158</v>
      </c>
      <c r="M386" t="str">
        <f t="shared" ca="1" si="59"/>
        <v>Safe</v>
      </c>
    </row>
    <row r="387" spans="1:13" x14ac:dyDescent="0.25">
      <c r="A387" t="str">
        <f t="shared" ref="A387:A450" si="60">"M"&amp;TEXT(ROW(A386),"000")</f>
        <v>M386</v>
      </c>
      <c r="B387" t="str" cm="1">
        <f t="array" aca="1" ref="B387" ca="1">INDEX({"Paracetamol","Amoxicillin","Ibuprofen","Cetirizine","Metformin","Amlodipine","Omeprazole","Azithromycin","Losartan","Vitamin C"}, RANDBETWEEN(1,10))</f>
        <v>Omeprazole</v>
      </c>
      <c r="C387" t="str" cm="1">
        <f t="array" aca="1" ref="C387" ca="1">INDEX({"Painkiller","Antibiotic","Painkiller","Antihistamine","Diabetes","Hypertension","Antacid","Antibiotic","Hypertension","Supplement"},
MATCH(B387,{"Paracetamol","Amoxicillin","Ibuprofen","Cetirizine","Metformin","Amlodipine","Omeprazole","Azithromycin","Losartan","Vitamin C"},0))</f>
        <v>Antacid</v>
      </c>
      <c r="D387" t="str" cm="1">
        <f t="array" aca="1" ref="D387" ca="1">INDEX({"MedSupply Co","HealthCorp","PharmaPlus","GlobalMed"}, RANDBETWEEN(1,4))</f>
        <v>MedSupply Co</v>
      </c>
      <c r="E387">
        <f t="shared" ref="E387:E450" ca="1" si="61">RANDBETWEEN(0,200)</f>
        <v>41</v>
      </c>
      <c r="F387">
        <f t="shared" ref="F387:F450" ca="1" si="62">RANDBETWEEN(20,100)</f>
        <v>90</v>
      </c>
      <c r="G387">
        <f t="shared" ref="G387:G450" ca="1" si="63">ROUND(RANDBETWEEN(50,200)/100,2)</f>
        <v>1.1499999999999999</v>
      </c>
      <c r="H387" s="1">
        <f t="shared" ref="H387:H450" ca="1" si="64">TODAY()+RANDBETWEEN(30,365)</f>
        <v>46367</v>
      </c>
      <c r="I387" s="1">
        <f t="shared" ref="I387:I450" ca="1" si="65">TODAY()-RANDBETWEEN(1,180)</f>
        <v>46049</v>
      </c>
      <c r="J387">
        <f t="shared" ref="J387:J450" ca="1" si="66">E387*G387</f>
        <v>47.15</v>
      </c>
      <c r="K387" t="str">
        <f t="shared" ref="K387:K450" ca="1" si="67">IF(E387=0,"Out of Stock",IF(E387&lt;F387,"Low Stock","In Stock"))</f>
        <v>Low Stock</v>
      </c>
      <c r="L387" s="2">
        <f t="shared" ref="L387:L450" ca="1" si="68">H387-TODAY()</f>
        <v>248</v>
      </c>
      <c r="M387" t="str">
        <f t="shared" ref="M387:M450" ca="1" si="69">IF(H387&lt;=TODAY()+30,"Expiring Soon","Safe")</f>
        <v>Safe</v>
      </c>
    </row>
    <row r="388" spans="1:13" x14ac:dyDescent="0.25">
      <c r="A388" t="str">
        <f t="shared" si="60"/>
        <v>M387</v>
      </c>
      <c r="B388" t="str" cm="1">
        <f t="array" aca="1" ref="B388" ca="1">INDEX({"Paracetamol","Amoxicillin","Ibuprofen","Cetirizine","Metformin","Amlodipine","Omeprazole","Azithromycin","Losartan","Vitamin C"}, RANDBETWEEN(1,10))</f>
        <v>Ibuprofen</v>
      </c>
      <c r="C388" t="str" cm="1">
        <f t="array" aca="1" ref="C388" ca="1">INDEX({"Painkiller","Antibiotic","Painkiller","Antihistamine","Diabetes","Hypertension","Antacid","Antibiotic","Hypertension","Supplement"},
MATCH(B388,{"Paracetamol","Amoxicillin","Ibuprofen","Cetirizine","Metformin","Amlodipine","Omeprazole","Azithromycin","Losartan","Vitamin C"},0))</f>
        <v>Painkiller</v>
      </c>
      <c r="D388" t="str" cm="1">
        <f t="array" aca="1" ref="D388" ca="1">INDEX({"MedSupply Co","HealthCorp","PharmaPlus","GlobalMed"}, RANDBETWEEN(1,4))</f>
        <v>HealthCorp</v>
      </c>
      <c r="E388">
        <f t="shared" ca="1" si="61"/>
        <v>159</v>
      </c>
      <c r="F388">
        <f t="shared" ca="1" si="62"/>
        <v>20</v>
      </c>
      <c r="G388">
        <f t="shared" ca="1" si="63"/>
        <v>0.96</v>
      </c>
      <c r="H388" s="1">
        <f t="shared" ca="1" si="64"/>
        <v>46440</v>
      </c>
      <c r="I388" s="1">
        <f t="shared" ca="1" si="65"/>
        <v>46076</v>
      </c>
      <c r="J388">
        <f t="shared" ca="1" si="66"/>
        <v>152.63999999999999</v>
      </c>
      <c r="K388" t="str">
        <f t="shared" ca="1" si="67"/>
        <v>In Stock</v>
      </c>
      <c r="L388" s="2">
        <f t="shared" ca="1" si="68"/>
        <v>321</v>
      </c>
      <c r="M388" t="str">
        <f t="shared" ca="1" si="69"/>
        <v>Safe</v>
      </c>
    </row>
    <row r="389" spans="1:13" x14ac:dyDescent="0.25">
      <c r="A389" t="str">
        <f t="shared" si="60"/>
        <v>M388</v>
      </c>
      <c r="B389" t="str" cm="1">
        <f t="array" aca="1" ref="B389" ca="1">INDEX({"Paracetamol","Amoxicillin","Ibuprofen","Cetirizine","Metformin","Amlodipine","Omeprazole","Azithromycin","Losartan","Vitamin C"}, RANDBETWEEN(1,10))</f>
        <v>Amoxicillin</v>
      </c>
      <c r="C389" t="str" cm="1">
        <f t="array" aca="1" ref="C389" ca="1">INDEX({"Painkiller","Antibiotic","Painkiller","Antihistamine","Diabetes","Hypertension","Antacid","Antibiotic","Hypertension","Supplement"},
MATCH(B389,{"Paracetamol","Amoxicillin","Ibuprofen","Cetirizine","Metformin","Amlodipine","Omeprazole","Azithromycin","Losartan","Vitamin C"},0))</f>
        <v>Antibiotic</v>
      </c>
      <c r="D389" t="str" cm="1">
        <f t="array" aca="1" ref="D389" ca="1">INDEX({"MedSupply Co","HealthCorp","PharmaPlus","GlobalMed"}, RANDBETWEEN(1,4))</f>
        <v>GlobalMed</v>
      </c>
      <c r="E389">
        <f t="shared" ca="1" si="61"/>
        <v>125</v>
      </c>
      <c r="F389">
        <f t="shared" ca="1" si="62"/>
        <v>21</v>
      </c>
      <c r="G389">
        <f t="shared" ca="1" si="63"/>
        <v>1.02</v>
      </c>
      <c r="H389" s="1">
        <f t="shared" ca="1" si="64"/>
        <v>46211</v>
      </c>
      <c r="I389" s="1">
        <f t="shared" ca="1" si="65"/>
        <v>46067</v>
      </c>
      <c r="J389">
        <f t="shared" ca="1" si="66"/>
        <v>127.5</v>
      </c>
      <c r="K389" t="str">
        <f t="shared" ca="1" si="67"/>
        <v>In Stock</v>
      </c>
      <c r="L389" s="2">
        <f t="shared" ca="1" si="68"/>
        <v>92</v>
      </c>
      <c r="M389" t="str">
        <f t="shared" ca="1" si="69"/>
        <v>Safe</v>
      </c>
    </row>
    <row r="390" spans="1:13" x14ac:dyDescent="0.25">
      <c r="A390" t="str">
        <f t="shared" si="60"/>
        <v>M389</v>
      </c>
      <c r="B390" t="str" cm="1">
        <f t="array" aca="1" ref="B390" ca="1">INDEX({"Paracetamol","Amoxicillin","Ibuprofen","Cetirizine","Metformin","Amlodipine","Omeprazole","Azithromycin","Losartan","Vitamin C"}, RANDBETWEEN(1,10))</f>
        <v>Vitamin C</v>
      </c>
      <c r="C390" t="str" cm="1">
        <f t="array" aca="1" ref="C390" ca="1">INDEX({"Painkiller","Antibiotic","Painkiller","Antihistamine","Diabetes","Hypertension","Antacid","Antibiotic","Hypertension","Supplement"},
MATCH(B390,{"Paracetamol","Amoxicillin","Ibuprofen","Cetirizine","Metformin","Amlodipine","Omeprazole","Azithromycin","Losartan","Vitamin C"},0))</f>
        <v>Supplement</v>
      </c>
      <c r="D390" t="str" cm="1">
        <f t="array" aca="1" ref="D390" ca="1">INDEX({"MedSupply Co","HealthCorp","PharmaPlus","GlobalMed"}, RANDBETWEEN(1,4))</f>
        <v>HealthCorp</v>
      </c>
      <c r="E390">
        <f t="shared" ca="1" si="61"/>
        <v>119</v>
      </c>
      <c r="F390">
        <f t="shared" ca="1" si="62"/>
        <v>52</v>
      </c>
      <c r="G390">
        <f t="shared" ca="1" si="63"/>
        <v>0.67</v>
      </c>
      <c r="H390" s="1">
        <f t="shared" ca="1" si="64"/>
        <v>46271</v>
      </c>
      <c r="I390" s="1">
        <f t="shared" ca="1" si="65"/>
        <v>46066</v>
      </c>
      <c r="J390">
        <f t="shared" ca="1" si="66"/>
        <v>79.73</v>
      </c>
      <c r="K390" t="str">
        <f t="shared" ca="1" si="67"/>
        <v>In Stock</v>
      </c>
      <c r="L390" s="2">
        <f t="shared" ca="1" si="68"/>
        <v>152</v>
      </c>
      <c r="M390" t="str">
        <f t="shared" ca="1" si="69"/>
        <v>Safe</v>
      </c>
    </row>
    <row r="391" spans="1:13" x14ac:dyDescent="0.25">
      <c r="A391" t="str">
        <f t="shared" si="60"/>
        <v>M390</v>
      </c>
      <c r="B391" t="str" cm="1">
        <f t="array" aca="1" ref="B391" ca="1">INDEX({"Paracetamol","Amoxicillin","Ibuprofen","Cetirizine","Metformin","Amlodipine","Omeprazole","Azithromycin","Losartan","Vitamin C"}, RANDBETWEEN(1,10))</f>
        <v>Vitamin C</v>
      </c>
      <c r="C391" t="str" cm="1">
        <f t="array" aca="1" ref="C391" ca="1">INDEX({"Painkiller","Antibiotic","Painkiller","Antihistamine","Diabetes","Hypertension","Antacid","Antibiotic","Hypertension","Supplement"},
MATCH(B391,{"Paracetamol","Amoxicillin","Ibuprofen","Cetirizine","Metformin","Amlodipine","Omeprazole","Azithromycin","Losartan","Vitamin C"},0))</f>
        <v>Supplement</v>
      </c>
      <c r="D391" t="str" cm="1">
        <f t="array" aca="1" ref="D391" ca="1">INDEX({"MedSupply Co","HealthCorp","PharmaPlus","GlobalMed"}, RANDBETWEEN(1,4))</f>
        <v>MedSupply Co</v>
      </c>
      <c r="E391">
        <f t="shared" ca="1" si="61"/>
        <v>69</v>
      </c>
      <c r="F391">
        <f t="shared" ca="1" si="62"/>
        <v>28</v>
      </c>
      <c r="G391">
        <f t="shared" ca="1" si="63"/>
        <v>0.79</v>
      </c>
      <c r="H391" s="1">
        <f t="shared" ca="1" si="64"/>
        <v>46314</v>
      </c>
      <c r="I391" s="1">
        <f t="shared" ca="1" si="65"/>
        <v>45952</v>
      </c>
      <c r="J391">
        <f t="shared" ca="1" si="66"/>
        <v>54.510000000000005</v>
      </c>
      <c r="K391" t="str">
        <f t="shared" ca="1" si="67"/>
        <v>In Stock</v>
      </c>
      <c r="L391" s="2">
        <f t="shared" ca="1" si="68"/>
        <v>195</v>
      </c>
      <c r="M391" t="str">
        <f t="shared" ca="1" si="69"/>
        <v>Safe</v>
      </c>
    </row>
    <row r="392" spans="1:13" x14ac:dyDescent="0.25">
      <c r="A392" t="str">
        <f t="shared" si="60"/>
        <v>M391</v>
      </c>
      <c r="B392" t="str" cm="1">
        <f t="array" aca="1" ref="B392" ca="1">INDEX({"Paracetamol","Amoxicillin","Ibuprofen","Cetirizine","Metformin","Amlodipine","Omeprazole","Azithromycin","Losartan","Vitamin C"}, RANDBETWEEN(1,10))</f>
        <v>Amlodipine</v>
      </c>
      <c r="C392" t="str" cm="1">
        <f t="array" aca="1" ref="C392" ca="1">INDEX({"Painkiller","Antibiotic","Painkiller","Antihistamine","Diabetes","Hypertension","Antacid","Antibiotic","Hypertension","Supplement"},
MATCH(B392,{"Paracetamol","Amoxicillin","Ibuprofen","Cetirizine","Metformin","Amlodipine","Omeprazole","Azithromycin","Losartan","Vitamin C"},0))</f>
        <v>Hypertension</v>
      </c>
      <c r="D392" t="str" cm="1">
        <f t="array" aca="1" ref="D392" ca="1">INDEX({"MedSupply Co","HealthCorp","PharmaPlus","GlobalMed"}, RANDBETWEEN(1,4))</f>
        <v>MedSupply Co</v>
      </c>
      <c r="E392">
        <f t="shared" ca="1" si="61"/>
        <v>172</v>
      </c>
      <c r="F392">
        <f t="shared" ca="1" si="62"/>
        <v>89</v>
      </c>
      <c r="G392">
        <f t="shared" ca="1" si="63"/>
        <v>1.77</v>
      </c>
      <c r="H392" s="1">
        <f t="shared" ca="1" si="64"/>
        <v>46477</v>
      </c>
      <c r="I392" s="1">
        <f t="shared" ca="1" si="65"/>
        <v>45951</v>
      </c>
      <c r="J392">
        <f t="shared" ca="1" si="66"/>
        <v>304.44</v>
      </c>
      <c r="K392" t="str">
        <f t="shared" ca="1" si="67"/>
        <v>In Stock</v>
      </c>
      <c r="L392" s="2">
        <f t="shared" ca="1" si="68"/>
        <v>358</v>
      </c>
      <c r="M392" t="str">
        <f t="shared" ca="1" si="69"/>
        <v>Safe</v>
      </c>
    </row>
    <row r="393" spans="1:13" x14ac:dyDescent="0.25">
      <c r="A393" t="str">
        <f t="shared" si="60"/>
        <v>M392</v>
      </c>
      <c r="B393" t="str" cm="1">
        <f t="array" aca="1" ref="B393" ca="1">INDEX({"Paracetamol","Amoxicillin","Ibuprofen","Cetirizine","Metformin","Amlodipine","Omeprazole","Azithromycin","Losartan","Vitamin C"}, RANDBETWEEN(1,10))</f>
        <v>Omeprazole</v>
      </c>
      <c r="C393" t="str" cm="1">
        <f t="array" aca="1" ref="C393" ca="1">INDEX({"Painkiller","Antibiotic","Painkiller","Antihistamine","Diabetes","Hypertension","Antacid","Antibiotic","Hypertension","Supplement"},
MATCH(B393,{"Paracetamol","Amoxicillin","Ibuprofen","Cetirizine","Metformin","Amlodipine","Omeprazole","Azithromycin","Losartan","Vitamin C"},0))</f>
        <v>Antacid</v>
      </c>
      <c r="D393" t="str" cm="1">
        <f t="array" aca="1" ref="D393" ca="1">INDEX({"MedSupply Co","HealthCorp","PharmaPlus","GlobalMed"}, RANDBETWEEN(1,4))</f>
        <v>GlobalMed</v>
      </c>
      <c r="E393">
        <f t="shared" ca="1" si="61"/>
        <v>134</v>
      </c>
      <c r="F393">
        <f t="shared" ca="1" si="62"/>
        <v>64</v>
      </c>
      <c r="G393">
        <f t="shared" ca="1" si="63"/>
        <v>1.35</v>
      </c>
      <c r="H393" s="1">
        <f t="shared" ca="1" si="64"/>
        <v>46165</v>
      </c>
      <c r="I393" s="1">
        <f t="shared" ca="1" si="65"/>
        <v>46076</v>
      </c>
      <c r="J393">
        <f t="shared" ca="1" si="66"/>
        <v>180.9</v>
      </c>
      <c r="K393" t="str">
        <f t="shared" ca="1" si="67"/>
        <v>In Stock</v>
      </c>
      <c r="L393" s="2">
        <f t="shared" ca="1" si="68"/>
        <v>46</v>
      </c>
      <c r="M393" t="str">
        <f t="shared" ca="1" si="69"/>
        <v>Safe</v>
      </c>
    </row>
    <row r="394" spans="1:13" x14ac:dyDescent="0.25">
      <c r="A394" t="str">
        <f t="shared" si="60"/>
        <v>M393</v>
      </c>
      <c r="B394" t="str" cm="1">
        <f t="array" aca="1" ref="B394" ca="1">INDEX({"Paracetamol","Amoxicillin","Ibuprofen","Cetirizine","Metformin","Amlodipine","Omeprazole","Azithromycin","Losartan","Vitamin C"}, RANDBETWEEN(1,10))</f>
        <v>Ibuprofen</v>
      </c>
      <c r="C394" t="str" cm="1">
        <f t="array" aca="1" ref="C394" ca="1">INDEX({"Painkiller","Antibiotic","Painkiller","Antihistamine","Diabetes","Hypertension","Antacid","Antibiotic","Hypertension","Supplement"},
MATCH(B394,{"Paracetamol","Amoxicillin","Ibuprofen","Cetirizine","Metformin","Amlodipine","Omeprazole","Azithromycin","Losartan","Vitamin C"},0))</f>
        <v>Painkiller</v>
      </c>
      <c r="D394" t="str" cm="1">
        <f t="array" aca="1" ref="D394" ca="1">INDEX({"MedSupply Co","HealthCorp","PharmaPlus","GlobalMed"}, RANDBETWEEN(1,4))</f>
        <v>HealthCorp</v>
      </c>
      <c r="E394">
        <f t="shared" ca="1" si="61"/>
        <v>29</v>
      </c>
      <c r="F394">
        <f t="shared" ca="1" si="62"/>
        <v>75</v>
      </c>
      <c r="G394">
        <f t="shared" ca="1" si="63"/>
        <v>1.1000000000000001</v>
      </c>
      <c r="H394" s="1">
        <f t="shared" ca="1" si="64"/>
        <v>46295</v>
      </c>
      <c r="I394" s="1">
        <f t="shared" ca="1" si="65"/>
        <v>45966</v>
      </c>
      <c r="J394">
        <f t="shared" ca="1" si="66"/>
        <v>31.900000000000002</v>
      </c>
      <c r="K394" t="str">
        <f t="shared" ca="1" si="67"/>
        <v>Low Stock</v>
      </c>
      <c r="L394" s="2">
        <f t="shared" ca="1" si="68"/>
        <v>176</v>
      </c>
      <c r="M394" t="str">
        <f t="shared" ca="1" si="69"/>
        <v>Safe</v>
      </c>
    </row>
    <row r="395" spans="1:13" x14ac:dyDescent="0.25">
      <c r="A395" t="str">
        <f t="shared" si="60"/>
        <v>M394</v>
      </c>
      <c r="B395" t="str" cm="1">
        <f t="array" aca="1" ref="B395" ca="1">INDEX({"Paracetamol","Amoxicillin","Ibuprofen","Cetirizine","Metformin","Amlodipine","Omeprazole","Azithromycin","Losartan","Vitamin C"}, RANDBETWEEN(1,10))</f>
        <v>Paracetamol</v>
      </c>
      <c r="C395" t="str" cm="1">
        <f t="array" aca="1" ref="C395" ca="1">INDEX({"Painkiller","Antibiotic","Painkiller","Antihistamine","Diabetes","Hypertension","Antacid","Antibiotic","Hypertension","Supplement"},
MATCH(B395,{"Paracetamol","Amoxicillin","Ibuprofen","Cetirizine","Metformin","Amlodipine","Omeprazole","Azithromycin","Losartan","Vitamin C"},0))</f>
        <v>Painkiller</v>
      </c>
      <c r="D395" t="str" cm="1">
        <f t="array" aca="1" ref="D395" ca="1">INDEX({"MedSupply Co","HealthCorp","PharmaPlus","GlobalMed"}, RANDBETWEEN(1,4))</f>
        <v>GlobalMed</v>
      </c>
      <c r="E395">
        <f t="shared" ca="1" si="61"/>
        <v>102</v>
      </c>
      <c r="F395">
        <f t="shared" ca="1" si="62"/>
        <v>39</v>
      </c>
      <c r="G395">
        <f t="shared" ca="1" si="63"/>
        <v>1.05</v>
      </c>
      <c r="H395" s="1">
        <f t="shared" ca="1" si="64"/>
        <v>46317</v>
      </c>
      <c r="I395" s="1">
        <f t="shared" ca="1" si="65"/>
        <v>46076</v>
      </c>
      <c r="J395">
        <f t="shared" ca="1" si="66"/>
        <v>107.10000000000001</v>
      </c>
      <c r="K395" t="str">
        <f t="shared" ca="1" si="67"/>
        <v>In Stock</v>
      </c>
      <c r="L395" s="2">
        <f t="shared" ca="1" si="68"/>
        <v>198</v>
      </c>
      <c r="M395" t="str">
        <f t="shared" ca="1" si="69"/>
        <v>Safe</v>
      </c>
    </row>
    <row r="396" spans="1:13" x14ac:dyDescent="0.25">
      <c r="A396" t="str">
        <f t="shared" si="60"/>
        <v>M395</v>
      </c>
      <c r="B396" t="str" cm="1">
        <f t="array" aca="1" ref="B396" ca="1">INDEX({"Paracetamol","Amoxicillin","Ibuprofen","Cetirizine","Metformin","Amlodipine","Omeprazole","Azithromycin","Losartan","Vitamin C"}, RANDBETWEEN(1,10))</f>
        <v>Paracetamol</v>
      </c>
      <c r="C396" t="str" cm="1">
        <f t="array" aca="1" ref="C396" ca="1">INDEX({"Painkiller","Antibiotic","Painkiller","Antihistamine","Diabetes","Hypertension","Antacid","Antibiotic","Hypertension","Supplement"},
MATCH(B396,{"Paracetamol","Amoxicillin","Ibuprofen","Cetirizine","Metformin","Amlodipine","Omeprazole","Azithromycin","Losartan","Vitamin C"},0))</f>
        <v>Painkiller</v>
      </c>
      <c r="D396" t="str" cm="1">
        <f t="array" aca="1" ref="D396" ca="1">INDEX({"MedSupply Co","HealthCorp","PharmaPlus","GlobalMed"}, RANDBETWEEN(1,4))</f>
        <v>HealthCorp</v>
      </c>
      <c r="E396">
        <f t="shared" ca="1" si="61"/>
        <v>91</v>
      </c>
      <c r="F396">
        <f t="shared" ca="1" si="62"/>
        <v>44</v>
      </c>
      <c r="G396">
        <f t="shared" ca="1" si="63"/>
        <v>1.22</v>
      </c>
      <c r="H396" s="1">
        <f t="shared" ca="1" si="64"/>
        <v>46196</v>
      </c>
      <c r="I396" s="1">
        <f t="shared" ca="1" si="65"/>
        <v>46012</v>
      </c>
      <c r="J396">
        <f t="shared" ca="1" si="66"/>
        <v>111.02</v>
      </c>
      <c r="K396" t="str">
        <f t="shared" ca="1" si="67"/>
        <v>In Stock</v>
      </c>
      <c r="L396" s="2">
        <f t="shared" ca="1" si="68"/>
        <v>77</v>
      </c>
      <c r="M396" t="str">
        <f t="shared" ca="1" si="69"/>
        <v>Safe</v>
      </c>
    </row>
    <row r="397" spans="1:13" x14ac:dyDescent="0.25">
      <c r="A397" t="str">
        <f t="shared" si="60"/>
        <v>M396</v>
      </c>
      <c r="B397" t="str" cm="1">
        <f t="array" aca="1" ref="B397" ca="1">INDEX({"Paracetamol","Amoxicillin","Ibuprofen","Cetirizine","Metformin","Amlodipine","Omeprazole","Azithromycin","Losartan","Vitamin C"}, RANDBETWEEN(1,10))</f>
        <v>Losartan</v>
      </c>
      <c r="C397" t="str" cm="1">
        <f t="array" aca="1" ref="C397" ca="1">INDEX({"Painkiller","Antibiotic","Painkiller","Antihistamine","Diabetes","Hypertension","Antacid","Antibiotic","Hypertension","Supplement"},
MATCH(B397,{"Paracetamol","Amoxicillin","Ibuprofen","Cetirizine","Metformin","Amlodipine","Omeprazole","Azithromycin","Losartan","Vitamin C"},0))</f>
        <v>Hypertension</v>
      </c>
      <c r="D397" t="str" cm="1">
        <f t="array" aca="1" ref="D397" ca="1">INDEX({"MedSupply Co","HealthCorp","PharmaPlus","GlobalMed"}, RANDBETWEEN(1,4))</f>
        <v>MedSupply Co</v>
      </c>
      <c r="E397">
        <f t="shared" ca="1" si="61"/>
        <v>24</v>
      </c>
      <c r="F397">
        <f t="shared" ca="1" si="62"/>
        <v>65</v>
      </c>
      <c r="G397">
        <f t="shared" ca="1" si="63"/>
        <v>1.86</v>
      </c>
      <c r="H397" s="1">
        <f t="shared" ca="1" si="64"/>
        <v>46279</v>
      </c>
      <c r="I397" s="1">
        <f t="shared" ca="1" si="65"/>
        <v>46079</v>
      </c>
      <c r="J397">
        <f t="shared" ca="1" si="66"/>
        <v>44.64</v>
      </c>
      <c r="K397" t="str">
        <f t="shared" ca="1" si="67"/>
        <v>Low Stock</v>
      </c>
      <c r="L397" s="2">
        <f t="shared" ca="1" si="68"/>
        <v>160</v>
      </c>
      <c r="M397" t="str">
        <f t="shared" ca="1" si="69"/>
        <v>Safe</v>
      </c>
    </row>
    <row r="398" spans="1:13" x14ac:dyDescent="0.25">
      <c r="A398" t="str">
        <f t="shared" si="60"/>
        <v>M397</v>
      </c>
      <c r="B398" t="str" cm="1">
        <f t="array" aca="1" ref="B398" ca="1">INDEX({"Paracetamol","Amoxicillin","Ibuprofen","Cetirizine","Metformin","Amlodipine","Omeprazole","Azithromycin","Losartan","Vitamin C"}, RANDBETWEEN(1,10))</f>
        <v>Losartan</v>
      </c>
      <c r="C398" t="str" cm="1">
        <f t="array" aca="1" ref="C398" ca="1">INDEX({"Painkiller","Antibiotic","Painkiller","Antihistamine","Diabetes","Hypertension","Antacid","Antibiotic","Hypertension","Supplement"},
MATCH(B398,{"Paracetamol","Amoxicillin","Ibuprofen","Cetirizine","Metformin","Amlodipine","Omeprazole","Azithromycin","Losartan","Vitamin C"},0))</f>
        <v>Hypertension</v>
      </c>
      <c r="D398" t="str" cm="1">
        <f t="array" aca="1" ref="D398" ca="1">INDEX({"MedSupply Co","HealthCorp","PharmaPlus","GlobalMed"}, RANDBETWEEN(1,4))</f>
        <v>HealthCorp</v>
      </c>
      <c r="E398">
        <f t="shared" ca="1" si="61"/>
        <v>118</v>
      </c>
      <c r="F398">
        <f t="shared" ca="1" si="62"/>
        <v>30</v>
      </c>
      <c r="G398">
        <f t="shared" ca="1" si="63"/>
        <v>1.69</v>
      </c>
      <c r="H398" s="1">
        <f t="shared" ca="1" si="64"/>
        <v>46224</v>
      </c>
      <c r="I398" s="1">
        <f t="shared" ca="1" si="65"/>
        <v>46024</v>
      </c>
      <c r="J398">
        <f t="shared" ca="1" si="66"/>
        <v>199.42</v>
      </c>
      <c r="K398" t="str">
        <f t="shared" ca="1" si="67"/>
        <v>In Stock</v>
      </c>
      <c r="L398" s="2">
        <f t="shared" ca="1" si="68"/>
        <v>105</v>
      </c>
      <c r="M398" t="str">
        <f t="shared" ca="1" si="69"/>
        <v>Safe</v>
      </c>
    </row>
    <row r="399" spans="1:13" x14ac:dyDescent="0.25">
      <c r="A399" t="str">
        <f t="shared" si="60"/>
        <v>M398</v>
      </c>
      <c r="B399" t="str" cm="1">
        <f t="array" aca="1" ref="B399" ca="1">INDEX({"Paracetamol","Amoxicillin","Ibuprofen","Cetirizine","Metformin","Amlodipine","Omeprazole","Azithromycin","Losartan","Vitamin C"}, RANDBETWEEN(1,10))</f>
        <v>Vitamin C</v>
      </c>
      <c r="C399" t="str" cm="1">
        <f t="array" aca="1" ref="C399" ca="1">INDEX({"Painkiller","Antibiotic","Painkiller","Antihistamine","Diabetes","Hypertension","Antacid","Antibiotic","Hypertension","Supplement"},
MATCH(B399,{"Paracetamol","Amoxicillin","Ibuprofen","Cetirizine","Metformin","Amlodipine","Omeprazole","Azithromycin","Losartan","Vitamin C"},0))</f>
        <v>Supplement</v>
      </c>
      <c r="D399" t="str" cm="1">
        <f t="array" aca="1" ref="D399" ca="1">INDEX({"MedSupply Co","HealthCorp","PharmaPlus","GlobalMed"}, RANDBETWEEN(1,4))</f>
        <v>GlobalMed</v>
      </c>
      <c r="E399">
        <f t="shared" ca="1" si="61"/>
        <v>138</v>
      </c>
      <c r="F399">
        <f t="shared" ca="1" si="62"/>
        <v>20</v>
      </c>
      <c r="G399">
        <f t="shared" ca="1" si="63"/>
        <v>0.72</v>
      </c>
      <c r="H399" s="1">
        <f t="shared" ca="1" si="64"/>
        <v>46217</v>
      </c>
      <c r="I399" s="1">
        <f t="shared" ca="1" si="65"/>
        <v>45959</v>
      </c>
      <c r="J399">
        <f t="shared" ca="1" si="66"/>
        <v>99.36</v>
      </c>
      <c r="K399" t="str">
        <f t="shared" ca="1" si="67"/>
        <v>In Stock</v>
      </c>
      <c r="L399" s="2">
        <f t="shared" ca="1" si="68"/>
        <v>98</v>
      </c>
      <c r="M399" t="str">
        <f t="shared" ca="1" si="69"/>
        <v>Safe</v>
      </c>
    </row>
    <row r="400" spans="1:13" x14ac:dyDescent="0.25">
      <c r="A400" t="str">
        <f t="shared" si="60"/>
        <v>M399</v>
      </c>
      <c r="B400" t="str" cm="1">
        <f t="array" aca="1" ref="B400" ca="1">INDEX({"Paracetamol","Amoxicillin","Ibuprofen","Cetirizine","Metformin","Amlodipine","Omeprazole","Azithromycin","Losartan","Vitamin C"}, RANDBETWEEN(1,10))</f>
        <v>Azithromycin</v>
      </c>
      <c r="C400" t="str" cm="1">
        <f t="array" aca="1" ref="C400" ca="1">INDEX({"Painkiller","Antibiotic","Painkiller","Antihistamine","Diabetes","Hypertension","Antacid","Antibiotic","Hypertension","Supplement"},
MATCH(B400,{"Paracetamol","Amoxicillin","Ibuprofen","Cetirizine","Metformin","Amlodipine","Omeprazole","Azithromycin","Losartan","Vitamin C"},0))</f>
        <v>Antibiotic</v>
      </c>
      <c r="D400" t="str" cm="1">
        <f t="array" aca="1" ref="D400" ca="1">INDEX({"MedSupply Co","HealthCorp","PharmaPlus","GlobalMed"}, RANDBETWEEN(1,4))</f>
        <v>PharmaPlus</v>
      </c>
      <c r="E400">
        <f t="shared" ca="1" si="61"/>
        <v>87</v>
      </c>
      <c r="F400">
        <f t="shared" ca="1" si="62"/>
        <v>96</v>
      </c>
      <c r="G400">
        <f t="shared" ca="1" si="63"/>
        <v>1.98</v>
      </c>
      <c r="H400" s="1">
        <f t="shared" ca="1" si="64"/>
        <v>46284</v>
      </c>
      <c r="I400" s="1">
        <f t="shared" ca="1" si="65"/>
        <v>45954</v>
      </c>
      <c r="J400">
        <f t="shared" ca="1" si="66"/>
        <v>172.26</v>
      </c>
      <c r="K400" t="str">
        <f t="shared" ca="1" si="67"/>
        <v>Low Stock</v>
      </c>
      <c r="L400" s="2">
        <f t="shared" ca="1" si="68"/>
        <v>165</v>
      </c>
      <c r="M400" t="str">
        <f t="shared" ca="1" si="69"/>
        <v>Safe</v>
      </c>
    </row>
    <row r="401" spans="1:13" x14ac:dyDescent="0.25">
      <c r="A401" t="str">
        <f t="shared" si="60"/>
        <v>M400</v>
      </c>
      <c r="B401" t="str" cm="1">
        <f t="array" aca="1" ref="B401" ca="1">INDEX({"Paracetamol","Amoxicillin","Ibuprofen","Cetirizine","Metformin","Amlodipine","Omeprazole","Azithromycin","Losartan","Vitamin C"}, RANDBETWEEN(1,10))</f>
        <v>Paracetamol</v>
      </c>
      <c r="C401" t="str" cm="1">
        <f t="array" aca="1" ref="C401" ca="1">INDEX({"Painkiller","Antibiotic","Painkiller","Antihistamine","Diabetes","Hypertension","Antacid","Antibiotic","Hypertension","Supplement"},
MATCH(B401,{"Paracetamol","Amoxicillin","Ibuprofen","Cetirizine","Metformin","Amlodipine","Omeprazole","Azithromycin","Losartan","Vitamin C"},0))</f>
        <v>Painkiller</v>
      </c>
      <c r="D401" t="str" cm="1">
        <f t="array" aca="1" ref="D401" ca="1">INDEX({"MedSupply Co","HealthCorp","PharmaPlus","GlobalMed"}, RANDBETWEEN(1,4))</f>
        <v>PharmaPlus</v>
      </c>
      <c r="E401">
        <f t="shared" ca="1" si="61"/>
        <v>37</v>
      </c>
      <c r="F401">
        <f t="shared" ca="1" si="62"/>
        <v>85</v>
      </c>
      <c r="G401">
        <f t="shared" ca="1" si="63"/>
        <v>0.69</v>
      </c>
      <c r="H401" s="1">
        <f t="shared" ca="1" si="64"/>
        <v>46450</v>
      </c>
      <c r="I401" s="1">
        <f t="shared" ca="1" si="65"/>
        <v>45986</v>
      </c>
      <c r="J401">
        <f t="shared" ca="1" si="66"/>
        <v>25.529999999999998</v>
      </c>
      <c r="K401" t="str">
        <f t="shared" ca="1" si="67"/>
        <v>Low Stock</v>
      </c>
      <c r="L401" s="2">
        <f t="shared" ca="1" si="68"/>
        <v>331</v>
      </c>
      <c r="M401" t="str">
        <f t="shared" ca="1" si="69"/>
        <v>Safe</v>
      </c>
    </row>
    <row r="402" spans="1:13" x14ac:dyDescent="0.25">
      <c r="A402" t="str">
        <f t="shared" si="60"/>
        <v>M401</v>
      </c>
      <c r="B402" t="str" cm="1">
        <f t="array" aca="1" ref="B402" ca="1">INDEX({"Paracetamol","Amoxicillin","Ibuprofen","Cetirizine","Metformin","Amlodipine","Omeprazole","Azithromycin","Losartan","Vitamin C"}, RANDBETWEEN(1,10))</f>
        <v>Losartan</v>
      </c>
      <c r="C402" t="str" cm="1">
        <f t="array" aca="1" ref="C402" ca="1">INDEX({"Painkiller","Antibiotic","Painkiller","Antihistamine","Diabetes","Hypertension","Antacid","Antibiotic","Hypertension","Supplement"},
MATCH(B402,{"Paracetamol","Amoxicillin","Ibuprofen","Cetirizine","Metformin","Amlodipine","Omeprazole","Azithromycin","Losartan","Vitamin C"},0))</f>
        <v>Hypertension</v>
      </c>
      <c r="D402" t="str" cm="1">
        <f t="array" aca="1" ref="D402" ca="1">INDEX({"MedSupply Co","HealthCorp","PharmaPlus","GlobalMed"}, RANDBETWEEN(1,4))</f>
        <v>MedSupply Co</v>
      </c>
      <c r="E402">
        <f t="shared" ca="1" si="61"/>
        <v>147</v>
      </c>
      <c r="F402">
        <f t="shared" ca="1" si="62"/>
        <v>59</v>
      </c>
      <c r="G402">
        <f t="shared" ca="1" si="63"/>
        <v>0.67</v>
      </c>
      <c r="H402" s="1">
        <f t="shared" ca="1" si="64"/>
        <v>46248</v>
      </c>
      <c r="I402" s="1">
        <f t="shared" ca="1" si="65"/>
        <v>45985</v>
      </c>
      <c r="J402">
        <f t="shared" ca="1" si="66"/>
        <v>98.490000000000009</v>
      </c>
      <c r="K402" t="str">
        <f t="shared" ca="1" si="67"/>
        <v>In Stock</v>
      </c>
      <c r="L402" s="2">
        <f t="shared" ca="1" si="68"/>
        <v>129</v>
      </c>
      <c r="M402" t="str">
        <f t="shared" ca="1" si="69"/>
        <v>Safe</v>
      </c>
    </row>
    <row r="403" spans="1:13" x14ac:dyDescent="0.25">
      <c r="A403" t="str">
        <f t="shared" si="60"/>
        <v>M402</v>
      </c>
      <c r="B403" t="str" cm="1">
        <f t="array" aca="1" ref="B403" ca="1">INDEX({"Paracetamol","Amoxicillin","Ibuprofen","Cetirizine","Metformin","Amlodipine","Omeprazole","Azithromycin","Losartan","Vitamin C"}, RANDBETWEEN(1,10))</f>
        <v>Ibuprofen</v>
      </c>
      <c r="C403" t="str" cm="1">
        <f t="array" aca="1" ref="C403" ca="1">INDEX({"Painkiller","Antibiotic","Painkiller","Antihistamine","Diabetes","Hypertension","Antacid","Antibiotic","Hypertension","Supplement"},
MATCH(B403,{"Paracetamol","Amoxicillin","Ibuprofen","Cetirizine","Metformin","Amlodipine","Omeprazole","Azithromycin","Losartan","Vitamin C"},0))</f>
        <v>Painkiller</v>
      </c>
      <c r="D403" t="str" cm="1">
        <f t="array" aca="1" ref="D403" ca="1">INDEX({"MedSupply Co","HealthCorp","PharmaPlus","GlobalMed"}, RANDBETWEEN(1,4))</f>
        <v>PharmaPlus</v>
      </c>
      <c r="E403">
        <f t="shared" ca="1" si="61"/>
        <v>4</v>
      </c>
      <c r="F403">
        <f t="shared" ca="1" si="62"/>
        <v>47</v>
      </c>
      <c r="G403">
        <f t="shared" ca="1" si="63"/>
        <v>1.23</v>
      </c>
      <c r="H403" s="1">
        <f t="shared" ca="1" si="64"/>
        <v>46151</v>
      </c>
      <c r="I403" s="1">
        <f t="shared" ca="1" si="65"/>
        <v>46069</v>
      </c>
      <c r="J403">
        <f t="shared" ca="1" si="66"/>
        <v>4.92</v>
      </c>
      <c r="K403" t="str">
        <f t="shared" ca="1" si="67"/>
        <v>Low Stock</v>
      </c>
      <c r="L403" s="2">
        <f t="shared" ca="1" si="68"/>
        <v>32</v>
      </c>
      <c r="M403" t="str">
        <f t="shared" ca="1" si="69"/>
        <v>Safe</v>
      </c>
    </row>
    <row r="404" spans="1:13" x14ac:dyDescent="0.25">
      <c r="A404" t="str">
        <f t="shared" si="60"/>
        <v>M403</v>
      </c>
      <c r="B404" t="str" cm="1">
        <f t="array" aca="1" ref="B404" ca="1">INDEX({"Paracetamol","Amoxicillin","Ibuprofen","Cetirizine","Metformin","Amlodipine","Omeprazole","Azithromycin","Losartan","Vitamin C"}, RANDBETWEEN(1,10))</f>
        <v>Vitamin C</v>
      </c>
      <c r="C404" t="str" cm="1">
        <f t="array" aca="1" ref="C404" ca="1">INDEX({"Painkiller","Antibiotic","Painkiller","Antihistamine","Diabetes","Hypertension","Antacid","Antibiotic","Hypertension","Supplement"},
MATCH(B404,{"Paracetamol","Amoxicillin","Ibuprofen","Cetirizine","Metformin","Amlodipine","Omeprazole","Azithromycin","Losartan","Vitamin C"},0))</f>
        <v>Supplement</v>
      </c>
      <c r="D404" t="str" cm="1">
        <f t="array" aca="1" ref="D404" ca="1">INDEX({"MedSupply Co","HealthCorp","PharmaPlus","GlobalMed"}, RANDBETWEEN(1,4))</f>
        <v>PharmaPlus</v>
      </c>
      <c r="E404">
        <f t="shared" ca="1" si="61"/>
        <v>67</v>
      </c>
      <c r="F404">
        <f t="shared" ca="1" si="62"/>
        <v>26</v>
      </c>
      <c r="G404">
        <f t="shared" ca="1" si="63"/>
        <v>1.62</v>
      </c>
      <c r="H404" s="1">
        <f t="shared" ca="1" si="64"/>
        <v>46470</v>
      </c>
      <c r="I404" s="1">
        <f t="shared" ca="1" si="65"/>
        <v>46096</v>
      </c>
      <c r="J404">
        <f t="shared" ca="1" si="66"/>
        <v>108.54</v>
      </c>
      <c r="K404" t="str">
        <f t="shared" ca="1" si="67"/>
        <v>In Stock</v>
      </c>
      <c r="L404" s="2">
        <f t="shared" ca="1" si="68"/>
        <v>351</v>
      </c>
      <c r="M404" t="str">
        <f t="shared" ca="1" si="69"/>
        <v>Safe</v>
      </c>
    </row>
    <row r="405" spans="1:13" x14ac:dyDescent="0.25">
      <c r="A405" t="str">
        <f t="shared" si="60"/>
        <v>M404</v>
      </c>
      <c r="B405" t="str" cm="1">
        <f t="array" aca="1" ref="B405" ca="1">INDEX({"Paracetamol","Amoxicillin","Ibuprofen","Cetirizine","Metformin","Amlodipine","Omeprazole","Azithromycin","Losartan","Vitamin C"}, RANDBETWEEN(1,10))</f>
        <v>Paracetamol</v>
      </c>
      <c r="C405" t="str" cm="1">
        <f t="array" aca="1" ref="C405" ca="1">INDEX({"Painkiller","Antibiotic","Painkiller","Antihistamine","Diabetes","Hypertension","Antacid","Antibiotic","Hypertension","Supplement"},
MATCH(B405,{"Paracetamol","Amoxicillin","Ibuprofen","Cetirizine","Metformin","Amlodipine","Omeprazole","Azithromycin","Losartan","Vitamin C"},0))</f>
        <v>Painkiller</v>
      </c>
      <c r="D405" t="str" cm="1">
        <f t="array" aca="1" ref="D405" ca="1">INDEX({"MedSupply Co","HealthCorp","PharmaPlus","GlobalMed"}, RANDBETWEEN(1,4))</f>
        <v>GlobalMed</v>
      </c>
      <c r="E405">
        <f t="shared" ca="1" si="61"/>
        <v>180</v>
      </c>
      <c r="F405">
        <f t="shared" ca="1" si="62"/>
        <v>61</v>
      </c>
      <c r="G405">
        <f t="shared" ca="1" si="63"/>
        <v>1.94</v>
      </c>
      <c r="H405" s="1">
        <f t="shared" ca="1" si="64"/>
        <v>46382</v>
      </c>
      <c r="I405" s="1">
        <f t="shared" ca="1" si="65"/>
        <v>46003</v>
      </c>
      <c r="J405">
        <f t="shared" ca="1" si="66"/>
        <v>349.2</v>
      </c>
      <c r="K405" t="str">
        <f t="shared" ca="1" si="67"/>
        <v>In Stock</v>
      </c>
      <c r="L405" s="2">
        <f t="shared" ca="1" si="68"/>
        <v>263</v>
      </c>
      <c r="M405" t="str">
        <f t="shared" ca="1" si="69"/>
        <v>Safe</v>
      </c>
    </row>
    <row r="406" spans="1:13" x14ac:dyDescent="0.25">
      <c r="A406" t="str">
        <f t="shared" si="60"/>
        <v>M405</v>
      </c>
      <c r="B406" t="str" cm="1">
        <f t="array" aca="1" ref="B406" ca="1">INDEX({"Paracetamol","Amoxicillin","Ibuprofen","Cetirizine","Metformin","Amlodipine","Omeprazole","Azithromycin","Losartan","Vitamin C"}, RANDBETWEEN(1,10))</f>
        <v>Cetirizine</v>
      </c>
      <c r="C406" t="str" cm="1">
        <f t="array" aca="1" ref="C406" ca="1">INDEX({"Painkiller","Antibiotic","Painkiller","Antihistamine","Diabetes","Hypertension","Antacid","Antibiotic","Hypertension","Supplement"},
MATCH(B406,{"Paracetamol","Amoxicillin","Ibuprofen","Cetirizine","Metformin","Amlodipine","Omeprazole","Azithromycin","Losartan","Vitamin C"},0))</f>
        <v>Antihistamine</v>
      </c>
      <c r="D406" t="str" cm="1">
        <f t="array" aca="1" ref="D406" ca="1">INDEX({"MedSupply Co","HealthCorp","PharmaPlus","GlobalMed"}, RANDBETWEEN(1,4))</f>
        <v>MedSupply Co</v>
      </c>
      <c r="E406">
        <f t="shared" ca="1" si="61"/>
        <v>111</v>
      </c>
      <c r="F406">
        <f t="shared" ca="1" si="62"/>
        <v>54</v>
      </c>
      <c r="G406">
        <f t="shared" ca="1" si="63"/>
        <v>1.62</v>
      </c>
      <c r="H406" s="1">
        <f t="shared" ca="1" si="64"/>
        <v>46450</v>
      </c>
      <c r="I406" s="1">
        <f t="shared" ca="1" si="65"/>
        <v>45994</v>
      </c>
      <c r="J406">
        <f t="shared" ca="1" si="66"/>
        <v>179.82000000000002</v>
      </c>
      <c r="K406" t="str">
        <f t="shared" ca="1" si="67"/>
        <v>In Stock</v>
      </c>
      <c r="L406" s="2">
        <f t="shared" ca="1" si="68"/>
        <v>331</v>
      </c>
      <c r="M406" t="str">
        <f t="shared" ca="1" si="69"/>
        <v>Safe</v>
      </c>
    </row>
    <row r="407" spans="1:13" x14ac:dyDescent="0.25">
      <c r="A407" t="str">
        <f t="shared" si="60"/>
        <v>M406</v>
      </c>
      <c r="B407" t="str" cm="1">
        <f t="array" aca="1" ref="B407" ca="1">INDEX({"Paracetamol","Amoxicillin","Ibuprofen","Cetirizine","Metformin","Amlodipine","Omeprazole","Azithromycin","Losartan","Vitamin C"}, RANDBETWEEN(1,10))</f>
        <v>Omeprazole</v>
      </c>
      <c r="C407" t="str" cm="1">
        <f t="array" aca="1" ref="C407" ca="1">INDEX({"Painkiller","Antibiotic","Painkiller","Antihistamine","Diabetes","Hypertension","Antacid","Antibiotic","Hypertension","Supplement"},
MATCH(B407,{"Paracetamol","Amoxicillin","Ibuprofen","Cetirizine","Metformin","Amlodipine","Omeprazole","Azithromycin","Losartan","Vitamin C"},0))</f>
        <v>Antacid</v>
      </c>
      <c r="D407" t="str" cm="1">
        <f t="array" aca="1" ref="D407" ca="1">INDEX({"MedSupply Co","HealthCorp","PharmaPlus","GlobalMed"}, RANDBETWEEN(1,4))</f>
        <v>PharmaPlus</v>
      </c>
      <c r="E407">
        <f t="shared" ca="1" si="61"/>
        <v>89</v>
      </c>
      <c r="F407">
        <f t="shared" ca="1" si="62"/>
        <v>42</v>
      </c>
      <c r="G407">
        <f t="shared" ca="1" si="63"/>
        <v>1.93</v>
      </c>
      <c r="H407" s="1">
        <f t="shared" ca="1" si="64"/>
        <v>46337</v>
      </c>
      <c r="I407" s="1">
        <f t="shared" ca="1" si="65"/>
        <v>46069</v>
      </c>
      <c r="J407">
        <f t="shared" ca="1" si="66"/>
        <v>171.76999999999998</v>
      </c>
      <c r="K407" t="str">
        <f t="shared" ca="1" si="67"/>
        <v>In Stock</v>
      </c>
      <c r="L407" s="2">
        <f t="shared" ca="1" si="68"/>
        <v>218</v>
      </c>
      <c r="M407" t="str">
        <f t="shared" ca="1" si="69"/>
        <v>Safe</v>
      </c>
    </row>
    <row r="408" spans="1:13" x14ac:dyDescent="0.25">
      <c r="A408" t="str">
        <f t="shared" si="60"/>
        <v>M407</v>
      </c>
      <c r="B408" t="str" cm="1">
        <f t="array" aca="1" ref="B408" ca="1">INDEX({"Paracetamol","Amoxicillin","Ibuprofen","Cetirizine","Metformin","Amlodipine","Omeprazole","Azithromycin","Losartan","Vitamin C"}, RANDBETWEEN(1,10))</f>
        <v>Cetirizine</v>
      </c>
      <c r="C408" t="str" cm="1">
        <f t="array" aca="1" ref="C408" ca="1">INDEX({"Painkiller","Antibiotic","Painkiller","Antihistamine","Diabetes","Hypertension","Antacid","Antibiotic","Hypertension","Supplement"},
MATCH(B408,{"Paracetamol","Amoxicillin","Ibuprofen","Cetirizine","Metformin","Amlodipine","Omeprazole","Azithromycin","Losartan","Vitamin C"},0))</f>
        <v>Antihistamine</v>
      </c>
      <c r="D408" t="str" cm="1">
        <f t="array" aca="1" ref="D408" ca="1">INDEX({"MedSupply Co","HealthCorp","PharmaPlus","GlobalMed"}, RANDBETWEEN(1,4))</f>
        <v>HealthCorp</v>
      </c>
      <c r="E408">
        <f t="shared" ca="1" si="61"/>
        <v>129</v>
      </c>
      <c r="F408">
        <f t="shared" ca="1" si="62"/>
        <v>68</v>
      </c>
      <c r="G408">
        <f t="shared" ca="1" si="63"/>
        <v>1.61</v>
      </c>
      <c r="H408" s="1">
        <f t="shared" ca="1" si="64"/>
        <v>46447</v>
      </c>
      <c r="I408" s="1">
        <f t="shared" ca="1" si="65"/>
        <v>45958</v>
      </c>
      <c r="J408">
        <f t="shared" ca="1" si="66"/>
        <v>207.69000000000003</v>
      </c>
      <c r="K408" t="str">
        <f t="shared" ca="1" si="67"/>
        <v>In Stock</v>
      </c>
      <c r="L408" s="2">
        <f t="shared" ca="1" si="68"/>
        <v>328</v>
      </c>
      <c r="M408" t="str">
        <f t="shared" ca="1" si="69"/>
        <v>Safe</v>
      </c>
    </row>
    <row r="409" spans="1:13" x14ac:dyDescent="0.25">
      <c r="A409" t="str">
        <f t="shared" si="60"/>
        <v>M408</v>
      </c>
      <c r="B409" t="str" cm="1">
        <f t="array" aca="1" ref="B409" ca="1">INDEX({"Paracetamol","Amoxicillin","Ibuprofen","Cetirizine","Metformin","Amlodipine","Omeprazole","Azithromycin","Losartan","Vitamin C"}, RANDBETWEEN(1,10))</f>
        <v>Losartan</v>
      </c>
      <c r="C409" t="str" cm="1">
        <f t="array" aca="1" ref="C409" ca="1">INDEX({"Painkiller","Antibiotic","Painkiller","Antihistamine","Diabetes","Hypertension","Antacid","Antibiotic","Hypertension","Supplement"},
MATCH(B409,{"Paracetamol","Amoxicillin","Ibuprofen","Cetirizine","Metformin","Amlodipine","Omeprazole","Azithromycin","Losartan","Vitamin C"},0))</f>
        <v>Hypertension</v>
      </c>
      <c r="D409" t="str" cm="1">
        <f t="array" aca="1" ref="D409" ca="1">INDEX({"MedSupply Co","HealthCorp","PharmaPlus","GlobalMed"}, RANDBETWEEN(1,4))</f>
        <v>PharmaPlus</v>
      </c>
      <c r="E409">
        <f t="shared" ca="1" si="61"/>
        <v>2</v>
      </c>
      <c r="F409">
        <f t="shared" ca="1" si="62"/>
        <v>38</v>
      </c>
      <c r="G409">
        <f t="shared" ca="1" si="63"/>
        <v>1.88</v>
      </c>
      <c r="H409" s="1">
        <f t="shared" ca="1" si="64"/>
        <v>46340</v>
      </c>
      <c r="I409" s="1">
        <f t="shared" ca="1" si="65"/>
        <v>46115</v>
      </c>
      <c r="J409">
        <f t="shared" ca="1" si="66"/>
        <v>3.76</v>
      </c>
      <c r="K409" t="str">
        <f t="shared" ca="1" si="67"/>
        <v>Low Stock</v>
      </c>
      <c r="L409" s="2">
        <f t="shared" ca="1" si="68"/>
        <v>221</v>
      </c>
      <c r="M409" t="str">
        <f t="shared" ca="1" si="69"/>
        <v>Safe</v>
      </c>
    </row>
    <row r="410" spans="1:13" x14ac:dyDescent="0.25">
      <c r="A410" t="str">
        <f t="shared" si="60"/>
        <v>M409</v>
      </c>
      <c r="B410" t="str" cm="1">
        <f t="array" aca="1" ref="B410" ca="1">INDEX({"Paracetamol","Amoxicillin","Ibuprofen","Cetirizine","Metformin","Amlodipine","Omeprazole","Azithromycin","Losartan","Vitamin C"}, RANDBETWEEN(1,10))</f>
        <v>Losartan</v>
      </c>
      <c r="C410" t="str" cm="1">
        <f t="array" aca="1" ref="C410" ca="1">INDEX({"Painkiller","Antibiotic","Painkiller","Antihistamine","Diabetes","Hypertension","Antacid","Antibiotic","Hypertension","Supplement"},
MATCH(B410,{"Paracetamol","Amoxicillin","Ibuprofen","Cetirizine","Metformin","Amlodipine","Omeprazole","Azithromycin","Losartan","Vitamin C"},0))</f>
        <v>Hypertension</v>
      </c>
      <c r="D410" t="str" cm="1">
        <f t="array" aca="1" ref="D410" ca="1">INDEX({"MedSupply Co","HealthCorp","PharmaPlus","GlobalMed"}, RANDBETWEEN(1,4))</f>
        <v>GlobalMed</v>
      </c>
      <c r="E410">
        <f t="shared" ca="1" si="61"/>
        <v>199</v>
      </c>
      <c r="F410">
        <f t="shared" ca="1" si="62"/>
        <v>85</v>
      </c>
      <c r="G410">
        <f t="shared" ca="1" si="63"/>
        <v>0.92</v>
      </c>
      <c r="H410" s="1">
        <f t="shared" ca="1" si="64"/>
        <v>46289</v>
      </c>
      <c r="I410" s="1">
        <f t="shared" ca="1" si="65"/>
        <v>45992</v>
      </c>
      <c r="J410">
        <f t="shared" ca="1" si="66"/>
        <v>183.08</v>
      </c>
      <c r="K410" t="str">
        <f t="shared" ca="1" si="67"/>
        <v>In Stock</v>
      </c>
      <c r="L410" s="2">
        <f t="shared" ca="1" si="68"/>
        <v>170</v>
      </c>
      <c r="M410" t="str">
        <f t="shared" ca="1" si="69"/>
        <v>Safe</v>
      </c>
    </row>
    <row r="411" spans="1:13" x14ac:dyDescent="0.25">
      <c r="A411" t="str">
        <f t="shared" si="60"/>
        <v>M410</v>
      </c>
      <c r="B411" t="str" cm="1">
        <f t="array" aca="1" ref="B411" ca="1">INDEX({"Paracetamol","Amoxicillin","Ibuprofen","Cetirizine","Metformin","Amlodipine","Omeprazole","Azithromycin","Losartan","Vitamin C"}, RANDBETWEEN(1,10))</f>
        <v>Ibuprofen</v>
      </c>
      <c r="C411" t="str" cm="1">
        <f t="array" aca="1" ref="C411" ca="1">INDEX({"Painkiller","Antibiotic","Painkiller","Antihistamine","Diabetes","Hypertension","Antacid","Antibiotic","Hypertension","Supplement"},
MATCH(B411,{"Paracetamol","Amoxicillin","Ibuprofen","Cetirizine","Metformin","Amlodipine","Omeprazole","Azithromycin","Losartan","Vitamin C"},0))</f>
        <v>Painkiller</v>
      </c>
      <c r="D411" t="str" cm="1">
        <f t="array" aca="1" ref="D411" ca="1">INDEX({"MedSupply Co","HealthCorp","PharmaPlus","GlobalMed"}, RANDBETWEEN(1,4))</f>
        <v>MedSupply Co</v>
      </c>
      <c r="E411">
        <f t="shared" ca="1" si="61"/>
        <v>85</v>
      </c>
      <c r="F411">
        <f t="shared" ca="1" si="62"/>
        <v>97</v>
      </c>
      <c r="G411">
        <f t="shared" ca="1" si="63"/>
        <v>1.96</v>
      </c>
      <c r="H411" s="1">
        <f t="shared" ca="1" si="64"/>
        <v>46232</v>
      </c>
      <c r="I411" s="1">
        <f t="shared" ca="1" si="65"/>
        <v>46039</v>
      </c>
      <c r="J411">
        <f t="shared" ca="1" si="66"/>
        <v>166.6</v>
      </c>
      <c r="K411" t="str">
        <f t="shared" ca="1" si="67"/>
        <v>Low Stock</v>
      </c>
      <c r="L411" s="2">
        <f t="shared" ca="1" si="68"/>
        <v>113</v>
      </c>
      <c r="M411" t="str">
        <f t="shared" ca="1" si="69"/>
        <v>Safe</v>
      </c>
    </row>
    <row r="412" spans="1:13" x14ac:dyDescent="0.25">
      <c r="A412" t="str">
        <f t="shared" si="60"/>
        <v>M411</v>
      </c>
      <c r="B412" t="str" cm="1">
        <f t="array" aca="1" ref="B412" ca="1">INDEX({"Paracetamol","Amoxicillin","Ibuprofen","Cetirizine","Metformin","Amlodipine","Omeprazole","Azithromycin","Losartan","Vitamin C"}, RANDBETWEEN(1,10))</f>
        <v>Omeprazole</v>
      </c>
      <c r="C412" t="str" cm="1">
        <f t="array" aca="1" ref="C412" ca="1">INDEX({"Painkiller","Antibiotic","Painkiller","Antihistamine","Diabetes","Hypertension","Antacid","Antibiotic","Hypertension","Supplement"},
MATCH(B412,{"Paracetamol","Amoxicillin","Ibuprofen","Cetirizine","Metformin","Amlodipine","Omeprazole","Azithromycin","Losartan","Vitamin C"},0))</f>
        <v>Antacid</v>
      </c>
      <c r="D412" t="str" cm="1">
        <f t="array" aca="1" ref="D412" ca="1">INDEX({"MedSupply Co","HealthCorp","PharmaPlus","GlobalMed"}, RANDBETWEEN(1,4))</f>
        <v>HealthCorp</v>
      </c>
      <c r="E412">
        <f t="shared" ca="1" si="61"/>
        <v>22</v>
      </c>
      <c r="F412">
        <f t="shared" ca="1" si="62"/>
        <v>63</v>
      </c>
      <c r="G412">
        <f t="shared" ca="1" si="63"/>
        <v>0.59</v>
      </c>
      <c r="H412" s="1">
        <f t="shared" ca="1" si="64"/>
        <v>46354</v>
      </c>
      <c r="I412" s="1">
        <f t="shared" ca="1" si="65"/>
        <v>45941</v>
      </c>
      <c r="J412">
        <f t="shared" ca="1" si="66"/>
        <v>12.979999999999999</v>
      </c>
      <c r="K412" t="str">
        <f t="shared" ca="1" si="67"/>
        <v>Low Stock</v>
      </c>
      <c r="L412" s="2">
        <f t="shared" ca="1" si="68"/>
        <v>235</v>
      </c>
      <c r="M412" t="str">
        <f t="shared" ca="1" si="69"/>
        <v>Safe</v>
      </c>
    </row>
    <row r="413" spans="1:13" x14ac:dyDescent="0.25">
      <c r="A413" t="str">
        <f t="shared" si="60"/>
        <v>M412</v>
      </c>
      <c r="B413" t="str" cm="1">
        <f t="array" aca="1" ref="B413" ca="1">INDEX({"Paracetamol","Amoxicillin","Ibuprofen","Cetirizine","Metformin","Amlodipine","Omeprazole","Azithromycin","Losartan","Vitamin C"}, RANDBETWEEN(1,10))</f>
        <v>Omeprazole</v>
      </c>
      <c r="C413" t="str" cm="1">
        <f t="array" aca="1" ref="C413" ca="1">INDEX({"Painkiller","Antibiotic","Painkiller","Antihistamine","Diabetes","Hypertension","Antacid","Antibiotic","Hypertension","Supplement"},
MATCH(B413,{"Paracetamol","Amoxicillin","Ibuprofen","Cetirizine","Metformin","Amlodipine","Omeprazole","Azithromycin","Losartan","Vitamin C"},0))</f>
        <v>Antacid</v>
      </c>
      <c r="D413" t="str" cm="1">
        <f t="array" aca="1" ref="D413" ca="1">INDEX({"MedSupply Co","HealthCorp","PharmaPlus","GlobalMed"}, RANDBETWEEN(1,4))</f>
        <v>HealthCorp</v>
      </c>
      <c r="E413">
        <f t="shared" ca="1" si="61"/>
        <v>68</v>
      </c>
      <c r="F413">
        <f t="shared" ca="1" si="62"/>
        <v>36</v>
      </c>
      <c r="G413">
        <f t="shared" ca="1" si="63"/>
        <v>1.72</v>
      </c>
      <c r="H413" s="1">
        <f t="shared" ca="1" si="64"/>
        <v>46416</v>
      </c>
      <c r="I413" s="1">
        <f t="shared" ca="1" si="65"/>
        <v>46106</v>
      </c>
      <c r="J413">
        <f t="shared" ca="1" si="66"/>
        <v>116.96</v>
      </c>
      <c r="K413" t="str">
        <f t="shared" ca="1" si="67"/>
        <v>In Stock</v>
      </c>
      <c r="L413" s="2">
        <f t="shared" ca="1" si="68"/>
        <v>297</v>
      </c>
      <c r="M413" t="str">
        <f t="shared" ca="1" si="69"/>
        <v>Safe</v>
      </c>
    </row>
    <row r="414" spans="1:13" x14ac:dyDescent="0.25">
      <c r="A414" t="str">
        <f t="shared" si="60"/>
        <v>M413</v>
      </c>
      <c r="B414" t="str" cm="1">
        <f t="array" aca="1" ref="B414" ca="1">INDEX({"Paracetamol","Amoxicillin","Ibuprofen","Cetirizine","Metformin","Amlodipine","Omeprazole","Azithromycin","Losartan","Vitamin C"}, RANDBETWEEN(1,10))</f>
        <v>Paracetamol</v>
      </c>
      <c r="C414" t="str" cm="1">
        <f t="array" aca="1" ref="C414" ca="1">INDEX({"Painkiller","Antibiotic","Painkiller","Antihistamine","Diabetes","Hypertension","Antacid","Antibiotic","Hypertension","Supplement"},
MATCH(B414,{"Paracetamol","Amoxicillin","Ibuprofen","Cetirizine","Metformin","Amlodipine","Omeprazole","Azithromycin","Losartan","Vitamin C"},0))</f>
        <v>Painkiller</v>
      </c>
      <c r="D414" t="str" cm="1">
        <f t="array" aca="1" ref="D414" ca="1">INDEX({"MedSupply Co","HealthCorp","PharmaPlus","GlobalMed"}, RANDBETWEEN(1,4))</f>
        <v>MedSupply Co</v>
      </c>
      <c r="E414">
        <f t="shared" ca="1" si="61"/>
        <v>196</v>
      </c>
      <c r="F414">
        <f t="shared" ca="1" si="62"/>
        <v>42</v>
      </c>
      <c r="G414">
        <f t="shared" ca="1" si="63"/>
        <v>1.31</v>
      </c>
      <c r="H414" s="1">
        <f t="shared" ca="1" si="64"/>
        <v>46194</v>
      </c>
      <c r="I414" s="1">
        <f t="shared" ca="1" si="65"/>
        <v>45981</v>
      </c>
      <c r="J414">
        <f t="shared" ca="1" si="66"/>
        <v>256.76</v>
      </c>
      <c r="K414" t="str">
        <f t="shared" ca="1" si="67"/>
        <v>In Stock</v>
      </c>
      <c r="L414" s="2">
        <f t="shared" ca="1" si="68"/>
        <v>75</v>
      </c>
      <c r="M414" t="str">
        <f t="shared" ca="1" si="69"/>
        <v>Safe</v>
      </c>
    </row>
    <row r="415" spans="1:13" x14ac:dyDescent="0.25">
      <c r="A415" t="str">
        <f t="shared" si="60"/>
        <v>M414</v>
      </c>
      <c r="B415" t="str" cm="1">
        <f t="array" aca="1" ref="B415" ca="1">INDEX({"Paracetamol","Amoxicillin","Ibuprofen","Cetirizine","Metformin","Amlodipine","Omeprazole","Azithromycin","Losartan","Vitamin C"}, RANDBETWEEN(1,10))</f>
        <v>Paracetamol</v>
      </c>
      <c r="C415" t="str" cm="1">
        <f t="array" aca="1" ref="C415" ca="1">INDEX({"Painkiller","Antibiotic","Painkiller","Antihistamine","Diabetes","Hypertension","Antacid","Antibiotic","Hypertension","Supplement"},
MATCH(B415,{"Paracetamol","Amoxicillin","Ibuprofen","Cetirizine","Metformin","Amlodipine","Omeprazole","Azithromycin","Losartan","Vitamin C"},0))</f>
        <v>Painkiller</v>
      </c>
      <c r="D415" t="str" cm="1">
        <f t="array" aca="1" ref="D415" ca="1">INDEX({"MedSupply Co","HealthCorp","PharmaPlus","GlobalMed"}, RANDBETWEEN(1,4))</f>
        <v>GlobalMed</v>
      </c>
      <c r="E415">
        <f t="shared" ca="1" si="61"/>
        <v>4</v>
      </c>
      <c r="F415">
        <f t="shared" ca="1" si="62"/>
        <v>65</v>
      </c>
      <c r="G415">
        <f t="shared" ca="1" si="63"/>
        <v>1.1599999999999999</v>
      </c>
      <c r="H415" s="1">
        <f t="shared" ca="1" si="64"/>
        <v>46364</v>
      </c>
      <c r="I415" s="1">
        <f t="shared" ca="1" si="65"/>
        <v>45992</v>
      </c>
      <c r="J415">
        <f t="shared" ca="1" si="66"/>
        <v>4.6399999999999997</v>
      </c>
      <c r="K415" t="str">
        <f t="shared" ca="1" si="67"/>
        <v>Low Stock</v>
      </c>
      <c r="L415" s="2">
        <f t="shared" ca="1" si="68"/>
        <v>245</v>
      </c>
      <c r="M415" t="str">
        <f t="shared" ca="1" si="69"/>
        <v>Safe</v>
      </c>
    </row>
    <row r="416" spans="1:13" x14ac:dyDescent="0.25">
      <c r="A416" t="str">
        <f t="shared" si="60"/>
        <v>M415</v>
      </c>
      <c r="B416" t="str" cm="1">
        <f t="array" aca="1" ref="B416" ca="1">INDEX({"Paracetamol","Amoxicillin","Ibuprofen","Cetirizine","Metformin","Amlodipine","Omeprazole","Azithromycin","Losartan","Vitamin C"}, RANDBETWEEN(1,10))</f>
        <v>Omeprazole</v>
      </c>
      <c r="C416" t="str" cm="1">
        <f t="array" aca="1" ref="C416" ca="1">INDEX({"Painkiller","Antibiotic","Painkiller","Antihistamine","Diabetes","Hypertension","Antacid","Antibiotic","Hypertension","Supplement"},
MATCH(B416,{"Paracetamol","Amoxicillin","Ibuprofen","Cetirizine","Metformin","Amlodipine","Omeprazole","Azithromycin","Losartan","Vitamin C"},0))</f>
        <v>Antacid</v>
      </c>
      <c r="D416" t="str" cm="1">
        <f t="array" aca="1" ref="D416" ca="1">INDEX({"MedSupply Co","HealthCorp","PharmaPlus","GlobalMed"}, RANDBETWEEN(1,4))</f>
        <v>PharmaPlus</v>
      </c>
      <c r="E416">
        <f t="shared" ca="1" si="61"/>
        <v>23</v>
      </c>
      <c r="F416">
        <f t="shared" ca="1" si="62"/>
        <v>47</v>
      </c>
      <c r="G416">
        <f t="shared" ca="1" si="63"/>
        <v>0.5</v>
      </c>
      <c r="H416" s="1">
        <f t="shared" ca="1" si="64"/>
        <v>46291</v>
      </c>
      <c r="I416" s="1">
        <f t="shared" ca="1" si="65"/>
        <v>46060</v>
      </c>
      <c r="J416">
        <f t="shared" ca="1" si="66"/>
        <v>11.5</v>
      </c>
      <c r="K416" t="str">
        <f t="shared" ca="1" si="67"/>
        <v>Low Stock</v>
      </c>
      <c r="L416" s="2">
        <f t="shared" ca="1" si="68"/>
        <v>172</v>
      </c>
      <c r="M416" t="str">
        <f t="shared" ca="1" si="69"/>
        <v>Safe</v>
      </c>
    </row>
    <row r="417" spans="1:13" x14ac:dyDescent="0.25">
      <c r="A417" t="str">
        <f t="shared" si="60"/>
        <v>M416</v>
      </c>
      <c r="B417" t="str" cm="1">
        <f t="array" aca="1" ref="B417" ca="1">INDEX({"Paracetamol","Amoxicillin","Ibuprofen","Cetirizine","Metformin","Amlodipine","Omeprazole","Azithromycin","Losartan","Vitamin C"}, RANDBETWEEN(1,10))</f>
        <v>Losartan</v>
      </c>
      <c r="C417" t="str" cm="1">
        <f t="array" aca="1" ref="C417" ca="1">INDEX({"Painkiller","Antibiotic","Painkiller","Antihistamine","Diabetes","Hypertension","Antacid","Antibiotic","Hypertension","Supplement"},
MATCH(B417,{"Paracetamol","Amoxicillin","Ibuprofen","Cetirizine","Metformin","Amlodipine","Omeprazole","Azithromycin","Losartan","Vitamin C"},0))</f>
        <v>Hypertension</v>
      </c>
      <c r="D417" t="str" cm="1">
        <f t="array" aca="1" ref="D417" ca="1">INDEX({"MedSupply Co","HealthCorp","PharmaPlus","GlobalMed"}, RANDBETWEEN(1,4))</f>
        <v>MedSupply Co</v>
      </c>
      <c r="E417">
        <f t="shared" ca="1" si="61"/>
        <v>151</v>
      </c>
      <c r="F417">
        <f t="shared" ca="1" si="62"/>
        <v>92</v>
      </c>
      <c r="G417">
        <f t="shared" ca="1" si="63"/>
        <v>1</v>
      </c>
      <c r="H417" s="1">
        <f t="shared" ca="1" si="64"/>
        <v>46472</v>
      </c>
      <c r="I417" s="1">
        <f t="shared" ca="1" si="65"/>
        <v>46037</v>
      </c>
      <c r="J417">
        <f t="shared" ca="1" si="66"/>
        <v>151</v>
      </c>
      <c r="K417" t="str">
        <f t="shared" ca="1" si="67"/>
        <v>In Stock</v>
      </c>
      <c r="L417" s="2">
        <f t="shared" ca="1" si="68"/>
        <v>353</v>
      </c>
      <c r="M417" t="str">
        <f t="shared" ca="1" si="69"/>
        <v>Safe</v>
      </c>
    </row>
    <row r="418" spans="1:13" x14ac:dyDescent="0.25">
      <c r="A418" t="str">
        <f t="shared" si="60"/>
        <v>M417</v>
      </c>
      <c r="B418" t="str" cm="1">
        <f t="array" aca="1" ref="B418" ca="1">INDEX({"Paracetamol","Amoxicillin","Ibuprofen","Cetirizine","Metformin","Amlodipine","Omeprazole","Azithromycin","Losartan","Vitamin C"}, RANDBETWEEN(1,10))</f>
        <v>Cetirizine</v>
      </c>
      <c r="C418" t="str" cm="1">
        <f t="array" aca="1" ref="C418" ca="1">INDEX({"Painkiller","Antibiotic","Painkiller","Antihistamine","Diabetes","Hypertension","Antacid","Antibiotic","Hypertension","Supplement"},
MATCH(B418,{"Paracetamol","Amoxicillin","Ibuprofen","Cetirizine","Metformin","Amlodipine","Omeprazole","Azithromycin","Losartan","Vitamin C"},0))</f>
        <v>Antihistamine</v>
      </c>
      <c r="D418" t="str" cm="1">
        <f t="array" aca="1" ref="D418" ca="1">INDEX({"MedSupply Co","HealthCorp","PharmaPlus","GlobalMed"}, RANDBETWEEN(1,4))</f>
        <v>MedSupply Co</v>
      </c>
      <c r="E418">
        <f t="shared" ca="1" si="61"/>
        <v>62</v>
      </c>
      <c r="F418">
        <f t="shared" ca="1" si="62"/>
        <v>39</v>
      </c>
      <c r="G418">
        <f t="shared" ca="1" si="63"/>
        <v>0.67</v>
      </c>
      <c r="H418" s="1">
        <f t="shared" ca="1" si="64"/>
        <v>46195</v>
      </c>
      <c r="I418" s="1">
        <f t="shared" ca="1" si="65"/>
        <v>46017</v>
      </c>
      <c r="J418">
        <f t="shared" ca="1" si="66"/>
        <v>41.54</v>
      </c>
      <c r="K418" t="str">
        <f t="shared" ca="1" si="67"/>
        <v>In Stock</v>
      </c>
      <c r="L418" s="2">
        <f t="shared" ca="1" si="68"/>
        <v>76</v>
      </c>
      <c r="M418" t="str">
        <f t="shared" ca="1" si="69"/>
        <v>Safe</v>
      </c>
    </row>
    <row r="419" spans="1:13" x14ac:dyDescent="0.25">
      <c r="A419" t="str">
        <f t="shared" si="60"/>
        <v>M418</v>
      </c>
      <c r="B419" t="str" cm="1">
        <f t="array" aca="1" ref="B419" ca="1">INDEX({"Paracetamol","Amoxicillin","Ibuprofen","Cetirizine","Metformin","Amlodipine","Omeprazole","Azithromycin","Losartan","Vitamin C"}, RANDBETWEEN(1,10))</f>
        <v>Omeprazole</v>
      </c>
      <c r="C419" t="str" cm="1">
        <f t="array" aca="1" ref="C419" ca="1">INDEX({"Painkiller","Antibiotic","Painkiller","Antihistamine","Diabetes","Hypertension","Antacid","Antibiotic","Hypertension","Supplement"},
MATCH(B419,{"Paracetamol","Amoxicillin","Ibuprofen","Cetirizine","Metformin","Amlodipine","Omeprazole","Azithromycin","Losartan","Vitamin C"},0))</f>
        <v>Antacid</v>
      </c>
      <c r="D419" t="str" cm="1">
        <f t="array" aca="1" ref="D419" ca="1">INDEX({"MedSupply Co","HealthCorp","PharmaPlus","GlobalMed"}, RANDBETWEEN(1,4))</f>
        <v>HealthCorp</v>
      </c>
      <c r="E419">
        <f t="shared" ca="1" si="61"/>
        <v>44</v>
      </c>
      <c r="F419">
        <f t="shared" ca="1" si="62"/>
        <v>100</v>
      </c>
      <c r="G419">
        <f t="shared" ca="1" si="63"/>
        <v>1.44</v>
      </c>
      <c r="H419" s="1">
        <f t="shared" ca="1" si="64"/>
        <v>46209</v>
      </c>
      <c r="I419" s="1">
        <f t="shared" ca="1" si="65"/>
        <v>46078</v>
      </c>
      <c r="J419">
        <f t="shared" ca="1" si="66"/>
        <v>63.36</v>
      </c>
      <c r="K419" t="str">
        <f t="shared" ca="1" si="67"/>
        <v>Low Stock</v>
      </c>
      <c r="L419" s="2">
        <f t="shared" ca="1" si="68"/>
        <v>90</v>
      </c>
      <c r="M419" t="str">
        <f t="shared" ca="1" si="69"/>
        <v>Safe</v>
      </c>
    </row>
    <row r="420" spans="1:13" x14ac:dyDescent="0.25">
      <c r="A420" t="str">
        <f t="shared" si="60"/>
        <v>M419</v>
      </c>
      <c r="B420" t="str" cm="1">
        <f t="array" aca="1" ref="B420" ca="1">INDEX({"Paracetamol","Amoxicillin","Ibuprofen","Cetirizine","Metformin","Amlodipine","Omeprazole","Azithromycin","Losartan","Vitamin C"}, RANDBETWEEN(1,10))</f>
        <v>Amlodipine</v>
      </c>
      <c r="C420" t="str" cm="1">
        <f t="array" aca="1" ref="C420" ca="1">INDEX({"Painkiller","Antibiotic","Painkiller","Antihistamine","Diabetes","Hypertension","Antacid","Antibiotic","Hypertension","Supplement"},
MATCH(B420,{"Paracetamol","Amoxicillin","Ibuprofen","Cetirizine","Metformin","Amlodipine","Omeprazole","Azithromycin","Losartan","Vitamin C"},0))</f>
        <v>Hypertension</v>
      </c>
      <c r="D420" t="str" cm="1">
        <f t="array" aca="1" ref="D420" ca="1">INDEX({"MedSupply Co","HealthCorp","PharmaPlus","GlobalMed"}, RANDBETWEEN(1,4))</f>
        <v>HealthCorp</v>
      </c>
      <c r="E420">
        <f t="shared" ca="1" si="61"/>
        <v>100</v>
      </c>
      <c r="F420">
        <f t="shared" ca="1" si="62"/>
        <v>47</v>
      </c>
      <c r="G420">
        <f t="shared" ca="1" si="63"/>
        <v>0.82</v>
      </c>
      <c r="H420" s="1">
        <f t="shared" ca="1" si="64"/>
        <v>46321</v>
      </c>
      <c r="I420" s="1">
        <f t="shared" ca="1" si="65"/>
        <v>46047</v>
      </c>
      <c r="J420">
        <f t="shared" ca="1" si="66"/>
        <v>82</v>
      </c>
      <c r="K420" t="str">
        <f t="shared" ca="1" si="67"/>
        <v>In Stock</v>
      </c>
      <c r="L420" s="2">
        <f t="shared" ca="1" si="68"/>
        <v>202</v>
      </c>
      <c r="M420" t="str">
        <f t="shared" ca="1" si="69"/>
        <v>Safe</v>
      </c>
    </row>
    <row r="421" spans="1:13" x14ac:dyDescent="0.25">
      <c r="A421" t="str">
        <f t="shared" si="60"/>
        <v>M420</v>
      </c>
      <c r="B421" t="str" cm="1">
        <f t="array" aca="1" ref="B421" ca="1">INDEX({"Paracetamol","Amoxicillin","Ibuprofen","Cetirizine","Metformin","Amlodipine","Omeprazole","Azithromycin","Losartan","Vitamin C"}, RANDBETWEEN(1,10))</f>
        <v>Amlodipine</v>
      </c>
      <c r="C421" t="str" cm="1">
        <f t="array" aca="1" ref="C421" ca="1">INDEX({"Painkiller","Antibiotic","Painkiller","Antihistamine","Diabetes","Hypertension","Antacid","Antibiotic","Hypertension","Supplement"},
MATCH(B421,{"Paracetamol","Amoxicillin","Ibuprofen","Cetirizine","Metformin","Amlodipine","Omeprazole","Azithromycin","Losartan","Vitamin C"},0))</f>
        <v>Hypertension</v>
      </c>
      <c r="D421" t="str" cm="1">
        <f t="array" aca="1" ref="D421" ca="1">INDEX({"MedSupply Co","HealthCorp","PharmaPlus","GlobalMed"}, RANDBETWEEN(1,4))</f>
        <v>MedSupply Co</v>
      </c>
      <c r="E421">
        <f t="shared" ca="1" si="61"/>
        <v>184</v>
      </c>
      <c r="F421">
        <f t="shared" ca="1" si="62"/>
        <v>64</v>
      </c>
      <c r="G421">
        <f t="shared" ca="1" si="63"/>
        <v>1.1299999999999999</v>
      </c>
      <c r="H421" s="1">
        <f t="shared" ca="1" si="64"/>
        <v>46203</v>
      </c>
      <c r="I421" s="1">
        <f t="shared" ca="1" si="65"/>
        <v>46035</v>
      </c>
      <c r="J421">
        <f t="shared" ca="1" si="66"/>
        <v>207.92</v>
      </c>
      <c r="K421" t="str">
        <f t="shared" ca="1" si="67"/>
        <v>In Stock</v>
      </c>
      <c r="L421" s="2">
        <f t="shared" ca="1" si="68"/>
        <v>84</v>
      </c>
      <c r="M421" t="str">
        <f t="shared" ca="1" si="69"/>
        <v>Safe</v>
      </c>
    </row>
    <row r="422" spans="1:13" x14ac:dyDescent="0.25">
      <c r="A422" t="str">
        <f t="shared" si="60"/>
        <v>M421</v>
      </c>
      <c r="B422" t="str" cm="1">
        <f t="array" aca="1" ref="B422" ca="1">INDEX({"Paracetamol","Amoxicillin","Ibuprofen","Cetirizine","Metformin","Amlodipine","Omeprazole","Azithromycin","Losartan","Vitamin C"}, RANDBETWEEN(1,10))</f>
        <v>Omeprazole</v>
      </c>
      <c r="C422" t="str" cm="1">
        <f t="array" aca="1" ref="C422" ca="1">INDEX({"Painkiller","Antibiotic","Painkiller","Antihistamine","Diabetes","Hypertension","Antacid","Antibiotic","Hypertension","Supplement"},
MATCH(B422,{"Paracetamol","Amoxicillin","Ibuprofen","Cetirizine","Metformin","Amlodipine","Omeprazole","Azithromycin","Losartan","Vitamin C"},0))</f>
        <v>Antacid</v>
      </c>
      <c r="D422" t="str" cm="1">
        <f t="array" aca="1" ref="D422" ca="1">INDEX({"MedSupply Co","HealthCorp","PharmaPlus","GlobalMed"}, RANDBETWEEN(1,4))</f>
        <v>PharmaPlus</v>
      </c>
      <c r="E422">
        <f t="shared" ca="1" si="61"/>
        <v>41</v>
      </c>
      <c r="F422">
        <f t="shared" ca="1" si="62"/>
        <v>70</v>
      </c>
      <c r="G422">
        <f t="shared" ca="1" si="63"/>
        <v>1.31</v>
      </c>
      <c r="H422" s="1">
        <f t="shared" ca="1" si="64"/>
        <v>46393</v>
      </c>
      <c r="I422" s="1">
        <f t="shared" ca="1" si="65"/>
        <v>46094</v>
      </c>
      <c r="J422">
        <f t="shared" ca="1" si="66"/>
        <v>53.71</v>
      </c>
      <c r="K422" t="str">
        <f t="shared" ca="1" si="67"/>
        <v>Low Stock</v>
      </c>
      <c r="L422" s="2">
        <f t="shared" ca="1" si="68"/>
        <v>274</v>
      </c>
      <c r="M422" t="str">
        <f t="shared" ca="1" si="69"/>
        <v>Safe</v>
      </c>
    </row>
    <row r="423" spans="1:13" x14ac:dyDescent="0.25">
      <c r="A423" t="str">
        <f t="shared" si="60"/>
        <v>M422</v>
      </c>
      <c r="B423" t="str" cm="1">
        <f t="array" aca="1" ref="B423" ca="1">INDEX({"Paracetamol","Amoxicillin","Ibuprofen","Cetirizine","Metformin","Amlodipine","Omeprazole","Azithromycin","Losartan","Vitamin C"}, RANDBETWEEN(1,10))</f>
        <v>Ibuprofen</v>
      </c>
      <c r="C423" t="str" cm="1">
        <f t="array" aca="1" ref="C423" ca="1">INDEX({"Painkiller","Antibiotic","Painkiller","Antihistamine","Diabetes","Hypertension","Antacid","Antibiotic","Hypertension","Supplement"},
MATCH(B423,{"Paracetamol","Amoxicillin","Ibuprofen","Cetirizine","Metformin","Amlodipine","Omeprazole","Azithromycin","Losartan","Vitamin C"},0))</f>
        <v>Painkiller</v>
      </c>
      <c r="D423" t="str" cm="1">
        <f t="array" aca="1" ref="D423" ca="1">INDEX({"MedSupply Co","HealthCorp","PharmaPlus","GlobalMed"}, RANDBETWEEN(1,4))</f>
        <v>MedSupply Co</v>
      </c>
      <c r="E423">
        <f t="shared" ca="1" si="61"/>
        <v>89</v>
      </c>
      <c r="F423">
        <f t="shared" ca="1" si="62"/>
        <v>57</v>
      </c>
      <c r="G423">
        <f t="shared" ca="1" si="63"/>
        <v>1.49</v>
      </c>
      <c r="H423" s="1">
        <f t="shared" ca="1" si="64"/>
        <v>46400</v>
      </c>
      <c r="I423" s="1">
        <f t="shared" ca="1" si="65"/>
        <v>45972</v>
      </c>
      <c r="J423">
        <f t="shared" ca="1" si="66"/>
        <v>132.60999999999999</v>
      </c>
      <c r="K423" t="str">
        <f t="shared" ca="1" si="67"/>
        <v>In Stock</v>
      </c>
      <c r="L423" s="2">
        <f t="shared" ca="1" si="68"/>
        <v>281</v>
      </c>
      <c r="M423" t="str">
        <f t="shared" ca="1" si="69"/>
        <v>Safe</v>
      </c>
    </row>
    <row r="424" spans="1:13" x14ac:dyDescent="0.25">
      <c r="A424" t="str">
        <f t="shared" si="60"/>
        <v>M423</v>
      </c>
      <c r="B424" t="str" cm="1">
        <f t="array" aca="1" ref="B424" ca="1">INDEX({"Paracetamol","Amoxicillin","Ibuprofen","Cetirizine","Metformin","Amlodipine","Omeprazole","Azithromycin","Losartan","Vitamin C"}, RANDBETWEEN(1,10))</f>
        <v>Paracetamol</v>
      </c>
      <c r="C424" t="str" cm="1">
        <f t="array" aca="1" ref="C424" ca="1">INDEX({"Painkiller","Antibiotic","Painkiller","Antihistamine","Diabetes","Hypertension","Antacid","Antibiotic","Hypertension","Supplement"},
MATCH(B424,{"Paracetamol","Amoxicillin","Ibuprofen","Cetirizine","Metformin","Amlodipine","Omeprazole","Azithromycin","Losartan","Vitamin C"},0))</f>
        <v>Painkiller</v>
      </c>
      <c r="D424" t="str" cm="1">
        <f t="array" aca="1" ref="D424" ca="1">INDEX({"MedSupply Co","HealthCorp","PharmaPlus","GlobalMed"}, RANDBETWEEN(1,4))</f>
        <v>GlobalMed</v>
      </c>
      <c r="E424">
        <f t="shared" ca="1" si="61"/>
        <v>14</v>
      </c>
      <c r="F424">
        <f t="shared" ca="1" si="62"/>
        <v>52</v>
      </c>
      <c r="G424">
        <f t="shared" ca="1" si="63"/>
        <v>1.5</v>
      </c>
      <c r="H424" s="1">
        <f t="shared" ca="1" si="64"/>
        <v>46477</v>
      </c>
      <c r="I424" s="1">
        <f t="shared" ca="1" si="65"/>
        <v>46115</v>
      </c>
      <c r="J424">
        <f t="shared" ca="1" si="66"/>
        <v>21</v>
      </c>
      <c r="K424" t="str">
        <f t="shared" ca="1" si="67"/>
        <v>Low Stock</v>
      </c>
      <c r="L424" s="2">
        <f t="shared" ca="1" si="68"/>
        <v>358</v>
      </c>
      <c r="M424" t="str">
        <f t="shared" ca="1" si="69"/>
        <v>Safe</v>
      </c>
    </row>
    <row r="425" spans="1:13" x14ac:dyDescent="0.25">
      <c r="A425" t="str">
        <f t="shared" si="60"/>
        <v>M424</v>
      </c>
      <c r="B425" t="str" cm="1">
        <f t="array" aca="1" ref="B425" ca="1">INDEX({"Paracetamol","Amoxicillin","Ibuprofen","Cetirizine","Metformin","Amlodipine","Omeprazole","Azithromycin","Losartan","Vitamin C"}, RANDBETWEEN(1,10))</f>
        <v>Amoxicillin</v>
      </c>
      <c r="C425" t="str" cm="1">
        <f t="array" aca="1" ref="C425" ca="1">INDEX({"Painkiller","Antibiotic","Painkiller","Antihistamine","Diabetes","Hypertension","Antacid","Antibiotic","Hypertension","Supplement"},
MATCH(B425,{"Paracetamol","Amoxicillin","Ibuprofen","Cetirizine","Metformin","Amlodipine","Omeprazole","Azithromycin","Losartan","Vitamin C"},0))</f>
        <v>Antibiotic</v>
      </c>
      <c r="D425" t="str" cm="1">
        <f t="array" aca="1" ref="D425" ca="1">INDEX({"MedSupply Co","HealthCorp","PharmaPlus","GlobalMed"}, RANDBETWEEN(1,4))</f>
        <v>MedSupply Co</v>
      </c>
      <c r="E425">
        <f t="shared" ca="1" si="61"/>
        <v>161</v>
      </c>
      <c r="F425">
        <f t="shared" ca="1" si="62"/>
        <v>78</v>
      </c>
      <c r="G425">
        <f t="shared" ca="1" si="63"/>
        <v>1.51</v>
      </c>
      <c r="H425" s="1">
        <f t="shared" ca="1" si="64"/>
        <v>46270</v>
      </c>
      <c r="I425" s="1">
        <f t="shared" ca="1" si="65"/>
        <v>46029</v>
      </c>
      <c r="J425">
        <f t="shared" ca="1" si="66"/>
        <v>243.11</v>
      </c>
      <c r="K425" t="str">
        <f t="shared" ca="1" si="67"/>
        <v>In Stock</v>
      </c>
      <c r="L425" s="2">
        <f t="shared" ca="1" si="68"/>
        <v>151</v>
      </c>
      <c r="M425" t="str">
        <f t="shared" ca="1" si="69"/>
        <v>Safe</v>
      </c>
    </row>
    <row r="426" spans="1:13" x14ac:dyDescent="0.25">
      <c r="A426" t="str">
        <f t="shared" si="60"/>
        <v>M425</v>
      </c>
      <c r="B426" t="str" cm="1">
        <f t="array" aca="1" ref="B426" ca="1">INDEX({"Paracetamol","Amoxicillin","Ibuprofen","Cetirizine","Metformin","Amlodipine","Omeprazole","Azithromycin","Losartan","Vitamin C"}, RANDBETWEEN(1,10))</f>
        <v>Metformin</v>
      </c>
      <c r="C426" t="str" cm="1">
        <f t="array" aca="1" ref="C426" ca="1">INDEX({"Painkiller","Antibiotic","Painkiller","Antihistamine","Diabetes","Hypertension","Antacid","Antibiotic","Hypertension","Supplement"},
MATCH(B426,{"Paracetamol","Amoxicillin","Ibuprofen","Cetirizine","Metformin","Amlodipine","Omeprazole","Azithromycin","Losartan","Vitamin C"},0))</f>
        <v>Diabetes</v>
      </c>
      <c r="D426" t="str" cm="1">
        <f t="array" aca="1" ref="D426" ca="1">INDEX({"MedSupply Co","HealthCorp","PharmaPlus","GlobalMed"}, RANDBETWEEN(1,4))</f>
        <v>MedSupply Co</v>
      </c>
      <c r="E426">
        <f t="shared" ca="1" si="61"/>
        <v>117</v>
      </c>
      <c r="F426">
        <f t="shared" ca="1" si="62"/>
        <v>46</v>
      </c>
      <c r="G426">
        <f t="shared" ca="1" si="63"/>
        <v>1.63</v>
      </c>
      <c r="H426" s="1">
        <f t="shared" ca="1" si="64"/>
        <v>46467</v>
      </c>
      <c r="I426" s="1">
        <f t="shared" ca="1" si="65"/>
        <v>45972</v>
      </c>
      <c r="J426">
        <f t="shared" ca="1" si="66"/>
        <v>190.70999999999998</v>
      </c>
      <c r="K426" t="str">
        <f t="shared" ca="1" si="67"/>
        <v>In Stock</v>
      </c>
      <c r="L426" s="2">
        <f t="shared" ca="1" si="68"/>
        <v>348</v>
      </c>
      <c r="M426" t="str">
        <f t="shared" ca="1" si="69"/>
        <v>Safe</v>
      </c>
    </row>
    <row r="427" spans="1:13" x14ac:dyDescent="0.25">
      <c r="A427" t="str">
        <f t="shared" si="60"/>
        <v>M426</v>
      </c>
      <c r="B427" t="str" cm="1">
        <f t="array" aca="1" ref="B427" ca="1">INDEX({"Paracetamol","Amoxicillin","Ibuprofen","Cetirizine","Metformin","Amlodipine","Omeprazole","Azithromycin","Losartan","Vitamin C"}, RANDBETWEEN(1,10))</f>
        <v>Amoxicillin</v>
      </c>
      <c r="C427" t="str" cm="1">
        <f t="array" aca="1" ref="C427" ca="1">INDEX({"Painkiller","Antibiotic","Painkiller","Antihistamine","Diabetes","Hypertension","Antacid","Antibiotic","Hypertension","Supplement"},
MATCH(B427,{"Paracetamol","Amoxicillin","Ibuprofen","Cetirizine","Metformin","Amlodipine","Omeprazole","Azithromycin","Losartan","Vitamin C"},0))</f>
        <v>Antibiotic</v>
      </c>
      <c r="D427" t="str" cm="1">
        <f t="array" aca="1" ref="D427" ca="1">INDEX({"MedSupply Co","HealthCorp","PharmaPlus","GlobalMed"}, RANDBETWEEN(1,4))</f>
        <v>PharmaPlus</v>
      </c>
      <c r="E427">
        <f t="shared" ca="1" si="61"/>
        <v>25</v>
      </c>
      <c r="F427">
        <f t="shared" ca="1" si="62"/>
        <v>56</v>
      </c>
      <c r="G427">
        <f t="shared" ca="1" si="63"/>
        <v>0.94</v>
      </c>
      <c r="H427" s="1">
        <f t="shared" ca="1" si="64"/>
        <v>46177</v>
      </c>
      <c r="I427" s="1">
        <f t="shared" ca="1" si="65"/>
        <v>46083</v>
      </c>
      <c r="J427">
        <f t="shared" ca="1" si="66"/>
        <v>23.5</v>
      </c>
      <c r="K427" t="str">
        <f t="shared" ca="1" si="67"/>
        <v>Low Stock</v>
      </c>
      <c r="L427" s="2">
        <f t="shared" ca="1" si="68"/>
        <v>58</v>
      </c>
      <c r="M427" t="str">
        <f t="shared" ca="1" si="69"/>
        <v>Safe</v>
      </c>
    </row>
    <row r="428" spans="1:13" x14ac:dyDescent="0.25">
      <c r="A428" t="str">
        <f t="shared" si="60"/>
        <v>M427</v>
      </c>
      <c r="B428" t="str" cm="1">
        <f t="array" aca="1" ref="B428" ca="1">INDEX({"Paracetamol","Amoxicillin","Ibuprofen","Cetirizine","Metformin","Amlodipine","Omeprazole","Azithromycin","Losartan","Vitamin C"}, RANDBETWEEN(1,10))</f>
        <v>Ibuprofen</v>
      </c>
      <c r="C428" t="str" cm="1">
        <f t="array" aca="1" ref="C428" ca="1">INDEX({"Painkiller","Antibiotic","Painkiller","Antihistamine","Diabetes","Hypertension","Antacid","Antibiotic","Hypertension","Supplement"},
MATCH(B428,{"Paracetamol","Amoxicillin","Ibuprofen","Cetirizine","Metformin","Amlodipine","Omeprazole","Azithromycin","Losartan","Vitamin C"},0))</f>
        <v>Painkiller</v>
      </c>
      <c r="D428" t="str" cm="1">
        <f t="array" aca="1" ref="D428" ca="1">INDEX({"MedSupply Co","HealthCorp","PharmaPlus","GlobalMed"}, RANDBETWEEN(1,4))</f>
        <v>MedSupply Co</v>
      </c>
      <c r="E428">
        <f t="shared" ca="1" si="61"/>
        <v>138</v>
      </c>
      <c r="F428">
        <f t="shared" ca="1" si="62"/>
        <v>20</v>
      </c>
      <c r="G428">
        <f t="shared" ca="1" si="63"/>
        <v>1.53</v>
      </c>
      <c r="H428" s="1">
        <f t="shared" ca="1" si="64"/>
        <v>46160</v>
      </c>
      <c r="I428" s="1">
        <f t="shared" ca="1" si="65"/>
        <v>46077</v>
      </c>
      <c r="J428">
        <f t="shared" ca="1" si="66"/>
        <v>211.14000000000001</v>
      </c>
      <c r="K428" t="str">
        <f t="shared" ca="1" si="67"/>
        <v>In Stock</v>
      </c>
      <c r="L428" s="2">
        <f t="shared" ca="1" si="68"/>
        <v>41</v>
      </c>
      <c r="M428" t="str">
        <f t="shared" ca="1" si="69"/>
        <v>Safe</v>
      </c>
    </row>
    <row r="429" spans="1:13" x14ac:dyDescent="0.25">
      <c r="A429" t="str">
        <f t="shared" si="60"/>
        <v>M428</v>
      </c>
      <c r="B429" t="str" cm="1">
        <f t="array" aca="1" ref="B429" ca="1">INDEX({"Paracetamol","Amoxicillin","Ibuprofen","Cetirizine","Metformin","Amlodipine","Omeprazole","Azithromycin","Losartan","Vitamin C"}, RANDBETWEEN(1,10))</f>
        <v>Omeprazole</v>
      </c>
      <c r="C429" t="str" cm="1">
        <f t="array" aca="1" ref="C429" ca="1">INDEX({"Painkiller","Antibiotic","Painkiller","Antihistamine","Diabetes","Hypertension","Antacid","Antibiotic","Hypertension","Supplement"},
MATCH(B429,{"Paracetamol","Amoxicillin","Ibuprofen","Cetirizine","Metformin","Amlodipine","Omeprazole","Azithromycin","Losartan","Vitamin C"},0))</f>
        <v>Antacid</v>
      </c>
      <c r="D429" t="str" cm="1">
        <f t="array" aca="1" ref="D429" ca="1">INDEX({"MedSupply Co","HealthCorp","PharmaPlus","GlobalMed"}, RANDBETWEEN(1,4))</f>
        <v>HealthCorp</v>
      </c>
      <c r="E429">
        <f t="shared" ca="1" si="61"/>
        <v>100</v>
      </c>
      <c r="F429">
        <f t="shared" ca="1" si="62"/>
        <v>22</v>
      </c>
      <c r="G429">
        <f t="shared" ca="1" si="63"/>
        <v>1.76</v>
      </c>
      <c r="H429" s="1">
        <f t="shared" ca="1" si="64"/>
        <v>46265</v>
      </c>
      <c r="I429" s="1">
        <f t="shared" ca="1" si="65"/>
        <v>46096</v>
      </c>
      <c r="J429">
        <f t="shared" ca="1" si="66"/>
        <v>176</v>
      </c>
      <c r="K429" t="str">
        <f t="shared" ca="1" si="67"/>
        <v>In Stock</v>
      </c>
      <c r="L429" s="2">
        <f t="shared" ca="1" si="68"/>
        <v>146</v>
      </c>
      <c r="M429" t="str">
        <f t="shared" ca="1" si="69"/>
        <v>Safe</v>
      </c>
    </row>
    <row r="430" spans="1:13" x14ac:dyDescent="0.25">
      <c r="A430" t="str">
        <f t="shared" si="60"/>
        <v>M429</v>
      </c>
      <c r="B430" t="str" cm="1">
        <f t="array" aca="1" ref="B430" ca="1">INDEX({"Paracetamol","Amoxicillin","Ibuprofen","Cetirizine","Metformin","Amlodipine","Omeprazole","Azithromycin","Losartan","Vitamin C"}, RANDBETWEEN(1,10))</f>
        <v>Metformin</v>
      </c>
      <c r="C430" t="str" cm="1">
        <f t="array" aca="1" ref="C430" ca="1">INDEX({"Painkiller","Antibiotic","Painkiller","Antihistamine","Diabetes","Hypertension","Antacid","Antibiotic","Hypertension","Supplement"},
MATCH(B430,{"Paracetamol","Amoxicillin","Ibuprofen","Cetirizine","Metformin","Amlodipine","Omeprazole","Azithromycin","Losartan","Vitamin C"},0))</f>
        <v>Diabetes</v>
      </c>
      <c r="D430" t="str" cm="1">
        <f t="array" aca="1" ref="D430" ca="1">INDEX({"MedSupply Co","HealthCorp","PharmaPlus","GlobalMed"}, RANDBETWEEN(1,4))</f>
        <v>GlobalMed</v>
      </c>
      <c r="E430">
        <f t="shared" ca="1" si="61"/>
        <v>100</v>
      </c>
      <c r="F430">
        <f t="shared" ca="1" si="62"/>
        <v>51</v>
      </c>
      <c r="G430">
        <f t="shared" ca="1" si="63"/>
        <v>1.53</v>
      </c>
      <c r="H430" s="1">
        <f t="shared" ca="1" si="64"/>
        <v>46376</v>
      </c>
      <c r="I430" s="1">
        <f t="shared" ca="1" si="65"/>
        <v>46102</v>
      </c>
      <c r="J430">
        <f t="shared" ca="1" si="66"/>
        <v>153</v>
      </c>
      <c r="K430" t="str">
        <f t="shared" ca="1" si="67"/>
        <v>In Stock</v>
      </c>
      <c r="L430" s="2">
        <f t="shared" ca="1" si="68"/>
        <v>257</v>
      </c>
      <c r="M430" t="str">
        <f t="shared" ca="1" si="69"/>
        <v>Safe</v>
      </c>
    </row>
    <row r="431" spans="1:13" x14ac:dyDescent="0.25">
      <c r="A431" t="str">
        <f t="shared" si="60"/>
        <v>M430</v>
      </c>
      <c r="B431" t="str" cm="1">
        <f t="array" aca="1" ref="B431" ca="1">INDEX({"Paracetamol","Amoxicillin","Ibuprofen","Cetirizine","Metformin","Amlodipine","Omeprazole","Azithromycin","Losartan","Vitamin C"}, RANDBETWEEN(1,10))</f>
        <v>Azithromycin</v>
      </c>
      <c r="C431" t="str" cm="1">
        <f t="array" aca="1" ref="C431" ca="1">INDEX({"Painkiller","Antibiotic","Painkiller","Antihistamine","Diabetes","Hypertension","Antacid","Antibiotic","Hypertension","Supplement"},
MATCH(B431,{"Paracetamol","Amoxicillin","Ibuprofen","Cetirizine","Metformin","Amlodipine","Omeprazole","Azithromycin","Losartan","Vitamin C"},0))</f>
        <v>Antibiotic</v>
      </c>
      <c r="D431" t="str" cm="1">
        <f t="array" aca="1" ref="D431" ca="1">INDEX({"MedSupply Co","HealthCorp","PharmaPlus","GlobalMed"}, RANDBETWEEN(1,4))</f>
        <v>MedSupply Co</v>
      </c>
      <c r="E431">
        <f t="shared" ca="1" si="61"/>
        <v>120</v>
      </c>
      <c r="F431">
        <f t="shared" ca="1" si="62"/>
        <v>84</v>
      </c>
      <c r="G431">
        <f t="shared" ca="1" si="63"/>
        <v>1.73</v>
      </c>
      <c r="H431" s="1">
        <f t="shared" ca="1" si="64"/>
        <v>46479</v>
      </c>
      <c r="I431" s="1">
        <f t="shared" ca="1" si="65"/>
        <v>45972</v>
      </c>
      <c r="J431">
        <f t="shared" ca="1" si="66"/>
        <v>207.6</v>
      </c>
      <c r="K431" t="str">
        <f t="shared" ca="1" si="67"/>
        <v>In Stock</v>
      </c>
      <c r="L431" s="2">
        <f t="shared" ca="1" si="68"/>
        <v>360</v>
      </c>
      <c r="M431" t="str">
        <f t="shared" ca="1" si="69"/>
        <v>Safe</v>
      </c>
    </row>
    <row r="432" spans="1:13" x14ac:dyDescent="0.25">
      <c r="A432" t="str">
        <f t="shared" si="60"/>
        <v>M431</v>
      </c>
      <c r="B432" t="str" cm="1">
        <f t="array" aca="1" ref="B432" ca="1">INDEX({"Paracetamol","Amoxicillin","Ibuprofen","Cetirizine","Metformin","Amlodipine","Omeprazole","Azithromycin","Losartan","Vitamin C"}, RANDBETWEEN(1,10))</f>
        <v>Amlodipine</v>
      </c>
      <c r="C432" t="str" cm="1">
        <f t="array" aca="1" ref="C432" ca="1">INDEX({"Painkiller","Antibiotic","Painkiller","Antihistamine","Diabetes","Hypertension","Antacid","Antibiotic","Hypertension","Supplement"},
MATCH(B432,{"Paracetamol","Amoxicillin","Ibuprofen","Cetirizine","Metformin","Amlodipine","Omeprazole","Azithromycin","Losartan","Vitamin C"},0))</f>
        <v>Hypertension</v>
      </c>
      <c r="D432" t="str" cm="1">
        <f t="array" aca="1" ref="D432" ca="1">INDEX({"MedSupply Co","HealthCorp","PharmaPlus","GlobalMed"}, RANDBETWEEN(1,4))</f>
        <v>GlobalMed</v>
      </c>
      <c r="E432">
        <f t="shared" ca="1" si="61"/>
        <v>171</v>
      </c>
      <c r="F432">
        <f t="shared" ca="1" si="62"/>
        <v>85</v>
      </c>
      <c r="G432">
        <f t="shared" ca="1" si="63"/>
        <v>0.62</v>
      </c>
      <c r="H432" s="1">
        <f t="shared" ca="1" si="64"/>
        <v>46457</v>
      </c>
      <c r="I432" s="1">
        <f t="shared" ca="1" si="65"/>
        <v>46077</v>
      </c>
      <c r="J432">
        <f t="shared" ca="1" si="66"/>
        <v>106.02</v>
      </c>
      <c r="K432" t="str">
        <f t="shared" ca="1" si="67"/>
        <v>In Stock</v>
      </c>
      <c r="L432" s="2">
        <f t="shared" ca="1" si="68"/>
        <v>338</v>
      </c>
      <c r="M432" t="str">
        <f t="shared" ca="1" si="69"/>
        <v>Safe</v>
      </c>
    </row>
    <row r="433" spans="1:13" x14ac:dyDescent="0.25">
      <c r="A433" t="str">
        <f t="shared" si="60"/>
        <v>M432</v>
      </c>
      <c r="B433" t="str" cm="1">
        <f t="array" aca="1" ref="B433" ca="1">INDEX({"Paracetamol","Amoxicillin","Ibuprofen","Cetirizine","Metformin","Amlodipine","Omeprazole","Azithromycin","Losartan","Vitamin C"}, RANDBETWEEN(1,10))</f>
        <v>Amlodipine</v>
      </c>
      <c r="C433" t="str" cm="1">
        <f t="array" aca="1" ref="C433" ca="1">INDEX({"Painkiller","Antibiotic","Painkiller","Antihistamine","Diabetes","Hypertension","Antacid","Antibiotic","Hypertension","Supplement"},
MATCH(B433,{"Paracetamol","Amoxicillin","Ibuprofen","Cetirizine","Metformin","Amlodipine","Omeprazole","Azithromycin","Losartan","Vitamin C"},0))</f>
        <v>Hypertension</v>
      </c>
      <c r="D433" t="str" cm="1">
        <f t="array" aca="1" ref="D433" ca="1">INDEX({"MedSupply Co","HealthCorp","PharmaPlus","GlobalMed"}, RANDBETWEEN(1,4))</f>
        <v>MedSupply Co</v>
      </c>
      <c r="E433">
        <f t="shared" ca="1" si="61"/>
        <v>61</v>
      </c>
      <c r="F433">
        <f t="shared" ca="1" si="62"/>
        <v>30</v>
      </c>
      <c r="G433">
        <f t="shared" ca="1" si="63"/>
        <v>0.92</v>
      </c>
      <c r="H433" s="1">
        <f t="shared" ca="1" si="64"/>
        <v>46154</v>
      </c>
      <c r="I433" s="1">
        <f t="shared" ca="1" si="65"/>
        <v>46005</v>
      </c>
      <c r="J433">
        <f t="shared" ca="1" si="66"/>
        <v>56.120000000000005</v>
      </c>
      <c r="K433" t="str">
        <f t="shared" ca="1" si="67"/>
        <v>In Stock</v>
      </c>
      <c r="L433" s="2">
        <f t="shared" ca="1" si="68"/>
        <v>35</v>
      </c>
      <c r="M433" t="str">
        <f t="shared" ca="1" si="69"/>
        <v>Safe</v>
      </c>
    </row>
    <row r="434" spans="1:13" x14ac:dyDescent="0.25">
      <c r="A434" t="str">
        <f t="shared" si="60"/>
        <v>M433</v>
      </c>
      <c r="B434" t="str" cm="1">
        <f t="array" aca="1" ref="B434" ca="1">INDEX({"Paracetamol","Amoxicillin","Ibuprofen","Cetirizine","Metformin","Amlodipine","Omeprazole","Azithromycin","Losartan","Vitamin C"}, RANDBETWEEN(1,10))</f>
        <v>Omeprazole</v>
      </c>
      <c r="C434" t="str" cm="1">
        <f t="array" aca="1" ref="C434" ca="1">INDEX({"Painkiller","Antibiotic","Painkiller","Antihistamine","Diabetes","Hypertension","Antacid","Antibiotic","Hypertension","Supplement"},
MATCH(B434,{"Paracetamol","Amoxicillin","Ibuprofen","Cetirizine","Metformin","Amlodipine","Omeprazole","Azithromycin","Losartan","Vitamin C"},0))</f>
        <v>Antacid</v>
      </c>
      <c r="D434" t="str" cm="1">
        <f t="array" aca="1" ref="D434" ca="1">INDEX({"MedSupply Co","HealthCorp","PharmaPlus","GlobalMed"}, RANDBETWEEN(1,4))</f>
        <v>HealthCorp</v>
      </c>
      <c r="E434">
        <f t="shared" ca="1" si="61"/>
        <v>71</v>
      </c>
      <c r="F434">
        <f t="shared" ca="1" si="62"/>
        <v>52</v>
      </c>
      <c r="G434">
        <f t="shared" ca="1" si="63"/>
        <v>1.37</v>
      </c>
      <c r="H434" s="1">
        <f t="shared" ca="1" si="64"/>
        <v>46482</v>
      </c>
      <c r="I434" s="1">
        <f t="shared" ca="1" si="65"/>
        <v>45970</v>
      </c>
      <c r="J434">
        <f t="shared" ca="1" si="66"/>
        <v>97.27000000000001</v>
      </c>
      <c r="K434" t="str">
        <f t="shared" ca="1" si="67"/>
        <v>In Stock</v>
      </c>
      <c r="L434" s="2">
        <f t="shared" ca="1" si="68"/>
        <v>363</v>
      </c>
      <c r="M434" t="str">
        <f t="shared" ca="1" si="69"/>
        <v>Safe</v>
      </c>
    </row>
    <row r="435" spans="1:13" x14ac:dyDescent="0.25">
      <c r="A435" t="str">
        <f t="shared" si="60"/>
        <v>M434</v>
      </c>
      <c r="B435" t="str" cm="1">
        <f t="array" aca="1" ref="B435" ca="1">INDEX({"Paracetamol","Amoxicillin","Ibuprofen","Cetirizine","Metformin","Amlodipine","Omeprazole","Azithromycin","Losartan","Vitamin C"}, RANDBETWEEN(1,10))</f>
        <v>Ibuprofen</v>
      </c>
      <c r="C435" t="str" cm="1">
        <f t="array" aca="1" ref="C435" ca="1">INDEX({"Painkiller","Antibiotic","Painkiller","Antihistamine","Diabetes","Hypertension","Antacid","Antibiotic","Hypertension","Supplement"},
MATCH(B435,{"Paracetamol","Amoxicillin","Ibuprofen","Cetirizine","Metformin","Amlodipine","Omeprazole","Azithromycin","Losartan","Vitamin C"},0))</f>
        <v>Painkiller</v>
      </c>
      <c r="D435" t="str" cm="1">
        <f t="array" aca="1" ref="D435" ca="1">INDEX({"MedSupply Co","HealthCorp","PharmaPlus","GlobalMed"}, RANDBETWEEN(1,4))</f>
        <v>MedSupply Co</v>
      </c>
      <c r="E435">
        <f t="shared" ca="1" si="61"/>
        <v>131</v>
      </c>
      <c r="F435">
        <f t="shared" ca="1" si="62"/>
        <v>23</v>
      </c>
      <c r="G435">
        <f t="shared" ca="1" si="63"/>
        <v>0.7</v>
      </c>
      <c r="H435" s="1">
        <f t="shared" ca="1" si="64"/>
        <v>46250</v>
      </c>
      <c r="I435" s="1">
        <f t="shared" ca="1" si="65"/>
        <v>46022</v>
      </c>
      <c r="J435">
        <f t="shared" ca="1" si="66"/>
        <v>91.699999999999989</v>
      </c>
      <c r="K435" t="str">
        <f t="shared" ca="1" si="67"/>
        <v>In Stock</v>
      </c>
      <c r="L435" s="2">
        <f t="shared" ca="1" si="68"/>
        <v>131</v>
      </c>
      <c r="M435" t="str">
        <f t="shared" ca="1" si="69"/>
        <v>Safe</v>
      </c>
    </row>
    <row r="436" spans="1:13" x14ac:dyDescent="0.25">
      <c r="A436" t="str">
        <f t="shared" si="60"/>
        <v>M435</v>
      </c>
      <c r="B436" t="str" cm="1">
        <f t="array" aca="1" ref="B436" ca="1">INDEX({"Paracetamol","Amoxicillin","Ibuprofen","Cetirizine","Metformin","Amlodipine","Omeprazole","Azithromycin","Losartan","Vitamin C"}, RANDBETWEEN(1,10))</f>
        <v>Losartan</v>
      </c>
      <c r="C436" t="str" cm="1">
        <f t="array" aca="1" ref="C436" ca="1">INDEX({"Painkiller","Antibiotic","Painkiller","Antihistamine","Diabetes","Hypertension","Antacid","Antibiotic","Hypertension","Supplement"},
MATCH(B436,{"Paracetamol","Amoxicillin","Ibuprofen","Cetirizine","Metformin","Amlodipine","Omeprazole","Azithromycin","Losartan","Vitamin C"},0))</f>
        <v>Hypertension</v>
      </c>
      <c r="D436" t="str" cm="1">
        <f t="array" aca="1" ref="D436" ca="1">INDEX({"MedSupply Co","HealthCorp","PharmaPlus","GlobalMed"}, RANDBETWEEN(1,4))</f>
        <v>GlobalMed</v>
      </c>
      <c r="E436">
        <f t="shared" ca="1" si="61"/>
        <v>169</v>
      </c>
      <c r="F436">
        <f t="shared" ca="1" si="62"/>
        <v>28</v>
      </c>
      <c r="G436">
        <f t="shared" ca="1" si="63"/>
        <v>1.1200000000000001</v>
      </c>
      <c r="H436" s="1">
        <f t="shared" ca="1" si="64"/>
        <v>46427</v>
      </c>
      <c r="I436" s="1">
        <f t="shared" ca="1" si="65"/>
        <v>46011</v>
      </c>
      <c r="J436">
        <f t="shared" ca="1" si="66"/>
        <v>189.28000000000003</v>
      </c>
      <c r="K436" t="str">
        <f t="shared" ca="1" si="67"/>
        <v>In Stock</v>
      </c>
      <c r="L436" s="2">
        <f t="shared" ca="1" si="68"/>
        <v>308</v>
      </c>
      <c r="M436" t="str">
        <f t="shared" ca="1" si="69"/>
        <v>Safe</v>
      </c>
    </row>
    <row r="437" spans="1:13" x14ac:dyDescent="0.25">
      <c r="A437" t="str">
        <f t="shared" si="60"/>
        <v>M436</v>
      </c>
      <c r="B437" t="str" cm="1">
        <f t="array" aca="1" ref="B437" ca="1">INDEX({"Paracetamol","Amoxicillin","Ibuprofen","Cetirizine","Metformin","Amlodipine","Omeprazole","Azithromycin","Losartan","Vitamin C"}, RANDBETWEEN(1,10))</f>
        <v>Ibuprofen</v>
      </c>
      <c r="C437" t="str" cm="1">
        <f t="array" aca="1" ref="C437" ca="1">INDEX({"Painkiller","Antibiotic","Painkiller","Antihistamine","Diabetes","Hypertension","Antacid","Antibiotic","Hypertension","Supplement"},
MATCH(B437,{"Paracetamol","Amoxicillin","Ibuprofen","Cetirizine","Metformin","Amlodipine","Omeprazole","Azithromycin","Losartan","Vitamin C"},0))</f>
        <v>Painkiller</v>
      </c>
      <c r="D437" t="str" cm="1">
        <f t="array" aca="1" ref="D437" ca="1">INDEX({"MedSupply Co","HealthCorp","PharmaPlus","GlobalMed"}, RANDBETWEEN(1,4))</f>
        <v>PharmaPlus</v>
      </c>
      <c r="E437">
        <f t="shared" ca="1" si="61"/>
        <v>138</v>
      </c>
      <c r="F437">
        <f t="shared" ca="1" si="62"/>
        <v>39</v>
      </c>
      <c r="G437">
        <f t="shared" ca="1" si="63"/>
        <v>1.44</v>
      </c>
      <c r="H437" s="1">
        <f t="shared" ca="1" si="64"/>
        <v>46277</v>
      </c>
      <c r="I437" s="1">
        <f t="shared" ca="1" si="65"/>
        <v>46013</v>
      </c>
      <c r="J437">
        <f t="shared" ca="1" si="66"/>
        <v>198.72</v>
      </c>
      <c r="K437" t="str">
        <f t="shared" ca="1" si="67"/>
        <v>In Stock</v>
      </c>
      <c r="L437" s="2">
        <f t="shared" ca="1" si="68"/>
        <v>158</v>
      </c>
      <c r="M437" t="str">
        <f t="shared" ca="1" si="69"/>
        <v>Safe</v>
      </c>
    </row>
    <row r="438" spans="1:13" x14ac:dyDescent="0.25">
      <c r="A438" t="str">
        <f t="shared" si="60"/>
        <v>M437</v>
      </c>
      <c r="B438" t="str" cm="1">
        <f t="array" aca="1" ref="B438" ca="1">INDEX({"Paracetamol","Amoxicillin","Ibuprofen","Cetirizine","Metformin","Amlodipine","Omeprazole","Azithromycin","Losartan","Vitamin C"}, RANDBETWEEN(1,10))</f>
        <v>Metformin</v>
      </c>
      <c r="C438" t="str" cm="1">
        <f t="array" aca="1" ref="C438" ca="1">INDEX({"Painkiller","Antibiotic","Painkiller","Antihistamine","Diabetes","Hypertension","Antacid","Antibiotic","Hypertension","Supplement"},
MATCH(B438,{"Paracetamol","Amoxicillin","Ibuprofen","Cetirizine","Metformin","Amlodipine","Omeprazole","Azithromycin","Losartan","Vitamin C"},0))</f>
        <v>Diabetes</v>
      </c>
      <c r="D438" t="str" cm="1">
        <f t="array" aca="1" ref="D438" ca="1">INDEX({"MedSupply Co","HealthCorp","PharmaPlus","GlobalMed"}, RANDBETWEEN(1,4))</f>
        <v>PharmaPlus</v>
      </c>
      <c r="E438">
        <f t="shared" ca="1" si="61"/>
        <v>32</v>
      </c>
      <c r="F438">
        <f t="shared" ca="1" si="62"/>
        <v>79</v>
      </c>
      <c r="G438">
        <f t="shared" ca="1" si="63"/>
        <v>0.57999999999999996</v>
      </c>
      <c r="H438" s="1">
        <f t="shared" ca="1" si="64"/>
        <v>46467</v>
      </c>
      <c r="I438" s="1">
        <f t="shared" ca="1" si="65"/>
        <v>46075</v>
      </c>
      <c r="J438">
        <f t="shared" ca="1" si="66"/>
        <v>18.559999999999999</v>
      </c>
      <c r="K438" t="str">
        <f t="shared" ca="1" si="67"/>
        <v>Low Stock</v>
      </c>
      <c r="L438" s="2">
        <f t="shared" ca="1" si="68"/>
        <v>348</v>
      </c>
      <c r="M438" t="str">
        <f t="shared" ca="1" si="69"/>
        <v>Safe</v>
      </c>
    </row>
    <row r="439" spans="1:13" x14ac:dyDescent="0.25">
      <c r="A439" t="str">
        <f t="shared" si="60"/>
        <v>M438</v>
      </c>
      <c r="B439" t="str" cm="1">
        <f t="array" aca="1" ref="B439" ca="1">INDEX({"Paracetamol","Amoxicillin","Ibuprofen","Cetirizine","Metformin","Amlodipine","Omeprazole","Azithromycin","Losartan","Vitamin C"}, RANDBETWEEN(1,10))</f>
        <v>Metformin</v>
      </c>
      <c r="C439" t="str" cm="1">
        <f t="array" aca="1" ref="C439" ca="1">INDEX({"Painkiller","Antibiotic","Painkiller","Antihistamine","Diabetes","Hypertension","Antacid","Antibiotic","Hypertension","Supplement"},
MATCH(B439,{"Paracetamol","Amoxicillin","Ibuprofen","Cetirizine","Metformin","Amlodipine","Omeprazole","Azithromycin","Losartan","Vitamin C"},0))</f>
        <v>Diabetes</v>
      </c>
      <c r="D439" t="str" cm="1">
        <f t="array" aca="1" ref="D439" ca="1">INDEX({"MedSupply Co","HealthCorp","PharmaPlus","GlobalMed"}, RANDBETWEEN(1,4))</f>
        <v>PharmaPlus</v>
      </c>
      <c r="E439">
        <f t="shared" ca="1" si="61"/>
        <v>125</v>
      </c>
      <c r="F439">
        <f t="shared" ca="1" si="62"/>
        <v>20</v>
      </c>
      <c r="G439">
        <f t="shared" ca="1" si="63"/>
        <v>1.83</v>
      </c>
      <c r="H439" s="1">
        <f t="shared" ca="1" si="64"/>
        <v>46353</v>
      </c>
      <c r="I439" s="1">
        <f t="shared" ca="1" si="65"/>
        <v>45954</v>
      </c>
      <c r="J439">
        <f t="shared" ca="1" si="66"/>
        <v>228.75</v>
      </c>
      <c r="K439" t="str">
        <f t="shared" ca="1" si="67"/>
        <v>In Stock</v>
      </c>
      <c r="L439" s="2">
        <f t="shared" ca="1" si="68"/>
        <v>234</v>
      </c>
      <c r="M439" t="str">
        <f t="shared" ca="1" si="69"/>
        <v>Safe</v>
      </c>
    </row>
    <row r="440" spans="1:13" x14ac:dyDescent="0.25">
      <c r="A440" t="str">
        <f t="shared" si="60"/>
        <v>M439</v>
      </c>
      <c r="B440" t="str" cm="1">
        <f t="array" aca="1" ref="B440" ca="1">INDEX({"Paracetamol","Amoxicillin","Ibuprofen","Cetirizine","Metformin","Amlodipine","Omeprazole","Azithromycin","Losartan","Vitamin C"}, RANDBETWEEN(1,10))</f>
        <v>Amoxicillin</v>
      </c>
      <c r="C440" t="str" cm="1">
        <f t="array" aca="1" ref="C440" ca="1">INDEX({"Painkiller","Antibiotic","Painkiller","Antihistamine","Diabetes","Hypertension","Antacid","Antibiotic","Hypertension","Supplement"},
MATCH(B440,{"Paracetamol","Amoxicillin","Ibuprofen","Cetirizine","Metformin","Amlodipine","Omeprazole","Azithromycin","Losartan","Vitamin C"},0))</f>
        <v>Antibiotic</v>
      </c>
      <c r="D440" t="str" cm="1">
        <f t="array" aca="1" ref="D440" ca="1">INDEX({"MedSupply Co","HealthCorp","PharmaPlus","GlobalMed"}, RANDBETWEEN(1,4))</f>
        <v>GlobalMed</v>
      </c>
      <c r="E440">
        <f t="shared" ca="1" si="61"/>
        <v>143</v>
      </c>
      <c r="F440">
        <f t="shared" ca="1" si="62"/>
        <v>93</v>
      </c>
      <c r="G440">
        <f t="shared" ca="1" si="63"/>
        <v>0.61</v>
      </c>
      <c r="H440" s="1">
        <f t="shared" ca="1" si="64"/>
        <v>46429</v>
      </c>
      <c r="I440" s="1">
        <f t="shared" ca="1" si="65"/>
        <v>45999</v>
      </c>
      <c r="J440">
        <f t="shared" ca="1" si="66"/>
        <v>87.23</v>
      </c>
      <c r="K440" t="str">
        <f t="shared" ca="1" si="67"/>
        <v>In Stock</v>
      </c>
      <c r="L440" s="2">
        <f t="shared" ca="1" si="68"/>
        <v>310</v>
      </c>
      <c r="M440" t="str">
        <f t="shared" ca="1" si="69"/>
        <v>Safe</v>
      </c>
    </row>
    <row r="441" spans="1:13" x14ac:dyDescent="0.25">
      <c r="A441" t="str">
        <f t="shared" si="60"/>
        <v>M440</v>
      </c>
      <c r="B441" t="str" cm="1">
        <f t="array" aca="1" ref="B441" ca="1">INDEX({"Paracetamol","Amoxicillin","Ibuprofen","Cetirizine","Metformin","Amlodipine","Omeprazole","Azithromycin","Losartan","Vitamin C"}, RANDBETWEEN(1,10))</f>
        <v>Azithromycin</v>
      </c>
      <c r="C441" t="str" cm="1">
        <f t="array" aca="1" ref="C441" ca="1">INDEX({"Painkiller","Antibiotic","Painkiller","Antihistamine","Diabetes","Hypertension","Antacid","Antibiotic","Hypertension","Supplement"},
MATCH(B441,{"Paracetamol","Amoxicillin","Ibuprofen","Cetirizine","Metformin","Amlodipine","Omeprazole","Azithromycin","Losartan","Vitamin C"},0))</f>
        <v>Antibiotic</v>
      </c>
      <c r="D441" t="str" cm="1">
        <f t="array" aca="1" ref="D441" ca="1">INDEX({"MedSupply Co","HealthCorp","PharmaPlus","GlobalMed"}, RANDBETWEEN(1,4))</f>
        <v>PharmaPlus</v>
      </c>
      <c r="E441">
        <f t="shared" ca="1" si="61"/>
        <v>162</v>
      </c>
      <c r="F441">
        <f t="shared" ca="1" si="62"/>
        <v>83</v>
      </c>
      <c r="G441">
        <f t="shared" ca="1" si="63"/>
        <v>1.93</v>
      </c>
      <c r="H441" s="1">
        <f t="shared" ca="1" si="64"/>
        <v>46269</v>
      </c>
      <c r="I441" s="1">
        <f t="shared" ca="1" si="65"/>
        <v>46107</v>
      </c>
      <c r="J441">
        <f t="shared" ca="1" si="66"/>
        <v>312.65999999999997</v>
      </c>
      <c r="K441" t="str">
        <f t="shared" ca="1" si="67"/>
        <v>In Stock</v>
      </c>
      <c r="L441" s="2">
        <f t="shared" ca="1" si="68"/>
        <v>150</v>
      </c>
      <c r="M441" t="str">
        <f t="shared" ca="1" si="69"/>
        <v>Safe</v>
      </c>
    </row>
    <row r="442" spans="1:13" x14ac:dyDescent="0.25">
      <c r="A442" t="str">
        <f t="shared" si="60"/>
        <v>M441</v>
      </c>
      <c r="B442" t="str" cm="1">
        <f t="array" aca="1" ref="B442" ca="1">INDEX({"Paracetamol","Amoxicillin","Ibuprofen","Cetirizine","Metformin","Amlodipine","Omeprazole","Azithromycin","Losartan","Vitamin C"}, RANDBETWEEN(1,10))</f>
        <v>Azithromycin</v>
      </c>
      <c r="C442" t="str" cm="1">
        <f t="array" aca="1" ref="C442" ca="1">INDEX({"Painkiller","Antibiotic","Painkiller","Antihistamine","Diabetes","Hypertension","Antacid","Antibiotic","Hypertension","Supplement"},
MATCH(B442,{"Paracetamol","Amoxicillin","Ibuprofen","Cetirizine","Metformin","Amlodipine","Omeprazole","Azithromycin","Losartan","Vitamin C"},0))</f>
        <v>Antibiotic</v>
      </c>
      <c r="D442" t="str" cm="1">
        <f t="array" aca="1" ref="D442" ca="1">INDEX({"MedSupply Co","HealthCorp","PharmaPlus","GlobalMed"}, RANDBETWEEN(1,4))</f>
        <v>GlobalMed</v>
      </c>
      <c r="E442">
        <f t="shared" ca="1" si="61"/>
        <v>116</v>
      </c>
      <c r="F442">
        <f t="shared" ca="1" si="62"/>
        <v>60</v>
      </c>
      <c r="G442">
        <f t="shared" ca="1" si="63"/>
        <v>0.59</v>
      </c>
      <c r="H442" s="1">
        <f t="shared" ca="1" si="64"/>
        <v>46403</v>
      </c>
      <c r="I442" s="1">
        <f t="shared" ca="1" si="65"/>
        <v>46097</v>
      </c>
      <c r="J442">
        <f t="shared" ca="1" si="66"/>
        <v>68.44</v>
      </c>
      <c r="K442" t="str">
        <f t="shared" ca="1" si="67"/>
        <v>In Stock</v>
      </c>
      <c r="L442" s="2">
        <f t="shared" ca="1" si="68"/>
        <v>284</v>
      </c>
      <c r="M442" t="str">
        <f t="shared" ca="1" si="69"/>
        <v>Safe</v>
      </c>
    </row>
    <row r="443" spans="1:13" x14ac:dyDescent="0.25">
      <c r="A443" t="str">
        <f t="shared" si="60"/>
        <v>M442</v>
      </c>
      <c r="B443" t="str" cm="1">
        <f t="array" aca="1" ref="B443" ca="1">INDEX({"Paracetamol","Amoxicillin","Ibuprofen","Cetirizine","Metformin","Amlodipine","Omeprazole","Azithromycin","Losartan","Vitamin C"}, RANDBETWEEN(1,10))</f>
        <v>Omeprazole</v>
      </c>
      <c r="C443" t="str" cm="1">
        <f t="array" aca="1" ref="C443" ca="1">INDEX({"Painkiller","Antibiotic","Painkiller","Antihistamine","Diabetes","Hypertension","Antacid","Antibiotic","Hypertension","Supplement"},
MATCH(B443,{"Paracetamol","Amoxicillin","Ibuprofen","Cetirizine","Metformin","Amlodipine","Omeprazole","Azithromycin","Losartan","Vitamin C"},0))</f>
        <v>Antacid</v>
      </c>
      <c r="D443" t="str" cm="1">
        <f t="array" aca="1" ref="D443" ca="1">INDEX({"MedSupply Co","HealthCorp","PharmaPlus","GlobalMed"}, RANDBETWEEN(1,4))</f>
        <v>HealthCorp</v>
      </c>
      <c r="E443">
        <f t="shared" ca="1" si="61"/>
        <v>14</v>
      </c>
      <c r="F443">
        <f t="shared" ca="1" si="62"/>
        <v>86</v>
      </c>
      <c r="G443">
        <f t="shared" ca="1" si="63"/>
        <v>0.96</v>
      </c>
      <c r="H443" s="1">
        <f t="shared" ca="1" si="64"/>
        <v>46245</v>
      </c>
      <c r="I443" s="1">
        <f t="shared" ca="1" si="65"/>
        <v>46015</v>
      </c>
      <c r="J443">
        <f t="shared" ca="1" si="66"/>
        <v>13.44</v>
      </c>
      <c r="K443" t="str">
        <f t="shared" ca="1" si="67"/>
        <v>Low Stock</v>
      </c>
      <c r="L443" s="2">
        <f t="shared" ca="1" si="68"/>
        <v>126</v>
      </c>
      <c r="M443" t="str">
        <f t="shared" ca="1" si="69"/>
        <v>Safe</v>
      </c>
    </row>
    <row r="444" spans="1:13" x14ac:dyDescent="0.25">
      <c r="A444" t="str">
        <f t="shared" si="60"/>
        <v>M443</v>
      </c>
      <c r="B444" t="str" cm="1">
        <f t="array" aca="1" ref="B444" ca="1">INDEX({"Paracetamol","Amoxicillin","Ibuprofen","Cetirizine","Metformin","Amlodipine","Omeprazole","Azithromycin","Losartan","Vitamin C"}, RANDBETWEEN(1,10))</f>
        <v>Azithromycin</v>
      </c>
      <c r="C444" t="str" cm="1">
        <f t="array" aca="1" ref="C444" ca="1">INDEX({"Painkiller","Antibiotic","Painkiller","Antihistamine","Diabetes","Hypertension","Antacid","Antibiotic","Hypertension","Supplement"},
MATCH(B444,{"Paracetamol","Amoxicillin","Ibuprofen","Cetirizine","Metformin","Amlodipine","Omeprazole","Azithromycin","Losartan","Vitamin C"},0))</f>
        <v>Antibiotic</v>
      </c>
      <c r="D444" t="str" cm="1">
        <f t="array" aca="1" ref="D444" ca="1">INDEX({"MedSupply Co","HealthCorp","PharmaPlus","GlobalMed"}, RANDBETWEEN(1,4))</f>
        <v>PharmaPlus</v>
      </c>
      <c r="E444">
        <f t="shared" ca="1" si="61"/>
        <v>126</v>
      </c>
      <c r="F444">
        <f t="shared" ca="1" si="62"/>
        <v>89</v>
      </c>
      <c r="G444">
        <f t="shared" ca="1" si="63"/>
        <v>0.66</v>
      </c>
      <c r="H444" s="1">
        <f t="shared" ca="1" si="64"/>
        <v>46441</v>
      </c>
      <c r="I444" s="1">
        <f t="shared" ca="1" si="65"/>
        <v>45953</v>
      </c>
      <c r="J444">
        <f t="shared" ca="1" si="66"/>
        <v>83.160000000000011</v>
      </c>
      <c r="K444" t="str">
        <f t="shared" ca="1" si="67"/>
        <v>In Stock</v>
      </c>
      <c r="L444" s="2">
        <f t="shared" ca="1" si="68"/>
        <v>322</v>
      </c>
      <c r="M444" t="str">
        <f t="shared" ca="1" si="69"/>
        <v>Safe</v>
      </c>
    </row>
    <row r="445" spans="1:13" x14ac:dyDescent="0.25">
      <c r="A445" t="str">
        <f t="shared" si="60"/>
        <v>M444</v>
      </c>
      <c r="B445" t="str" cm="1">
        <f t="array" aca="1" ref="B445" ca="1">INDEX({"Paracetamol","Amoxicillin","Ibuprofen","Cetirizine","Metformin","Amlodipine","Omeprazole","Azithromycin","Losartan","Vitamin C"}, RANDBETWEEN(1,10))</f>
        <v>Metformin</v>
      </c>
      <c r="C445" t="str" cm="1">
        <f t="array" aca="1" ref="C445" ca="1">INDEX({"Painkiller","Antibiotic","Painkiller","Antihistamine","Diabetes","Hypertension","Antacid","Antibiotic","Hypertension","Supplement"},
MATCH(B445,{"Paracetamol","Amoxicillin","Ibuprofen","Cetirizine","Metformin","Amlodipine","Omeprazole","Azithromycin","Losartan","Vitamin C"},0))</f>
        <v>Diabetes</v>
      </c>
      <c r="D445" t="str" cm="1">
        <f t="array" aca="1" ref="D445" ca="1">INDEX({"MedSupply Co","HealthCorp","PharmaPlus","GlobalMed"}, RANDBETWEEN(1,4))</f>
        <v>GlobalMed</v>
      </c>
      <c r="E445">
        <f t="shared" ca="1" si="61"/>
        <v>145</v>
      </c>
      <c r="F445">
        <f t="shared" ca="1" si="62"/>
        <v>99</v>
      </c>
      <c r="G445">
        <f t="shared" ca="1" si="63"/>
        <v>0.89</v>
      </c>
      <c r="H445" s="1">
        <f t="shared" ca="1" si="64"/>
        <v>46156</v>
      </c>
      <c r="I445" s="1">
        <f t="shared" ca="1" si="65"/>
        <v>46004</v>
      </c>
      <c r="J445">
        <f t="shared" ca="1" si="66"/>
        <v>129.05000000000001</v>
      </c>
      <c r="K445" t="str">
        <f t="shared" ca="1" si="67"/>
        <v>In Stock</v>
      </c>
      <c r="L445" s="2">
        <f t="shared" ca="1" si="68"/>
        <v>37</v>
      </c>
      <c r="M445" t="str">
        <f t="shared" ca="1" si="69"/>
        <v>Safe</v>
      </c>
    </row>
    <row r="446" spans="1:13" x14ac:dyDescent="0.25">
      <c r="A446" t="str">
        <f t="shared" si="60"/>
        <v>M445</v>
      </c>
      <c r="B446" t="str" cm="1">
        <f t="array" aca="1" ref="B446" ca="1">INDEX({"Paracetamol","Amoxicillin","Ibuprofen","Cetirizine","Metformin","Amlodipine","Omeprazole","Azithromycin","Losartan","Vitamin C"}, RANDBETWEEN(1,10))</f>
        <v>Cetirizine</v>
      </c>
      <c r="C446" t="str" cm="1">
        <f t="array" aca="1" ref="C446" ca="1">INDEX({"Painkiller","Antibiotic","Painkiller","Antihistamine","Diabetes","Hypertension","Antacid","Antibiotic","Hypertension","Supplement"},
MATCH(B446,{"Paracetamol","Amoxicillin","Ibuprofen","Cetirizine","Metformin","Amlodipine","Omeprazole","Azithromycin","Losartan","Vitamin C"},0))</f>
        <v>Antihistamine</v>
      </c>
      <c r="D446" t="str" cm="1">
        <f t="array" aca="1" ref="D446" ca="1">INDEX({"MedSupply Co","HealthCorp","PharmaPlus","GlobalMed"}, RANDBETWEEN(1,4))</f>
        <v>GlobalMed</v>
      </c>
      <c r="E446">
        <f t="shared" ca="1" si="61"/>
        <v>180</v>
      </c>
      <c r="F446">
        <f t="shared" ca="1" si="62"/>
        <v>30</v>
      </c>
      <c r="G446">
        <f t="shared" ca="1" si="63"/>
        <v>0.53</v>
      </c>
      <c r="H446" s="1">
        <f t="shared" ca="1" si="64"/>
        <v>46212</v>
      </c>
      <c r="I446" s="1">
        <f t="shared" ca="1" si="65"/>
        <v>46022</v>
      </c>
      <c r="J446">
        <f t="shared" ca="1" si="66"/>
        <v>95.4</v>
      </c>
      <c r="K446" t="str">
        <f t="shared" ca="1" si="67"/>
        <v>In Stock</v>
      </c>
      <c r="L446" s="2">
        <f t="shared" ca="1" si="68"/>
        <v>93</v>
      </c>
      <c r="M446" t="str">
        <f t="shared" ca="1" si="69"/>
        <v>Safe</v>
      </c>
    </row>
    <row r="447" spans="1:13" x14ac:dyDescent="0.25">
      <c r="A447" t="str">
        <f t="shared" si="60"/>
        <v>M446</v>
      </c>
      <c r="B447" t="str" cm="1">
        <f t="array" aca="1" ref="B447" ca="1">INDEX({"Paracetamol","Amoxicillin","Ibuprofen","Cetirizine","Metformin","Amlodipine","Omeprazole","Azithromycin","Losartan","Vitamin C"}, RANDBETWEEN(1,10))</f>
        <v>Omeprazole</v>
      </c>
      <c r="C447" t="str" cm="1">
        <f t="array" aca="1" ref="C447" ca="1">INDEX({"Painkiller","Antibiotic","Painkiller","Antihistamine","Diabetes","Hypertension","Antacid","Antibiotic","Hypertension","Supplement"},
MATCH(B447,{"Paracetamol","Amoxicillin","Ibuprofen","Cetirizine","Metformin","Amlodipine","Omeprazole","Azithromycin","Losartan","Vitamin C"},0))</f>
        <v>Antacid</v>
      </c>
      <c r="D447" t="str" cm="1">
        <f t="array" aca="1" ref="D447" ca="1">INDEX({"MedSupply Co","HealthCorp","PharmaPlus","GlobalMed"}, RANDBETWEEN(1,4))</f>
        <v>MedSupply Co</v>
      </c>
      <c r="E447">
        <f t="shared" ca="1" si="61"/>
        <v>23</v>
      </c>
      <c r="F447">
        <f t="shared" ca="1" si="62"/>
        <v>49</v>
      </c>
      <c r="G447">
        <f t="shared" ca="1" si="63"/>
        <v>1.82</v>
      </c>
      <c r="H447" s="1">
        <f t="shared" ca="1" si="64"/>
        <v>46249</v>
      </c>
      <c r="I447" s="1">
        <f t="shared" ca="1" si="65"/>
        <v>46097</v>
      </c>
      <c r="J447">
        <f t="shared" ca="1" si="66"/>
        <v>41.86</v>
      </c>
      <c r="K447" t="str">
        <f t="shared" ca="1" si="67"/>
        <v>Low Stock</v>
      </c>
      <c r="L447" s="2">
        <f t="shared" ca="1" si="68"/>
        <v>130</v>
      </c>
      <c r="M447" t="str">
        <f t="shared" ca="1" si="69"/>
        <v>Safe</v>
      </c>
    </row>
    <row r="448" spans="1:13" x14ac:dyDescent="0.25">
      <c r="A448" t="str">
        <f t="shared" si="60"/>
        <v>M447</v>
      </c>
      <c r="B448" t="str" cm="1">
        <f t="array" aca="1" ref="B448" ca="1">INDEX({"Paracetamol","Amoxicillin","Ibuprofen","Cetirizine","Metformin","Amlodipine","Omeprazole","Azithromycin","Losartan","Vitamin C"}, RANDBETWEEN(1,10))</f>
        <v>Ibuprofen</v>
      </c>
      <c r="C448" t="str" cm="1">
        <f t="array" aca="1" ref="C448" ca="1">INDEX({"Painkiller","Antibiotic","Painkiller","Antihistamine","Diabetes","Hypertension","Antacid","Antibiotic","Hypertension","Supplement"},
MATCH(B448,{"Paracetamol","Amoxicillin","Ibuprofen","Cetirizine","Metformin","Amlodipine","Omeprazole","Azithromycin","Losartan","Vitamin C"},0))</f>
        <v>Painkiller</v>
      </c>
      <c r="D448" t="str" cm="1">
        <f t="array" aca="1" ref="D448" ca="1">INDEX({"MedSupply Co","HealthCorp","PharmaPlus","GlobalMed"}, RANDBETWEEN(1,4))</f>
        <v>PharmaPlus</v>
      </c>
      <c r="E448">
        <f t="shared" ca="1" si="61"/>
        <v>87</v>
      </c>
      <c r="F448">
        <f t="shared" ca="1" si="62"/>
        <v>82</v>
      </c>
      <c r="G448">
        <f t="shared" ca="1" si="63"/>
        <v>0.99</v>
      </c>
      <c r="H448" s="1">
        <f t="shared" ca="1" si="64"/>
        <v>46288</v>
      </c>
      <c r="I448" s="1">
        <f t="shared" ca="1" si="65"/>
        <v>45960</v>
      </c>
      <c r="J448">
        <f t="shared" ca="1" si="66"/>
        <v>86.13</v>
      </c>
      <c r="K448" t="str">
        <f t="shared" ca="1" si="67"/>
        <v>In Stock</v>
      </c>
      <c r="L448" s="2">
        <f t="shared" ca="1" si="68"/>
        <v>169</v>
      </c>
      <c r="M448" t="str">
        <f t="shared" ca="1" si="69"/>
        <v>Safe</v>
      </c>
    </row>
    <row r="449" spans="1:13" x14ac:dyDescent="0.25">
      <c r="A449" t="str">
        <f t="shared" si="60"/>
        <v>M448</v>
      </c>
      <c r="B449" t="str" cm="1">
        <f t="array" aca="1" ref="B449" ca="1">INDEX({"Paracetamol","Amoxicillin","Ibuprofen","Cetirizine","Metformin","Amlodipine","Omeprazole","Azithromycin","Losartan","Vitamin C"}, RANDBETWEEN(1,10))</f>
        <v>Paracetamol</v>
      </c>
      <c r="C449" t="str" cm="1">
        <f t="array" aca="1" ref="C449" ca="1">INDEX({"Painkiller","Antibiotic","Painkiller","Antihistamine","Diabetes","Hypertension","Antacid","Antibiotic","Hypertension","Supplement"},
MATCH(B449,{"Paracetamol","Amoxicillin","Ibuprofen","Cetirizine","Metformin","Amlodipine","Omeprazole","Azithromycin","Losartan","Vitamin C"},0))</f>
        <v>Painkiller</v>
      </c>
      <c r="D449" t="str" cm="1">
        <f t="array" aca="1" ref="D449" ca="1">INDEX({"MedSupply Co","HealthCorp","PharmaPlus","GlobalMed"}, RANDBETWEEN(1,4))</f>
        <v>MedSupply Co</v>
      </c>
      <c r="E449">
        <f t="shared" ca="1" si="61"/>
        <v>92</v>
      </c>
      <c r="F449">
        <f t="shared" ca="1" si="62"/>
        <v>97</v>
      </c>
      <c r="G449">
        <f t="shared" ca="1" si="63"/>
        <v>1.28</v>
      </c>
      <c r="H449" s="1">
        <f t="shared" ca="1" si="64"/>
        <v>46460</v>
      </c>
      <c r="I449" s="1">
        <f t="shared" ca="1" si="65"/>
        <v>45940</v>
      </c>
      <c r="J449">
        <f t="shared" ca="1" si="66"/>
        <v>117.76</v>
      </c>
      <c r="K449" t="str">
        <f t="shared" ca="1" si="67"/>
        <v>Low Stock</v>
      </c>
      <c r="L449" s="2">
        <f t="shared" ca="1" si="68"/>
        <v>341</v>
      </c>
      <c r="M449" t="str">
        <f t="shared" ca="1" si="69"/>
        <v>Safe</v>
      </c>
    </row>
    <row r="450" spans="1:13" x14ac:dyDescent="0.25">
      <c r="A450" t="str">
        <f t="shared" si="60"/>
        <v>M449</v>
      </c>
      <c r="B450" t="str" cm="1">
        <f t="array" aca="1" ref="B450" ca="1">INDEX({"Paracetamol","Amoxicillin","Ibuprofen","Cetirizine","Metformin","Amlodipine","Omeprazole","Azithromycin","Losartan","Vitamin C"}, RANDBETWEEN(1,10))</f>
        <v>Vitamin C</v>
      </c>
      <c r="C450" t="str" cm="1">
        <f t="array" aca="1" ref="C450" ca="1">INDEX({"Painkiller","Antibiotic","Painkiller","Antihistamine","Diabetes","Hypertension","Antacid","Antibiotic","Hypertension","Supplement"},
MATCH(B450,{"Paracetamol","Amoxicillin","Ibuprofen","Cetirizine","Metformin","Amlodipine","Omeprazole","Azithromycin","Losartan","Vitamin C"},0))</f>
        <v>Supplement</v>
      </c>
      <c r="D450" t="str" cm="1">
        <f t="array" aca="1" ref="D450" ca="1">INDEX({"MedSupply Co","HealthCorp","PharmaPlus","GlobalMed"}, RANDBETWEEN(1,4))</f>
        <v>HealthCorp</v>
      </c>
      <c r="E450">
        <f t="shared" ca="1" si="61"/>
        <v>154</v>
      </c>
      <c r="F450">
        <f t="shared" ca="1" si="62"/>
        <v>88</v>
      </c>
      <c r="G450">
        <f t="shared" ca="1" si="63"/>
        <v>1.52</v>
      </c>
      <c r="H450" s="1">
        <f t="shared" ca="1" si="64"/>
        <v>46373</v>
      </c>
      <c r="I450" s="1">
        <f t="shared" ca="1" si="65"/>
        <v>45990</v>
      </c>
      <c r="J450">
        <f t="shared" ca="1" si="66"/>
        <v>234.08</v>
      </c>
      <c r="K450" t="str">
        <f t="shared" ca="1" si="67"/>
        <v>In Stock</v>
      </c>
      <c r="L450" s="2">
        <f t="shared" ca="1" si="68"/>
        <v>254</v>
      </c>
      <c r="M450" t="str">
        <f t="shared" ca="1" si="69"/>
        <v>Safe</v>
      </c>
    </row>
    <row r="451" spans="1:13" x14ac:dyDescent="0.25">
      <c r="A451" t="str">
        <f t="shared" ref="A451:A514" si="70">"M"&amp;TEXT(ROW(A450),"000")</f>
        <v>M450</v>
      </c>
      <c r="B451" t="str" cm="1">
        <f t="array" aca="1" ref="B451" ca="1">INDEX({"Paracetamol","Amoxicillin","Ibuprofen","Cetirizine","Metformin","Amlodipine","Omeprazole","Azithromycin","Losartan","Vitamin C"}, RANDBETWEEN(1,10))</f>
        <v>Losartan</v>
      </c>
      <c r="C451" t="str" cm="1">
        <f t="array" aca="1" ref="C451" ca="1">INDEX({"Painkiller","Antibiotic","Painkiller","Antihistamine","Diabetes","Hypertension","Antacid","Antibiotic","Hypertension","Supplement"},
MATCH(B451,{"Paracetamol","Amoxicillin","Ibuprofen","Cetirizine","Metformin","Amlodipine","Omeprazole","Azithromycin","Losartan","Vitamin C"},0))</f>
        <v>Hypertension</v>
      </c>
      <c r="D451" t="str" cm="1">
        <f t="array" aca="1" ref="D451" ca="1">INDEX({"MedSupply Co","HealthCorp","PharmaPlus","GlobalMed"}, RANDBETWEEN(1,4))</f>
        <v>MedSupply Co</v>
      </c>
      <c r="E451">
        <f t="shared" ref="E451:E514" ca="1" si="71">RANDBETWEEN(0,200)</f>
        <v>39</v>
      </c>
      <c r="F451">
        <f t="shared" ref="F451:F514" ca="1" si="72">RANDBETWEEN(20,100)</f>
        <v>57</v>
      </c>
      <c r="G451">
        <f t="shared" ref="G451:G514" ca="1" si="73">ROUND(RANDBETWEEN(50,200)/100,2)</f>
        <v>1.1599999999999999</v>
      </c>
      <c r="H451" s="1">
        <f t="shared" ref="H451:H514" ca="1" si="74">TODAY()+RANDBETWEEN(30,365)</f>
        <v>46384</v>
      </c>
      <c r="I451" s="1">
        <f t="shared" ref="I451:I514" ca="1" si="75">TODAY()-RANDBETWEEN(1,180)</f>
        <v>45965</v>
      </c>
      <c r="J451">
        <f t="shared" ref="J451:J514" ca="1" si="76">E451*G451</f>
        <v>45.239999999999995</v>
      </c>
      <c r="K451" t="str">
        <f t="shared" ref="K451:K514" ca="1" si="77">IF(E451=0,"Out of Stock",IF(E451&lt;F451,"Low Stock","In Stock"))</f>
        <v>Low Stock</v>
      </c>
      <c r="L451" s="2">
        <f t="shared" ref="L451:L514" ca="1" si="78">H451-TODAY()</f>
        <v>265</v>
      </c>
      <c r="M451" t="str">
        <f t="shared" ref="M451:M514" ca="1" si="79">IF(H451&lt;=TODAY()+30,"Expiring Soon","Safe")</f>
        <v>Safe</v>
      </c>
    </row>
    <row r="452" spans="1:13" x14ac:dyDescent="0.25">
      <c r="A452" t="str">
        <f t="shared" si="70"/>
        <v>M451</v>
      </c>
      <c r="B452" t="str" cm="1">
        <f t="array" aca="1" ref="B452" ca="1">INDEX({"Paracetamol","Amoxicillin","Ibuprofen","Cetirizine","Metformin","Amlodipine","Omeprazole","Azithromycin","Losartan","Vitamin C"}, RANDBETWEEN(1,10))</f>
        <v>Losartan</v>
      </c>
      <c r="C452" t="str" cm="1">
        <f t="array" aca="1" ref="C452" ca="1">INDEX({"Painkiller","Antibiotic","Painkiller","Antihistamine","Diabetes","Hypertension","Antacid","Antibiotic","Hypertension","Supplement"},
MATCH(B452,{"Paracetamol","Amoxicillin","Ibuprofen","Cetirizine","Metformin","Amlodipine","Omeprazole","Azithromycin","Losartan","Vitamin C"},0))</f>
        <v>Hypertension</v>
      </c>
      <c r="D452" t="str" cm="1">
        <f t="array" aca="1" ref="D452" ca="1">INDEX({"MedSupply Co","HealthCorp","PharmaPlus","GlobalMed"}, RANDBETWEEN(1,4))</f>
        <v>GlobalMed</v>
      </c>
      <c r="E452">
        <f t="shared" ca="1" si="71"/>
        <v>165</v>
      </c>
      <c r="F452">
        <f t="shared" ca="1" si="72"/>
        <v>82</v>
      </c>
      <c r="G452">
        <f t="shared" ca="1" si="73"/>
        <v>1.54</v>
      </c>
      <c r="H452" s="1">
        <f t="shared" ca="1" si="74"/>
        <v>46413</v>
      </c>
      <c r="I452" s="1">
        <f t="shared" ca="1" si="75"/>
        <v>46036</v>
      </c>
      <c r="J452">
        <f t="shared" ca="1" si="76"/>
        <v>254.1</v>
      </c>
      <c r="K452" t="str">
        <f t="shared" ca="1" si="77"/>
        <v>In Stock</v>
      </c>
      <c r="L452" s="2">
        <f t="shared" ca="1" si="78"/>
        <v>294</v>
      </c>
      <c r="M452" t="str">
        <f t="shared" ca="1" si="79"/>
        <v>Safe</v>
      </c>
    </row>
    <row r="453" spans="1:13" x14ac:dyDescent="0.25">
      <c r="A453" t="str">
        <f t="shared" si="70"/>
        <v>M452</v>
      </c>
      <c r="B453" t="str" cm="1">
        <f t="array" aca="1" ref="B453" ca="1">INDEX({"Paracetamol","Amoxicillin","Ibuprofen","Cetirizine","Metformin","Amlodipine","Omeprazole","Azithromycin","Losartan","Vitamin C"}, RANDBETWEEN(1,10))</f>
        <v>Metformin</v>
      </c>
      <c r="C453" t="str" cm="1">
        <f t="array" aca="1" ref="C453" ca="1">INDEX({"Painkiller","Antibiotic","Painkiller","Antihistamine","Diabetes","Hypertension","Antacid","Antibiotic","Hypertension","Supplement"},
MATCH(B453,{"Paracetamol","Amoxicillin","Ibuprofen","Cetirizine","Metformin","Amlodipine","Omeprazole","Azithromycin","Losartan","Vitamin C"},0))</f>
        <v>Diabetes</v>
      </c>
      <c r="D453" t="str" cm="1">
        <f t="array" aca="1" ref="D453" ca="1">INDEX({"MedSupply Co","HealthCorp","PharmaPlus","GlobalMed"}, RANDBETWEEN(1,4))</f>
        <v>MedSupply Co</v>
      </c>
      <c r="E453">
        <f t="shared" ca="1" si="71"/>
        <v>80</v>
      </c>
      <c r="F453">
        <f t="shared" ca="1" si="72"/>
        <v>94</v>
      </c>
      <c r="G453">
        <f t="shared" ca="1" si="73"/>
        <v>1.39</v>
      </c>
      <c r="H453" s="1">
        <f t="shared" ca="1" si="74"/>
        <v>46395</v>
      </c>
      <c r="I453" s="1">
        <f t="shared" ca="1" si="75"/>
        <v>46015</v>
      </c>
      <c r="J453">
        <f t="shared" ca="1" si="76"/>
        <v>111.19999999999999</v>
      </c>
      <c r="K453" t="str">
        <f t="shared" ca="1" si="77"/>
        <v>Low Stock</v>
      </c>
      <c r="L453" s="2">
        <f t="shared" ca="1" si="78"/>
        <v>276</v>
      </c>
      <c r="M453" t="str">
        <f t="shared" ca="1" si="79"/>
        <v>Safe</v>
      </c>
    </row>
    <row r="454" spans="1:13" x14ac:dyDescent="0.25">
      <c r="A454" t="str">
        <f t="shared" si="70"/>
        <v>M453</v>
      </c>
      <c r="B454" t="str" cm="1">
        <f t="array" aca="1" ref="B454" ca="1">INDEX({"Paracetamol","Amoxicillin","Ibuprofen","Cetirizine","Metformin","Amlodipine","Omeprazole","Azithromycin","Losartan","Vitamin C"}, RANDBETWEEN(1,10))</f>
        <v>Vitamin C</v>
      </c>
      <c r="C454" t="str" cm="1">
        <f t="array" aca="1" ref="C454" ca="1">INDEX({"Painkiller","Antibiotic","Painkiller","Antihistamine","Diabetes","Hypertension","Antacid","Antibiotic","Hypertension","Supplement"},
MATCH(B454,{"Paracetamol","Amoxicillin","Ibuprofen","Cetirizine","Metformin","Amlodipine","Omeprazole","Azithromycin","Losartan","Vitamin C"},0))</f>
        <v>Supplement</v>
      </c>
      <c r="D454" t="str" cm="1">
        <f t="array" aca="1" ref="D454" ca="1">INDEX({"MedSupply Co","HealthCorp","PharmaPlus","GlobalMed"}, RANDBETWEEN(1,4))</f>
        <v>HealthCorp</v>
      </c>
      <c r="E454">
        <f t="shared" ca="1" si="71"/>
        <v>136</v>
      </c>
      <c r="F454">
        <f t="shared" ca="1" si="72"/>
        <v>68</v>
      </c>
      <c r="G454">
        <f t="shared" ca="1" si="73"/>
        <v>0.88</v>
      </c>
      <c r="H454" s="1">
        <f t="shared" ca="1" si="74"/>
        <v>46366</v>
      </c>
      <c r="I454" s="1">
        <f t="shared" ca="1" si="75"/>
        <v>45948</v>
      </c>
      <c r="J454">
        <f t="shared" ca="1" si="76"/>
        <v>119.68</v>
      </c>
      <c r="K454" t="str">
        <f t="shared" ca="1" si="77"/>
        <v>In Stock</v>
      </c>
      <c r="L454" s="2">
        <f t="shared" ca="1" si="78"/>
        <v>247</v>
      </c>
      <c r="M454" t="str">
        <f t="shared" ca="1" si="79"/>
        <v>Safe</v>
      </c>
    </row>
    <row r="455" spans="1:13" x14ac:dyDescent="0.25">
      <c r="A455" t="str">
        <f t="shared" si="70"/>
        <v>M454</v>
      </c>
      <c r="B455" t="str" cm="1">
        <f t="array" aca="1" ref="B455" ca="1">INDEX({"Paracetamol","Amoxicillin","Ibuprofen","Cetirizine","Metformin","Amlodipine","Omeprazole","Azithromycin","Losartan","Vitamin C"}, RANDBETWEEN(1,10))</f>
        <v>Amlodipine</v>
      </c>
      <c r="C455" t="str" cm="1">
        <f t="array" aca="1" ref="C455" ca="1">INDEX({"Painkiller","Antibiotic","Painkiller","Antihistamine","Diabetes","Hypertension","Antacid","Antibiotic","Hypertension","Supplement"},
MATCH(B455,{"Paracetamol","Amoxicillin","Ibuprofen","Cetirizine","Metformin","Amlodipine","Omeprazole","Azithromycin","Losartan","Vitamin C"},0))</f>
        <v>Hypertension</v>
      </c>
      <c r="D455" t="str" cm="1">
        <f t="array" aca="1" ref="D455" ca="1">INDEX({"MedSupply Co","HealthCorp","PharmaPlus","GlobalMed"}, RANDBETWEEN(1,4))</f>
        <v>PharmaPlus</v>
      </c>
      <c r="E455">
        <f t="shared" ca="1" si="71"/>
        <v>184</v>
      </c>
      <c r="F455">
        <f t="shared" ca="1" si="72"/>
        <v>86</v>
      </c>
      <c r="G455">
        <f t="shared" ca="1" si="73"/>
        <v>1.82</v>
      </c>
      <c r="H455" s="1">
        <f t="shared" ca="1" si="74"/>
        <v>46299</v>
      </c>
      <c r="I455" s="1">
        <f t="shared" ca="1" si="75"/>
        <v>46057</v>
      </c>
      <c r="J455">
        <f t="shared" ca="1" si="76"/>
        <v>334.88</v>
      </c>
      <c r="K455" t="str">
        <f t="shared" ca="1" si="77"/>
        <v>In Stock</v>
      </c>
      <c r="L455" s="2">
        <f t="shared" ca="1" si="78"/>
        <v>180</v>
      </c>
      <c r="M455" t="str">
        <f t="shared" ca="1" si="79"/>
        <v>Safe</v>
      </c>
    </row>
    <row r="456" spans="1:13" x14ac:dyDescent="0.25">
      <c r="A456" t="str">
        <f t="shared" si="70"/>
        <v>M455</v>
      </c>
      <c r="B456" t="str" cm="1">
        <f t="array" aca="1" ref="B456" ca="1">INDEX({"Paracetamol","Amoxicillin","Ibuprofen","Cetirizine","Metformin","Amlodipine","Omeprazole","Azithromycin","Losartan","Vitamin C"}, RANDBETWEEN(1,10))</f>
        <v>Ibuprofen</v>
      </c>
      <c r="C456" t="str" cm="1">
        <f t="array" aca="1" ref="C456" ca="1">INDEX({"Painkiller","Antibiotic","Painkiller","Antihistamine","Diabetes","Hypertension","Antacid","Antibiotic","Hypertension","Supplement"},
MATCH(B456,{"Paracetamol","Amoxicillin","Ibuprofen","Cetirizine","Metformin","Amlodipine","Omeprazole","Azithromycin","Losartan","Vitamin C"},0))</f>
        <v>Painkiller</v>
      </c>
      <c r="D456" t="str" cm="1">
        <f t="array" aca="1" ref="D456" ca="1">INDEX({"MedSupply Co","HealthCorp","PharmaPlus","GlobalMed"}, RANDBETWEEN(1,4))</f>
        <v>GlobalMed</v>
      </c>
      <c r="E456">
        <f t="shared" ca="1" si="71"/>
        <v>192</v>
      </c>
      <c r="F456">
        <f t="shared" ca="1" si="72"/>
        <v>64</v>
      </c>
      <c r="G456">
        <f t="shared" ca="1" si="73"/>
        <v>1.83</v>
      </c>
      <c r="H456" s="1">
        <f t="shared" ca="1" si="74"/>
        <v>46267</v>
      </c>
      <c r="I456" s="1">
        <f t="shared" ca="1" si="75"/>
        <v>46065</v>
      </c>
      <c r="J456">
        <f t="shared" ca="1" si="76"/>
        <v>351.36</v>
      </c>
      <c r="K456" t="str">
        <f t="shared" ca="1" si="77"/>
        <v>In Stock</v>
      </c>
      <c r="L456" s="2">
        <f t="shared" ca="1" si="78"/>
        <v>148</v>
      </c>
      <c r="M456" t="str">
        <f t="shared" ca="1" si="79"/>
        <v>Safe</v>
      </c>
    </row>
    <row r="457" spans="1:13" x14ac:dyDescent="0.25">
      <c r="A457" t="str">
        <f t="shared" si="70"/>
        <v>M456</v>
      </c>
      <c r="B457" t="str" cm="1">
        <f t="array" aca="1" ref="B457" ca="1">INDEX({"Paracetamol","Amoxicillin","Ibuprofen","Cetirizine","Metformin","Amlodipine","Omeprazole","Azithromycin","Losartan","Vitamin C"}, RANDBETWEEN(1,10))</f>
        <v>Omeprazole</v>
      </c>
      <c r="C457" t="str" cm="1">
        <f t="array" aca="1" ref="C457" ca="1">INDEX({"Painkiller","Antibiotic","Painkiller","Antihistamine","Diabetes","Hypertension","Antacid","Antibiotic","Hypertension","Supplement"},
MATCH(B457,{"Paracetamol","Amoxicillin","Ibuprofen","Cetirizine","Metformin","Amlodipine","Omeprazole","Azithromycin","Losartan","Vitamin C"},0))</f>
        <v>Antacid</v>
      </c>
      <c r="D457" t="str" cm="1">
        <f t="array" aca="1" ref="D457" ca="1">INDEX({"MedSupply Co","HealthCorp","PharmaPlus","GlobalMed"}, RANDBETWEEN(1,4))</f>
        <v>PharmaPlus</v>
      </c>
      <c r="E457">
        <f t="shared" ca="1" si="71"/>
        <v>92</v>
      </c>
      <c r="F457">
        <f t="shared" ca="1" si="72"/>
        <v>98</v>
      </c>
      <c r="G457">
        <f t="shared" ca="1" si="73"/>
        <v>1.65</v>
      </c>
      <c r="H457" s="1">
        <f t="shared" ca="1" si="74"/>
        <v>46315</v>
      </c>
      <c r="I457" s="1">
        <f t="shared" ca="1" si="75"/>
        <v>45972</v>
      </c>
      <c r="J457">
        <f t="shared" ca="1" si="76"/>
        <v>151.79999999999998</v>
      </c>
      <c r="K457" t="str">
        <f t="shared" ca="1" si="77"/>
        <v>Low Stock</v>
      </c>
      <c r="L457" s="2">
        <f t="shared" ca="1" si="78"/>
        <v>196</v>
      </c>
      <c r="M457" t="str">
        <f t="shared" ca="1" si="79"/>
        <v>Safe</v>
      </c>
    </row>
    <row r="458" spans="1:13" x14ac:dyDescent="0.25">
      <c r="A458" t="str">
        <f t="shared" si="70"/>
        <v>M457</v>
      </c>
      <c r="B458" t="str" cm="1">
        <f t="array" aca="1" ref="B458" ca="1">INDEX({"Paracetamol","Amoxicillin","Ibuprofen","Cetirizine","Metformin","Amlodipine","Omeprazole","Azithromycin","Losartan","Vitamin C"}, RANDBETWEEN(1,10))</f>
        <v>Metformin</v>
      </c>
      <c r="C458" t="str" cm="1">
        <f t="array" aca="1" ref="C458" ca="1">INDEX({"Painkiller","Antibiotic","Painkiller","Antihistamine","Diabetes","Hypertension","Antacid","Antibiotic","Hypertension","Supplement"},
MATCH(B458,{"Paracetamol","Amoxicillin","Ibuprofen","Cetirizine","Metformin","Amlodipine","Omeprazole","Azithromycin","Losartan","Vitamin C"},0))</f>
        <v>Diabetes</v>
      </c>
      <c r="D458" t="str" cm="1">
        <f t="array" aca="1" ref="D458" ca="1">INDEX({"MedSupply Co","HealthCorp","PharmaPlus","GlobalMed"}, RANDBETWEEN(1,4))</f>
        <v>HealthCorp</v>
      </c>
      <c r="E458">
        <f t="shared" ca="1" si="71"/>
        <v>4</v>
      </c>
      <c r="F458">
        <f t="shared" ca="1" si="72"/>
        <v>63</v>
      </c>
      <c r="G458">
        <f t="shared" ca="1" si="73"/>
        <v>1.99</v>
      </c>
      <c r="H458" s="1">
        <f t="shared" ca="1" si="74"/>
        <v>46330</v>
      </c>
      <c r="I458" s="1">
        <f t="shared" ca="1" si="75"/>
        <v>46073</v>
      </c>
      <c r="J458">
        <f t="shared" ca="1" si="76"/>
        <v>7.96</v>
      </c>
      <c r="K458" t="str">
        <f t="shared" ca="1" si="77"/>
        <v>Low Stock</v>
      </c>
      <c r="L458" s="2">
        <f t="shared" ca="1" si="78"/>
        <v>211</v>
      </c>
      <c r="M458" t="str">
        <f t="shared" ca="1" si="79"/>
        <v>Safe</v>
      </c>
    </row>
    <row r="459" spans="1:13" x14ac:dyDescent="0.25">
      <c r="A459" t="str">
        <f t="shared" si="70"/>
        <v>M458</v>
      </c>
      <c r="B459" t="str" cm="1">
        <f t="array" aca="1" ref="B459" ca="1">INDEX({"Paracetamol","Amoxicillin","Ibuprofen","Cetirizine","Metformin","Amlodipine","Omeprazole","Azithromycin","Losartan","Vitamin C"}, RANDBETWEEN(1,10))</f>
        <v>Azithromycin</v>
      </c>
      <c r="C459" t="str" cm="1">
        <f t="array" aca="1" ref="C459" ca="1">INDEX({"Painkiller","Antibiotic","Painkiller","Antihistamine","Diabetes","Hypertension","Antacid","Antibiotic","Hypertension","Supplement"},
MATCH(B459,{"Paracetamol","Amoxicillin","Ibuprofen","Cetirizine","Metformin","Amlodipine","Omeprazole","Azithromycin","Losartan","Vitamin C"},0))</f>
        <v>Antibiotic</v>
      </c>
      <c r="D459" t="str" cm="1">
        <f t="array" aca="1" ref="D459" ca="1">INDEX({"MedSupply Co","HealthCorp","PharmaPlus","GlobalMed"}, RANDBETWEEN(1,4))</f>
        <v>GlobalMed</v>
      </c>
      <c r="E459">
        <f t="shared" ca="1" si="71"/>
        <v>95</v>
      </c>
      <c r="F459">
        <f t="shared" ca="1" si="72"/>
        <v>88</v>
      </c>
      <c r="G459">
        <f t="shared" ca="1" si="73"/>
        <v>0.68</v>
      </c>
      <c r="H459" s="1">
        <f t="shared" ca="1" si="74"/>
        <v>46289</v>
      </c>
      <c r="I459" s="1">
        <f t="shared" ca="1" si="75"/>
        <v>46059</v>
      </c>
      <c r="J459">
        <f t="shared" ca="1" si="76"/>
        <v>64.600000000000009</v>
      </c>
      <c r="K459" t="str">
        <f t="shared" ca="1" si="77"/>
        <v>In Stock</v>
      </c>
      <c r="L459" s="2">
        <f t="shared" ca="1" si="78"/>
        <v>170</v>
      </c>
      <c r="M459" t="str">
        <f t="shared" ca="1" si="79"/>
        <v>Safe</v>
      </c>
    </row>
    <row r="460" spans="1:13" x14ac:dyDescent="0.25">
      <c r="A460" t="str">
        <f t="shared" si="70"/>
        <v>M459</v>
      </c>
      <c r="B460" t="str" cm="1">
        <f t="array" aca="1" ref="B460" ca="1">INDEX({"Paracetamol","Amoxicillin","Ibuprofen","Cetirizine","Metformin","Amlodipine","Omeprazole","Azithromycin","Losartan","Vitamin C"}, RANDBETWEEN(1,10))</f>
        <v>Vitamin C</v>
      </c>
      <c r="C460" t="str" cm="1">
        <f t="array" aca="1" ref="C460" ca="1">INDEX({"Painkiller","Antibiotic","Painkiller","Antihistamine","Diabetes","Hypertension","Antacid","Antibiotic","Hypertension","Supplement"},
MATCH(B460,{"Paracetamol","Amoxicillin","Ibuprofen","Cetirizine","Metformin","Amlodipine","Omeprazole","Azithromycin","Losartan","Vitamin C"},0))</f>
        <v>Supplement</v>
      </c>
      <c r="D460" t="str" cm="1">
        <f t="array" aca="1" ref="D460" ca="1">INDEX({"MedSupply Co","HealthCorp","PharmaPlus","GlobalMed"}, RANDBETWEEN(1,4))</f>
        <v>PharmaPlus</v>
      </c>
      <c r="E460">
        <f t="shared" ca="1" si="71"/>
        <v>12</v>
      </c>
      <c r="F460">
        <f t="shared" ca="1" si="72"/>
        <v>68</v>
      </c>
      <c r="G460">
        <f t="shared" ca="1" si="73"/>
        <v>1.63</v>
      </c>
      <c r="H460" s="1">
        <f t="shared" ca="1" si="74"/>
        <v>46436</v>
      </c>
      <c r="I460" s="1">
        <f t="shared" ca="1" si="75"/>
        <v>45999</v>
      </c>
      <c r="J460">
        <f t="shared" ca="1" si="76"/>
        <v>19.559999999999999</v>
      </c>
      <c r="K460" t="str">
        <f t="shared" ca="1" si="77"/>
        <v>Low Stock</v>
      </c>
      <c r="L460" s="2">
        <f t="shared" ca="1" si="78"/>
        <v>317</v>
      </c>
      <c r="M460" t="str">
        <f t="shared" ca="1" si="79"/>
        <v>Safe</v>
      </c>
    </row>
    <row r="461" spans="1:13" x14ac:dyDescent="0.25">
      <c r="A461" t="str">
        <f t="shared" si="70"/>
        <v>M460</v>
      </c>
      <c r="B461" t="str" cm="1">
        <f t="array" aca="1" ref="B461" ca="1">INDEX({"Paracetamol","Amoxicillin","Ibuprofen","Cetirizine","Metformin","Amlodipine","Omeprazole","Azithromycin","Losartan","Vitamin C"}, RANDBETWEEN(1,10))</f>
        <v>Vitamin C</v>
      </c>
      <c r="C461" t="str" cm="1">
        <f t="array" aca="1" ref="C461" ca="1">INDEX({"Painkiller","Antibiotic","Painkiller","Antihistamine","Diabetes","Hypertension","Antacid","Antibiotic","Hypertension","Supplement"},
MATCH(B461,{"Paracetamol","Amoxicillin","Ibuprofen","Cetirizine","Metformin","Amlodipine","Omeprazole","Azithromycin","Losartan","Vitamin C"},0))</f>
        <v>Supplement</v>
      </c>
      <c r="D461" t="str" cm="1">
        <f t="array" aca="1" ref="D461" ca="1">INDEX({"MedSupply Co","HealthCorp","PharmaPlus","GlobalMed"}, RANDBETWEEN(1,4))</f>
        <v>HealthCorp</v>
      </c>
      <c r="E461">
        <f t="shared" ca="1" si="71"/>
        <v>151</v>
      </c>
      <c r="F461">
        <f t="shared" ca="1" si="72"/>
        <v>36</v>
      </c>
      <c r="G461">
        <f t="shared" ca="1" si="73"/>
        <v>1.21</v>
      </c>
      <c r="H461" s="1">
        <f t="shared" ca="1" si="74"/>
        <v>46195</v>
      </c>
      <c r="I461" s="1">
        <f t="shared" ca="1" si="75"/>
        <v>45995</v>
      </c>
      <c r="J461">
        <f t="shared" ca="1" si="76"/>
        <v>182.71</v>
      </c>
      <c r="K461" t="str">
        <f t="shared" ca="1" si="77"/>
        <v>In Stock</v>
      </c>
      <c r="L461" s="2">
        <f t="shared" ca="1" si="78"/>
        <v>76</v>
      </c>
      <c r="M461" t="str">
        <f t="shared" ca="1" si="79"/>
        <v>Safe</v>
      </c>
    </row>
    <row r="462" spans="1:13" x14ac:dyDescent="0.25">
      <c r="A462" t="str">
        <f t="shared" si="70"/>
        <v>M461</v>
      </c>
      <c r="B462" t="str" cm="1">
        <f t="array" aca="1" ref="B462" ca="1">INDEX({"Paracetamol","Amoxicillin","Ibuprofen","Cetirizine","Metformin","Amlodipine","Omeprazole","Azithromycin","Losartan","Vitamin C"}, RANDBETWEEN(1,10))</f>
        <v>Vitamin C</v>
      </c>
      <c r="C462" t="str" cm="1">
        <f t="array" aca="1" ref="C462" ca="1">INDEX({"Painkiller","Antibiotic","Painkiller","Antihistamine","Diabetes","Hypertension","Antacid","Antibiotic","Hypertension","Supplement"},
MATCH(B462,{"Paracetamol","Amoxicillin","Ibuprofen","Cetirizine","Metformin","Amlodipine","Omeprazole","Azithromycin","Losartan","Vitamin C"},0))</f>
        <v>Supplement</v>
      </c>
      <c r="D462" t="str" cm="1">
        <f t="array" aca="1" ref="D462" ca="1">INDEX({"MedSupply Co","HealthCorp","PharmaPlus","GlobalMed"}, RANDBETWEEN(1,4))</f>
        <v>HealthCorp</v>
      </c>
      <c r="E462">
        <f t="shared" ca="1" si="71"/>
        <v>101</v>
      </c>
      <c r="F462">
        <f t="shared" ca="1" si="72"/>
        <v>65</v>
      </c>
      <c r="G462">
        <f t="shared" ca="1" si="73"/>
        <v>1.27</v>
      </c>
      <c r="H462" s="1">
        <f t="shared" ca="1" si="74"/>
        <v>46197</v>
      </c>
      <c r="I462" s="1">
        <f t="shared" ca="1" si="75"/>
        <v>45951</v>
      </c>
      <c r="J462">
        <f t="shared" ca="1" si="76"/>
        <v>128.27000000000001</v>
      </c>
      <c r="K462" t="str">
        <f t="shared" ca="1" si="77"/>
        <v>In Stock</v>
      </c>
      <c r="L462" s="2">
        <f t="shared" ca="1" si="78"/>
        <v>78</v>
      </c>
      <c r="M462" t="str">
        <f t="shared" ca="1" si="79"/>
        <v>Safe</v>
      </c>
    </row>
    <row r="463" spans="1:13" x14ac:dyDescent="0.25">
      <c r="A463" t="str">
        <f t="shared" si="70"/>
        <v>M462</v>
      </c>
      <c r="B463" t="str" cm="1">
        <f t="array" aca="1" ref="B463" ca="1">INDEX({"Paracetamol","Amoxicillin","Ibuprofen","Cetirizine","Metformin","Amlodipine","Omeprazole","Azithromycin","Losartan","Vitamin C"}, RANDBETWEEN(1,10))</f>
        <v>Azithromycin</v>
      </c>
      <c r="C463" t="str" cm="1">
        <f t="array" aca="1" ref="C463" ca="1">INDEX({"Painkiller","Antibiotic","Painkiller","Antihistamine","Diabetes","Hypertension","Antacid","Antibiotic","Hypertension","Supplement"},
MATCH(B463,{"Paracetamol","Amoxicillin","Ibuprofen","Cetirizine","Metformin","Amlodipine","Omeprazole","Azithromycin","Losartan","Vitamin C"},0))</f>
        <v>Antibiotic</v>
      </c>
      <c r="D463" t="str" cm="1">
        <f t="array" aca="1" ref="D463" ca="1">INDEX({"MedSupply Co","HealthCorp","PharmaPlus","GlobalMed"}, RANDBETWEEN(1,4))</f>
        <v>GlobalMed</v>
      </c>
      <c r="E463">
        <f t="shared" ca="1" si="71"/>
        <v>65</v>
      </c>
      <c r="F463">
        <f t="shared" ca="1" si="72"/>
        <v>99</v>
      </c>
      <c r="G463">
        <f t="shared" ca="1" si="73"/>
        <v>0.54</v>
      </c>
      <c r="H463" s="1">
        <f t="shared" ca="1" si="74"/>
        <v>46177</v>
      </c>
      <c r="I463" s="1">
        <f t="shared" ca="1" si="75"/>
        <v>46116</v>
      </c>
      <c r="J463">
        <f t="shared" ca="1" si="76"/>
        <v>35.1</v>
      </c>
      <c r="K463" t="str">
        <f t="shared" ca="1" si="77"/>
        <v>Low Stock</v>
      </c>
      <c r="L463" s="2">
        <f t="shared" ca="1" si="78"/>
        <v>58</v>
      </c>
      <c r="M463" t="str">
        <f t="shared" ca="1" si="79"/>
        <v>Safe</v>
      </c>
    </row>
    <row r="464" spans="1:13" x14ac:dyDescent="0.25">
      <c r="A464" t="str">
        <f t="shared" si="70"/>
        <v>M463</v>
      </c>
      <c r="B464" t="str" cm="1">
        <f t="array" aca="1" ref="B464" ca="1">INDEX({"Paracetamol","Amoxicillin","Ibuprofen","Cetirizine","Metformin","Amlodipine","Omeprazole","Azithromycin","Losartan","Vitamin C"}, RANDBETWEEN(1,10))</f>
        <v>Omeprazole</v>
      </c>
      <c r="C464" t="str" cm="1">
        <f t="array" aca="1" ref="C464" ca="1">INDEX({"Painkiller","Antibiotic","Painkiller","Antihistamine","Diabetes","Hypertension","Antacid","Antibiotic","Hypertension","Supplement"},
MATCH(B464,{"Paracetamol","Amoxicillin","Ibuprofen","Cetirizine","Metformin","Amlodipine","Omeprazole","Azithromycin","Losartan","Vitamin C"},0))</f>
        <v>Antacid</v>
      </c>
      <c r="D464" t="str" cm="1">
        <f t="array" aca="1" ref="D464" ca="1">INDEX({"MedSupply Co","HealthCorp","PharmaPlus","GlobalMed"}, RANDBETWEEN(1,4))</f>
        <v>HealthCorp</v>
      </c>
      <c r="E464">
        <f t="shared" ca="1" si="71"/>
        <v>4</v>
      </c>
      <c r="F464">
        <f t="shared" ca="1" si="72"/>
        <v>62</v>
      </c>
      <c r="G464">
        <f t="shared" ca="1" si="73"/>
        <v>1.1499999999999999</v>
      </c>
      <c r="H464" s="1">
        <f t="shared" ca="1" si="74"/>
        <v>46209</v>
      </c>
      <c r="I464" s="1">
        <f t="shared" ca="1" si="75"/>
        <v>46095</v>
      </c>
      <c r="J464">
        <f t="shared" ca="1" si="76"/>
        <v>4.5999999999999996</v>
      </c>
      <c r="K464" t="str">
        <f t="shared" ca="1" si="77"/>
        <v>Low Stock</v>
      </c>
      <c r="L464" s="2">
        <f t="shared" ca="1" si="78"/>
        <v>90</v>
      </c>
      <c r="M464" t="str">
        <f t="shared" ca="1" si="79"/>
        <v>Safe</v>
      </c>
    </row>
    <row r="465" spans="1:13" x14ac:dyDescent="0.25">
      <c r="A465" t="str">
        <f t="shared" si="70"/>
        <v>M464</v>
      </c>
      <c r="B465" t="str" cm="1">
        <f t="array" aca="1" ref="B465" ca="1">INDEX({"Paracetamol","Amoxicillin","Ibuprofen","Cetirizine","Metformin","Amlodipine","Omeprazole","Azithromycin","Losartan","Vitamin C"}, RANDBETWEEN(1,10))</f>
        <v>Amlodipine</v>
      </c>
      <c r="C465" t="str" cm="1">
        <f t="array" aca="1" ref="C465" ca="1">INDEX({"Painkiller","Antibiotic","Painkiller","Antihistamine","Diabetes","Hypertension","Antacid","Antibiotic","Hypertension","Supplement"},
MATCH(B465,{"Paracetamol","Amoxicillin","Ibuprofen","Cetirizine","Metformin","Amlodipine","Omeprazole","Azithromycin","Losartan","Vitamin C"},0))</f>
        <v>Hypertension</v>
      </c>
      <c r="D465" t="str" cm="1">
        <f t="array" aca="1" ref="D465" ca="1">INDEX({"MedSupply Co","HealthCorp","PharmaPlus","GlobalMed"}, RANDBETWEEN(1,4))</f>
        <v>GlobalMed</v>
      </c>
      <c r="E465">
        <f t="shared" ca="1" si="71"/>
        <v>186</v>
      </c>
      <c r="F465">
        <f t="shared" ca="1" si="72"/>
        <v>26</v>
      </c>
      <c r="G465">
        <f t="shared" ca="1" si="73"/>
        <v>1.45</v>
      </c>
      <c r="H465" s="1">
        <f t="shared" ca="1" si="74"/>
        <v>46260</v>
      </c>
      <c r="I465" s="1">
        <f t="shared" ca="1" si="75"/>
        <v>46015</v>
      </c>
      <c r="J465">
        <f t="shared" ca="1" si="76"/>
        <v>269.7</v>
      </c>
      <c r="K465" t="str">
        <f t="shared" ca="1" si="77"/>
        <v>In Stock</v>
      </c>
      <c r="L465" s="2">
        <f t="shared" ca="1" si="78"/>
        <v>141</v>
      </c>
      <c r="M465" t="str">
        <f t="shared" ca="1" si="79"/>
        <v>Safe</v>
      </c>
    </row>
    <row r="466" spans="1:13" x14ac:dyDescent="0.25">
      <c r="A466" t="str">
        <f t="shared" si="70"/>
        <v>M465</v>
      </c>
      <c r="B466" t="str" cm="1">
        <f t="array" aca="1" ref="B466" ca="1">INDEX({"Paracetamol","Amoxicillin","Ibuprofen","Cetirizine","Metformin","Amlodipine","Omeprazole","Azithromycin","Losartan","Vitamin C"}, RANDBETWEEN(1,10))</f>
        <v>Amoxicillin</v>
      </c>
      <c r="C466" t="str" cm="1">
        <f t="array" aca="1" ref="C466" ca="1">INDEX({"Painkiller","Antibiotic","Painkiller","Antihistamine","Diabetes","Hypertension","Antacid","Antibiotic","Hypertension","Supplement"},
MATCH(B466,{"Paracetamol","Amoxicillin","Ibuprofen","Cetirizine","Metformin","Amlodipine","Omeprazole","Azithromycin","Losartan","Vitamin C"},0))</f>
        <v>Antibiotic</v>
      </c>
      <c r="D466" t="str" cm="1">
        <f t="array" aca="1" ref="D466" ca="1">INDEX({"MedSupply Co","HealthCorp","PharmaPlus","GlobalMed"}, RANDBETWEEN(1,4))</f>
        <v>HealthCorp</v>
      </c>
      <c r="E466">
        <f t="shared" ca="1" si="71"/>
        <v>165</v>
      </c>
      <c r="F466">
        <f t="shared" ca="1" si="72"/>
        <v>20</v>
      </c>
      <c r="G466">
        <f t="shared" ca="1" si="73"/>
        <v>0.63</v>
      </c>
      <c r="H466" s="1">
        <f t="shared" ca="1" si="74"/>
        <v>46454</v>
      </c>
      <c r="I466" s="1">
        <f t="shared" ca="1" si="75"/>
        <v>45958</v>
      </c>
      <c r="J466">
        <f t="shared" ca="1" si="76"/>
        <v>103.95</v>
      </c>
      <c r="K466" t="str">
        <f t="shared" ca="1" si="77"/>
        <v>In Stock</v>
      </c>
      <c r="L466" s="2">
        <f t="shared" ca="1" si="78"/>
        <v>335</v>
      </c>
      <c r="M466" t="str">
        <f t="shared" ca="1" si="79"/>
        <v>Safe</v>
      </c>
    </row>
    <row r="467" spans="1:13" x14ac:dyDescent="0.25">
      <c r="A467" t="str">
        <f t="shared" si="70"/>
        <v>M466</v>
      </c>
      <c r="B467" t="str" cm="1">
        <f t="array" aca="1" ref="B467" ca="1">INDEX({"Paracetamol","Amoxicillin","Ibuprofen","Cetirizine","Metformin","Amlodipine","Omeprazole","Azithromycin","Losartan","Vitamin C"}, RANDBETWEEN(1,10))</f>
        <v>Cetirizine</v>
      </c>
      <c r="C467" t="str" cm="1">
        <f t="array" aca="1" ref="C467" ca="1">INDEX({"Painkiller","Antibiotic","Painkiller","Antihistamine","Diabetes","Hypertension","Antacid","Antibiotic","Hypertension","Supplement"},
MATCH(B467,{"Paracetamol","Amoxicillin","Ibuprofen","Cetirizine","Metformin","Amlodipine","Omeprazole","Azithromycin","Losartan","Vitamin C"},0))</f>
        <v>Antihistamine</v>
      </c>
      <c r="D467" t="str" cm="1">
        <f t="array" aca="1" ref="D467" ca="1">INDEX({"MedSupply Co","HealthCorp","PharmaPlus","GlobalMed"}, RANDBETWEEN(1,4))</f>
        <v>MedSupply Co</v>
      </c>
      <c r="E467">
        <f t="shared" ca="1" si="71"/>
        <v>63</v>
      </c>
      <c r="F467">
        <f t="shared" ca="1" si="72"/>
        <v>79</v>
      </c>
      <c r="G467">
        <f t="shared" ca="1" si="73"/>
        <v>1</v>
      </c>
      <c r="H467" s="1">
        <f t="shared" ca="1" si="74"/>
        <v>46277</v>
      </c>
      <c r="I467" s="1">
        <f t="shared" ca="1" si="75"/>
        <v>46037</v>
      </c>
      <c r="J467">
        <f t="shared" ca="1" si="76"/>
        <v>63</v>
      </c>
      <c r="K467" t="str">
        <f t="shared" ca="1" si="77"/>
        <v>Low Stock</v>
      </c>
      <c r="L467" s="2">
        <f t="shared" ca="1" si="78"/>
        <v>158</v>
      </c>
      <c r="M467" t="str">
        <f t="shared" ca="1" si="79"/>
        <v>Safe</v>
      </c>
    </row>
    <row r="468" spans="1:13" x14ac:dyDescent="0.25">
      <c r="A468" t="str">
        <f t="shared" si="70"/>
        <v>M467</v>
      </c>
      <c r="B468" t="str" cm="1">
        <f t="array" aca="1" ref="B468" ca="1">INDEX({"Paracetamol","Amoxicillin","Ibuprofen","Cetirizine","Metformin","Amlodipine","Omeprazole","Azithromycin","Losartan","Vitamin C"}, RANDBETWEEN(1,10))</f>
        <v>Metformin</v>
      </c>
      <c r="C468" t="str" cm="1">
        <f t="array" aca="1" ref="C468" ca="1">INDEX({"Painkiller","Antibiotic","Painkiller","Antihistamine","Diabetes","Hypertension","Antacid","Antibiotic","Hypertension","Supplement"},
MATCH(B468,{"Paracetamol","Amoxicillin","Ibuprofen","Cetirizine","Metformin","Amlodipine","Omeprazole","Azithromycin","Losartan","Vitamin C"},0))</f>
        <v>Diabetes</v>
      </c>
      <c r="D468" t="str" cm="1">
        <f t="array" aca="1" ref="D468" ca="1">INDEX({"MedSupply Co","HealthCorp","PharmaPlus","GlobalMed"}, RANDBETWEEN(1,4))</f>
        <v>HealthCorp</v>
      </c>
      <c r="E468">
        <f t="shared" ca="1" si="71"/>
        <v>13</v>
      </c>
      <c r="F468">
        <f t="shared" ca="1" si="72"/>
        <v>45</v>
      </c>
      <c r="G468">
        <f t="shared" ca="1" si="73"/>
        <v>1.35</v>
      </c>
      <c r="H468" s="1">
        <f t="shared" ca="1" si="74"/>
        <v>46350</v>
      </c>
      <c r="I468" s="1">
        <f t="shared" ca="1" si="75"/>
        <v>45939</v>
      </c>
      <c r="J468">
        <f t="shared" ca="1" si="76"/>
        <v>17.55</v>
      </c>
      <c r="K468" t="str">
        <f t="shared" ca="1" si="77"/>
        <v>Low Stock</v>
      </c>
      <c r="L468" s="2">
        <f t="shared" ca="1" si="78"/>
        <v>231</v>
      </c>
      <c r="M468" t="str">
        <f t="shared" ca="1" si="79"/>
        <v>Safe</v>
      </c>
    </row>
    <row r="469" spans="1:13" x14ac:dyDescent="0.25">
      <c r="A469" t="str">
        <f t="shared" si="70"/>
        <v>M468</v>
      </c>
      <c r="B469" t="str" cm="1">
        <f t="array" aca="1" ref="B469" ca="1">INDEX({"Paracetamol","Amoxicillin","Ibuprofen","Cetirizine","Metformin","Amlodipine","Omeprazole","Azithromycin","Losartan","Vitamin C"}, RANDBETWEEN(1,10))</f>
        <v>Losartan</v>
      </c>
      <c r="C469" t="str" cm="1">
        <f t="array" aca="1" ref="C469" ca="1">INDEX({"Painkiller","Antibiotic","Painkiller","Antihistamine","Diabetes","Hypertension","Antacid","Antibiotic","Hypertension","Supplement"},
MATCH(B469,{"Paracetamol","Amoxicillin","Ibuprofen","Cetirizine","Metformin","Amlodipine","Omeprazole","Azithromycin","Losartan","Vitamin C"},0))</f>
        <v>Hypertension</v>
      </c>
      <c r="D469" t="str" cm="1">
        <f t="array" aca="1" ref="D469" ca="1">INDEX({"MedSupply Co","HealthCorp","PharmaPlus","GlobalMed"}, RANDBETWEEN(1,4))</f>
        <v>MedSupply Co</v>
      </c>
      <c r="E469">
        <f t="shared" ca="1" si="71"/>
        <v>135</v>
      </c>
      <c r="F469">
        <f t="shared" ca="1" si="72"/>
        <v>61</v>
      </c>
      <c r="G469">
        <f t="shared" ca="1" si="73"/>
        <v>0.56999999999999995</v>
      </c>
      <c r="H469" s="1">
        <f t="shared" ca="1" si="74"/>
        <v>46168</v>
      </c>
      <c r="I469" s="1">
        <f t="shared" ca="1" si="75"/>
        <v>45944</v>
      </c>
      <c r="J469">
        <f t="shared" ca="1" si="76"/>
        <v>76.949999999999989</v>
      </c>
      <c r="K469" t="str">
        <f t="shared" ca="1" si="77"/>
        <v>In Stock</v>
      </c>
      <c r="L469" s="2">
        <f t="shared" ca="1" si="78"/>
        <v>49</v>
      </c>
      <c r="M469" t="str">
        <f t="shared" ca="1" si="79"/>
        <v>Safe</v>
      </c>
    </row>
    <row r="470" spans="1:13" x14ac:dyDescent="0.25">
      <c r="A470" t="str">
        <f t="shared" si="70"/>
        <v>M469</v>
      </c>
      <c r="B470" t="str" cm="1">
        <f t="array" aca="1" ref="B470" ca="1">INDEX({"Paracetamol","Amoxicillin","Ibuprofen","Cetirizine","Metformin","Amlodipine","Omeprazole","Azithromycin","Losartan","Vitamin C"}, RANDBETWEEN(1,10))</f>
        <v>Amlodipine</v>
      </c>
      <c r="C470" t="str" cm="1">
        <f t="array" aca="1" ref="C470" ca="1">INDEX({"Painkiller","Antibiotic","Painkiller","Antihistamine","Diabetes","Hypertension","Antacid","Antibiotic","Hypertension","Supplement"},
MATCH(B470,{"Paracetamol","Amoxicillin","Ibuprofen","Cetirizine","Metformin","Amlodipine","Omeprazole","Azithromycin","Losartan","Vitamin C"},0))</f>
        <v>Hypertension</v>
      </c>
      <c r="D470" t="str" cm="1">
        <f t="array" aca="1" ref="D470" ca="1">INDEX({"MedSupply Co","HealthCorp","PharmaPlus","GlobalMed"}, RANDBETWEEN(1,4))</f>
        <v>MedSupply Co</v>
      </c>
      <c r="E470">
        <f t="shared" ca="1" si="71"/>
        <v>85</v>
      </c>
      <c r="F470">
        <f t="shared" ca="1" si="72"/>
        <v>30</v>
      </c>
      <c r="G470">
        <f t="shared" ca="1" si="73"/>
        <v>0.6</v>
      </c>
      <c r="H470" s="1">
        <f t="shared" ca="1" si="74"/>
        <v>46169</v>
      </c>
      <c r="I470" s="1">
        <f t="shared" ca="1" si="75"/>
        <v>46006</v>
      </c>
      <c r="J470">
        <f t="shared" ca="1" si="76"/>
        <v>51</v>
      </c>
      <c r="K470" t="str">
        <f t="shared" ca="1" si="77"/>
        <v>In Stock</v>
      </c>
      <c r="L470" s="2">
        <f t="shared" ca="1" si="78"/>
        <v>50</v>
      </c>
      <c r="M470" t="str">
        <f t="shared" ca="1" si="79"/>
        <v>Safe</v>
      </c>
    </row>
    <row r="471" spans="1:13" x14ac:dyDescent="0.25">
      <c r="A471" t="str">
        <f t="shared" si="70"/>
        <v>M470</v>
      </c>
      <c r="B471" t="str" cm="1">
        <f t="array" aca="1" ref="B471" ca="1">INDEX({"Paracetamol","Amoxicillin","Ibuprofen","Cetirizine","Metformin","Amlodipine","Omeprazole","Azithromycin","Losartan","Vitamin C"}, RANDBETWEEN(1,10))</f>
        <v>Amlodipine</v>
      </c>
      <c r="C471" t="str" cm="1">
        <f t="array" aca="1" ref="C471" ca="1">INDEX({"Painkiller","Antibiotic","Painkiller","Antihistamine","Diabetes","Hypertension","Antacid","Antibiotic","Hypertension","Supplement"},
MATCH(B471,{"Paracetamol","Amoxicillin","Ibuprofen","Cetirizine","Metformin","Amlodipine","Omeprazole","Azithromycin","Losartan","Vitamin C"},0))</f>
        <v>Hypertension</v>
      </c>
      <c r="D471" t="str" cm="1">
        <f t="array" aca="1" ref="D471" ca="1">INDEX({"MedSupply Co","HealthCorp","PharmaPlus","GlobalMed"}, RANDBETWEEN(1,4))</f>
        <v>PharmaPlus</v>
      </c>
      <c r="E471">
        <f t="shared" ca="1" si="71"/>
        <v>165</v>
      </c>
      <c r="F471">
        <f t="shared" ca="1" si="72"/>
        <v>24</v>
      </c>
      <c r="G471">
        <f t="shared" ca="1" si="73"/>
        <v>1.88</v>
      </c>
      <c r="H471" s="1">
        <f t="shared" ca="1" si="74"/>
        <v>46445</v>
      </c>
      <c r="I471" s="1">
        <f t="shared" ca="1" si="75"/>
        <v>46060</v>
      </c>
      <c r="J471">
        <f t="shared" ca="1" si="76"/>
        <v>310.2</v>
      </c>
      <c r="K471" t="str">
        <f t="shared" ca="1" si="77"/>
        <v>In Stock</v>
      </c>
      <c r="L471" s="2">
        <f t="shared" ca="1" si="78"/>
        <v>326</v>
      </c>
      <c r="M471" t="str">
        <f t="shared" ca="1" si="79"/>
        <v>Safe</v>
      </c>
    </row>
    <row r="472" spans="1:13" x14ac:dyDescent="0.25">
      <c r="A472" t="str">
        <f t="shared" si="70"/>
        <v>M471</v>
      </c>
      <c r="B472" t="str" cm="1">
        <f t="array" aca="1" ref="B472" ca="1">INDEX({"Paracetamol","Amoxicillin","Ibuprofen","Cetirizine","Metformin","Amlodipine","Omeprazole","Azithromycin","Losartan","Vitamin C"}, RANDBETWEEN(1,10))</f>
        <v>Paracetamol</v>
      </c>
      <c r="C472" t="str" cm="1">
        <f t="array" aca="1" ref="C472" ca="1">INDEX({"Painkiller","Antibiotic","Painkiller","Antihistamine","Diabetes","Hypertension","Antacid","Antibiotic","Hypertension","Supplement"},
MATCH(B472,{"Paracetamol","Amoxicillin","Ibuprofen","Cetirizine","Metformin","Amlodipine","Omeprazole","Azithromycin","Losartan","Vitamin C"},0))</f>
        <v>Painkiller</v>
      </c>
      <c r="D472" t="str" cm="1">
        <f t="array" aca="1" ref="D472" ca="1">INDEX({"MedSupply Co","HealthCorp","PharmaPlus","GlobalMed"}, RANDBETWEEN(1,4))</f>
        <v>HealthCorp</v>
      </c>
      <c r="E472">
        <f t="shared" ca="1" si="71"/>
        <v>66</v>
      </c>
      <c r="F472">
        <f t="shared" ca="1" si="72"/>
        <v>86</v>
      </c>
      <c r="G472">
        <f t="shared" ca="1" si="73"/>
        <v>1.91</v>
      </c>
      <c r="H472" s="1">
        <f t="shared" ca="1" si="74"/>
        <v>46295</v>
      </c>
      <c r="I472" s="1">
        <f t="shared" ca="1" si="75"/>
        <v>45977</v>
      </c>
      <c r="J472">
        <f t="shared" ca="1" si="76"/>
        <v>126.05999999999999</v>
      </c>
      <c r="K472" t="str">
        <f t="shared" ca="1" si="77"/>
        <v>Low Stock</v>
      </c>
      <c r="L472" s="2">
        <f t="shared" ca="1" si="78"/>
        <v>176</v>
      </c>
      <c r="M472" t="str">
        <f t="shared" ca="1" si="79"/>
        <v>Safe</v>
      </c>
    </row>
    <row r="473" spans="1:13" x14ac:dyDescent="0.25">
      <c r="A473" t="str">
        <f t="shared" si="70"/>
        <v>M472</v>
      </c>
      <c r="B473" t="str" cm="1">
        <f t="array" aca="1" ref="B473" ca="1">INDEX({"Paracetamol","Amoxicillin","Ibuprofen","Cetirizine","Metformin","Amlodipine","Omeprazole","Azithromycin","Losartan","Vitamin C"}, RANDBETWEEN(1,10))</f>
        <v>Losartan</v>
      </c>
      <c r="C473" t="str" cm="1">
        <f t="array" aca="1" ref="C473" ca="1">INDEX({"Painkiller","Antibiotic","Painkiller","Antihistamine","Diabetes","Hypertension","Antacid","Antibiotic","Hypertension","Supplement"},
MATCH(B473,{"Paracetamol","Amoxicillin","Ibuprofen","Cetirizine","Metformin","Amlodipine","Omeprazole","Azithromycin","Losartan","Vitamin C"},0))</f>
        <v>Hypertension</v>
      </c>
      <c r="D473" t="str" cm="1">
        <f t="array" aca="1" ref="D473" ca="1">INDEX({"MedSupply Co","HealthCorp","PharmaPlus","GlobalMed"}, RANDBETWEEN(1,4))</f>
        <v>PharmaPlus</v>
      </c>
      <c r="E473">
        <f t="shared" ca="1" si="71"/>
        <v>147</v>
      </c>
      <c r="F473">
        <f t="shared" ca="1" si="72"/>
        <v>88</v>
      </c>
      <c r="G473">
        <f t="shared" ca="1" si="73"/>
        <v>1.63</v>
      </c>
      <c r="H473" s="1">
        <f t="shared" ca="1" si="74"/>
        <v>46376</v>
      </c>
      <c r="I473" s="1">
        <f t="shared" ca="1" si="75"/>
        <v>46055</v>
      </c>
      <c r="J473">
        <f t="shared" ca="1" si="76"/>
        <v>239.60999999999999</v>
      </c>
      <c r="K473" t="str">
        <f t="shared" ca="1" si="77"/>
        <v>In Stock</v>
      </c>
      <c r="L473" s="2">
        <f t="shared" ca="1" si="78"/>
        <v>257</v>
      </c>
      <c r="M473" t="str">
        <f t="shared" ca="1" si="79"/>
        <v>Safe</v>
      </c>
    </row>
    <row r="474" spans="1:13" x14ac:dyDescent="0.25">
      <c r="A474" t="str">
        <f t="shared" si="70"/>
        <v>M473</v>
      </c>
      <c r="B474" t="str" cm="1">
        <f t="array" aca="1" ref="B474" ca="1">INDEX({"Paracetamol","Amoxicillin","Ibuprofen","Cetirizine","Metformin","Amlodipine","Omeprazole","Azithromycin","Losartan","Vitamin C"}, RANDBETWEEN(1,10))</f>
        <v>Omeprazole</v>
      </c>
      <c r="C474" t="str" cm="1">
        <f t="array" aca="1" ref="C474" ca="1">INDEX({"Painkiller","Antibiotic","Painkiller","Antihistamine","Diabetes","Hypertension","Antacid","Antibiotic","Hypertension","Supplement"},
MATCH(B474,{"Paracetamol","Amoxicillin","Ibuprofen","Cetirizine","Metformin","Amlodipine","Omeprazole","Azithromycin","Losartan","Vitamin C"},0))</f>
        <v>Antacid</v>
      </c>
      <c r="D474" t="str" cm="1">
        <f t="array" aca="1" ref="D474" ca="1">INDEX({"MedSupply Co","HealthCorp","PharmaPlus","GlobalMed"}, RANDBETWEEN(1,4))</f>
        <v>GlobalMed</v>
      </c>
      <c r="E474">
        <f t="shared" ca="1" si="71"/>
        <v>61</v>
      </c>
      <c r="F474">
        <f t="shared" ca="1" si="72"/>
        <v>21</v>
      </c>
      <c r="G474">
        <f t="shared" ca="1" si="73"/>
        <v>1.18</v>
      </c>
      <c r="H474" s="1">
        <f t="shared" ca="1" si="74"/>
        <v>46409</v>
      </c>
      <c r="I474" s="1">
        <f t="shared" ca="1" si="75"/>
        <v>46115</v>
      </c>
      <c r="J474">
        <f t="shared" ca="1" si="76"/>
        <v>71.97999999999999</v>
      </c>
      <c r="K474" t="str">
        <f t="shared" ca="1" si="77"/>
        <v>In Stock</v>
      </c>
      <c r="L474" s="2">
        <f t="shared" ca="1" si="78"/>
        <v>290</v>
      </c>
      <c r="M474" t="str">
        <f t="shared" ca="1" si="79"/>
        <v>Safe</v>
      </c>
    </row>
    <row r="475" spans="1:13" x14ac:dyDescent="0.25">
      <c r="A475" t="str">
        <f t="shared" si="70"/>
        <v>M474</v>
      </c>
      <c r="B475" t="str" cm="1">
        <f t="array" aca="1" ref="B475" ca="1">INDEX({"Paracetamol","Amoxicillin","Ibuprofen","Cetirizine","Metformin","Amlodipine","Omeprazole","Azithromycin","Losartan","Vitamin C"}, RANDBETWEEN(1,10))</f>
        <v>Amlodipine</v>
      </c>
      <c r="C475" t="str" cm="1">
        <f t="array" aca="1" ref="C475" ca="1">INDEX({"Painkiller","Antibiotic","Painkiller","Antihistamine","Diabetes","Hypertension","Antacid","Antibiotic","Hypertension","Supplement"},
MATCH(B475,{"Paracetamol","Amoxicillin","Ibuprofen","Cetirizine","Metformin","Amlodipine","Omeprazole","Azithromycin","Losartan","Vitamin C"},0))</f>
        <v>Hypertension</v>
      </c>
      <c r="D475" t="str" cm="1">
        <f t="array" aca="1" ref="D475" ca="1">INDEX({"MedSupply Co","HealthCorp","PharmaPlus","GlobalMed"}, RANDBETWEEN(1,4))</f>
        <v>GlobalMed</v>
      </c>
      <c r="E475">
        <f t="shared" ca="1" si="71"/>
        <v>15</v>
      </c>
      <c r="F475">
        <f t="shared" ca="1" si="72"/>
        <v>41</v>
      </c>
      <c r="G475">
        <f t="shared" ca="1" si="73"/>
        <v>0.93</v>
      </c>
      <c r="H475" s="1">
        <f t="shared" ca="1" si="74"/>
        <v>46341</v>
      </c>
      <c r="I475" s="1">
        <f t="shared" ca="1" si="75"/>
        <v>45946</v>
      </c>
      <c r="J475">
        <f t="shared" ca="1" si="76"/>
        <v>13.950000000000001</v>
      </c>
      <c r="K475" t="str">
        <f t="shared" ca="1" si="77"/>
        <v>Low Stock</v>
      </c>
      <c r="L475" s="2">
        <f t="shared" ca="1" si="78"/>
        <v>222</v>
      </c>
      <c r="M475" t="str">
        <f t="shared" ca="1" si="79"/>
        <v>Safe</v>
      </c>
    </row>
    <row r="476" spans="1:13" x14ac:dyDescent="0.25">
      <c r="A476" t="str">
        <f t="shared" si="70"/>
        <v>M475</v>
      </c>
      <c r="B476" t="str" cm="1">
        <f t="array" aca="1" ref="B476" ca="1">INDEX({"Paracetamol","Amoxicillin","Ibuprofen","Cetirizine","Metformin","Amlodipine","Omeprazole","Azithromycin","Losartan","Vitamin C"}, RANDBETWEEN(1,10))</f>
        <v>Azithromycin</v>
      </c>
      <c r="C476" t="str" cm="1">
        <f t="array" aca="1" ref="C476" ca="1">INDEX({"Painkiller","Antibiotic","Painkiller","Antihistamine","Diabetes","Hypertension","Antacid","Antibiotic","Hypertension","Supplement"},
MATCH(B476,{"Paracetamol","Amoxicillin","Ibuprofen","Cetirizine","Metformin","Amlodipine","Omeprazole","Azithromycin","Losartan","Vitamin C"},0))</f>
        <v>Antibiotic</v>
      </c>
      <c r="D476" t="str" cm="1">
        <f t="array" aca="1" ref="D476" ca="1">INDEX({"MedSupply Co","HealthCorp","PharmaPlus","GlobalMed"}, RANDBETWEEN(1,4))</f>
        <v>GlobalMed</v>
      </c>
      <c r="E476">
        <f t="shared" ca="1" si="71"/>
        <v>12</v>
      </c>
      <c r="F476">
        <f t="shared" ca="1" si="72"/>
        <v>29</v>
      </c>
      <c r="G476">
        <f t="shared" ca="1" si="73"/>
        <v>1.17</v>
      </c>
      <c r="H476" s="1">
        <f t="shared" ca="1" si="74"/>
        <v>46399</v>
      </c>
      <c r="I476" s="1">
        <f t="shared" ca="1" si="75"/>
        <v>46098</v>
      </c>
      <c r="J476">
        <f t="shared" ca="1" si="76"/>
        <v>14.04</v>
      </c>
      <c r="K476" t="str">
        <f t="shared" ca="1" si="77"/>
        <v>Low Stock</v>
      </c>
      <c r="L476" s="2">
        <f t="shared" ca="1" si="78"/>
        <v>280</v>
      </c>
      <c r="M476" t="str">
        <f t="shared" ca="1" si="79"/>
        <v>Safe</v>
      </c>
    </row>
    <row r="477" spans="1:13" x14ac:dyDescent="0.25">
      <c r="A477" t="str">
        <f t="shared" si="70"/>
        <v>M476</v>
      </c>
      <c r="B477" t="str" cm="1">
        <f t="array" aca="1" ref="B477" ca="1">INDEX({"Paracetamol","Amoxicillin","Ibuprofen","Cetirizine","Metformin","Amlodipine","Omeprazole","Azithromycin","Losartan","Vitamin C"}, RANDBETWEEN(1,10))</f>
        <v>Azithromycin</v>
      </c>
      <c r="C477" t="str" cm="1">
        <f t="array" aca="1" ref="C477" ca="1">INDEX({"Painkiller","Antibiotic","Painkiller","Antihistamine","Diabetes","Hypertension","Antacid","Antibiotic","Hypertension","Supplement"},
MATCH(B477,{"Paracetamol","Amoxicillin","Ibuprofen","Cetirizine","Metformin","Amlodipine","Omeprazole","Azithromycin","Losartan","Vitamin C"},0))</f>
        <v>Antibiotic</v>
      </c>
      <c r="D477" t="str" cm="1">
        <f t="array" aca="1" ref="D477" ca="1">INDEX({"MedSupply Co","HealthCorp","PharmaPlus","GlobalMed"}, RANDBETWEEN(1,4))</f>
        <v>HealthCorp</v>
      </c>
      <c r="E477">
        <f t="shared" ca="1" si="71"/>
        <v>185</v>
      </c>
      <c r="F477">
        <f t="shared" ca="1" si="72"/>
        <v>26</v>
      </c>
      <c r="G477">
        <f t="shared" ca="1" si="73"/>
        <v>1.0900000000000001</v>
      </c>
      <c r="H477" s="1">
        <f t="shared" ca="1" si="74"/>
        <v>46270</v>
      </c>
      <c r="I477" s="1">
        <f t="shared" ca="1" si="75"/>
        <v>46026</v>
      </c>
      <c r="J477">
        <f t="shared" ca="1" si="76"/>
        <v>201.65</v>
      </c>
      <c r="K477" t="str">
        <f t="shared" ca="1" si="77"/>
        <v>In Stock</v>
      </c>
      <c r="L477" s="2">
        <f t="shared" ca="1" si="78"/>
        <v>151</v>
      </c>
      <c r="M477" t="str">
        <f t="shared" ca="1" si="79"/>
        <v>Safe</v>
      </c>
    </row>
    <row r="478" spans="1:13" x14ac:dyDescent="0.25">
      <c r="A478" t="str">
        <f t="shared" si="70"/>
        <v>M477</v>
      </c>
      <c r="B478" t="str" cm="1">
        <f t="array" aca="1" ref="B478" ca="1">INDEX({"Paracetamol","Amoxicillin","Ibuprofen","Cetirizine","Metformin","Amlodipine","Omeprazole","Azithromycin","Losartan","Vitamin C"}, RANDBETWEEN(1,10))</f>
        <v>Metformin</v>
      </c>
      <c r="C478" t="str" cm="1">
        <f t="array" aca="1" ref="C478" ca="1">INDEX({"Painkiller","Antibiotic","Painkiller","Antihistamine","Diabetes","Hypertension","Antacid","Antibiotic","Hypertension","Supplement"},
MATCH(B478,{"Paracetamol","Amoxicillin","Ibuprofen","Cetirizine","Metformin","Amlodipine","Omeprazole","Azithromycin","Losartan","Vitamin C"},0))</f>
        <v>Diabetes</v>
      </c>
      <c r="D478" t="str" cm="1">
        <f t="array" aca="1" ref="D478" ca="1">INDEX({"MedSupply Co","HealthCorp","PharmaPlus","GlobalMed"}, RANDBETWEEN(1,4))</f>
        <v>GlobalMed</v>
      </c>
      <c r="E478">
        <f t="shared" ca="1" si="71"/>
        <v>134</v>
      </c>
      <c r="F478">
        <f t="shared" ca="1" si="72"/>
        <v>45</v>
      </c>
      <c r="G478">
        <f t="shared" ca="1" si="73"/>
        <v>2</v>
      </c>
      <c r="H478" s="1">
        <f t="shared" ca="1" si="74"/>
        <v>46394</v>
      </c>
      <c r="I478" s="1">
        <f t="shared" ca="1" si="75"/>
        <v>46050</v>
      </c>
      <c r="J478">
        <f t="shared" ca="1" si="76"/>
        <v>268</v>
      </c>
      <c r="K478" t="str">
        <f t="shared" ca="1" si="77"/>
        <v>In Stock</v>
      </c>
      <c r="L478" s="2">
        <f t="shared" ca="1" si="78"/>
        <v>275</v>
      </c>
      <c r="M478" t="str">
        <f t="shared" ca="1" si="79"/>
        <v>Safe</v>
      </c>
    </row>
    <row r="479" spans="1:13" x14ac:dyDescent="0.25">
      <c r="A479" t="str">
        <f t="shared" si="70"/>
        <v>M478</v>
      </c>
      <c r="B479" t="str" cm="1">
        <f t="array" aca="1" ref="B479" ca="1">INDEX({"Paracetamol","Amoxicillin","Ibuprofen","Cetirizine","Metformin","Amlodipine","Omeprazole","Azithromycin","Losartan","Vitamin C"}, RANDBETWEEN(1,10))</f>
        <v>Metformin</v>
      </c>
      <c r="C479" t="str" cm="1">
        <f t="array" aca="1" ref="C479" ca="1">INDEX({"Painkiller","Antibiotic","Painkiller","Antihistamine","Diabetes","Hypertension","Antacid","Antibiotic","Hypertension","Supplement"},
MATCH(B479,{"Paracetamol","Amoxicillin","Ibuprofen","Cetirizine","Metformin","Amlodipine","Omeprazole","Azithromycin","Losartan","Vitamin C"},0))</f>
        <v>Diabetes</v>
      </c>
      <c r="D479" t="str" cm="1">
        <f t="array" aca="1" ref="D479" ca="1">INDEX({"MedSupply Co","HealthCorp","PharmaPlus","GlobalMed"}, RANDBETWEEN(1,4))</f>
        <v>GlobalMed</v>
      </c>
      <c r="E479">
        <f t="shared" ca="1" si="71"/>
        <v>65</v>
      </c>
      <c r="F479">
        <f t="shared" ca="1" si="72"/>
        <v>39</v>
      </c>
      <c r="G479">
        <f t="shared" ca="1" si="73"/>
        <v>0.93</v>
      </c>
      <c r="H479" s="1">
        <f t="shared" ca="1" si="74"/>
        <v>46392</v>
      </c>
      <c r="I479" s="1">
        <f t="shared" ca="1" si="75"/>
        <v>45940</v>
      </c>
      <c r="J479">
        <f t="shared" ca="1" si="76"/>
        <v>60.45</v>
      </c>
      <c r="K479" t="str">
        <f t="shared" ca="1" si="77"/>
        <v>In Stock</v>
      </c>
      <c r="L479" s="2">
        <f t="shared" ca="1" si="78"/>
        <v>273</v>
      </c>
      <c r="M479" t="str">
        <f t="shared" ca="1" si="79"/>
        <v>Safe</v>
      </c>
    </row>
    <row r="480" spans="1:13" x14ac:dyDescent="0.25">
      <c r="A480" t="str">
        <f t="shared" si="70"/>
        <v>M479</v>
      </c>
      <c r="B480" t="str" cm="1">
        <f t="array" aca="1" ref="B480" ca="1">INDEX({"Paracetamol","Amoxicillin","Ibuprofen","Cetirizine","Metformin","Amlodipine","Omeprazole","Azithromycin","Losartan","Vitamin C"}, RANDBETWEEN(1,10))</f>
        <v>Vitamin C</v>
      </c>
      <c r="C480" t="str" cm="1">
        <f t="array" aca="1" ref="C480" ca="1">INDEX({"Painkiller","Antibiotic","Painkiller","Antihistamine","Diabetes","Hypertension","Antacid","Antibiotic","Hypertension","Supplement"},
MATCH(B480,{"Paracetamol","Amoxicillin","Ibuprofen","Cetirizine","Metformin","Amlodipine","Omeprazole","Azithromycin","Losartan","Vitamin C"},0))</f>
        <v>Supplement</v>
      </c>
      <c r="D480" t="str" cm="1">
        <f t="array" aca="1" ref="D480" ca="1">INDEX({"MedSupply Co","HealthCorp","PharmaPlus","GlobalMed"}, RANDBETWEEN(1,4))</f>
        <v>GlobalMed</v>
      </c>
      <c r="E480">
        <f t="shared" ca="1" si="71"/>
        <v>52</v>
      </c>
      <c r="F480">
        <f t="shared" ca="1" si="72"/>
        <v>85</v>
      </c>
      <c r="G480">
        <f t="shared" ca="1" si="73"/>
        <v>1.06</v>
      </c>
      <c r="H480" s="1">
        <f t="shared" ca="1" si="74"/>
        <v>46293</v>
      </c>
      <c r="I480" s="1">
        <f t="shared" ca="1" si="75"/>
        <v>46111</v>
      </c>
      <c r="J480">
        <f t="shared" ca="1" si="76"/>
        <v>55.120000000000005</v>
      </c>
      <c r="K480" t="str">
        <f t="shared" ca="1" si="77"/>
        <v>Low Stock</v>
      </c>
      <c r="L480" s="2">
        <f t="shared" ca="1" si="78"/>
        <v>174</v>
      </c>
      <c r="M480" t="str">
        <f t="shared" ca="1" si="79"/>
        <v>Safe</v>
      </c>
    </row>
    <row r="481" spans="1:13" x14ac:dyDescent="0.25">
      <c r="A481" t="str">
        <f t="shared" si="70"/>
        <v>M480</v>
      </c>
      <c r="B481" t="str" cm="1">
        <f t="array" aca="1" ref="B481" ca="1">INDEX({"Paracetamol","Amoxicillin","Ibuprofen","Cetirizine","Metformin","Amlodipine","Omeprazole","Azithromycin","Losartan","Vitamin C"}, RANDBETWEEN(1,10))</f>
        <v>Cetirizine</v>
      </c>
      <c r="C481" t="str" cm="1">
        <f t="array" aca="1" ref="C481" ca="1">INDEX({"Painkiller","Antibiotic","Painkiller","Antihistamine","Diabetes","Hypertension","Antacid","Antibiotic","Hypertension","Supplement"},
MATCH(B481,{"Paracetamol","Amoxicillin","Ibuprofen","Cetirizine","Metformin","Amlodipine","Omeprazole","Azithromycin","Losartan","Vitamin C"},0))</f>
        <v>Antihistamine</v>
      </c>
      <c r="D481" t="str" cm="1">
        <f t="array" aca="1" ref="D481" ca="1">INDEX({"MedSupply Co","HealthCorp","PharmaPlus","GlobalMed"}, RANDBETWEEN(1,4))</f>
        <v>GlobalMed</v>
      </c>
      <c r="E481">
        <f t="shared" ca="1" si="71"/>
        <v>43</v>
      </c>
      <c r="F481">
        <f t="shared" ca="1" si="72"/>
        <v>71</v>
      </c>
      <c r="G481">
        <f t="shared" ca="1" si="73"/>
        <v>1.79</v>
      </c>
      <c r="H481" s="1">
        <f t="shared" ca="1" si="74"/>
        <v>46267</v>
      </c>
      <c r="I481" s="1">
        <f t="shared" ca="1" si="75"/>
        <v>45970</v>
      </c>
      <c r="J481">
        <f t="shared" ca="1" si="76"/>
        <v>76.97</v>
      </c>
      <c r="K481" t="str">
        <f t="shared" ca="1" si="77"/>
        <v>Low Stock</v>
      </c>
      <c r="L481" s="2">
        <f t="shared" ca="1" si="78"/>
        <v>148</v>
      </c>
      <c r="M481" t="str">
        <f t="shared" ca="1" si="79"/>
        <v>Safe</v>
      </c>
    </row>
    <row r="482" spans="1:13" x14ac:dyDescent="0.25">
      <c r="A482" t="str">
        <f t="shared" si="70"/>
        <v>M481</v>
      </c>
      <c r="B482" t="str" cm="1">
        <f t="array" aca="1" ref="B482" ca="1">INDEX({"Paracetamol","Amoxicillin","Ibuprofen","Cetirizine","Metformin","Amlodipine","Omeprazole","Azithromycin","Losartan","Vitamin C"}, RANDBETWEEN(1,10))</f>
        <v>Omeprazole</v>
      </c>
      <c r="C482" t="str" cm="1">
        <f t="array" aca="1" ref="C482" ca="1">INDEX({"Painkiller","Antibiotic","Painkiller","Antihistamine","Diabetes","Hypertension","Antacid","Antibiotic","Hypertension","Supplement"},
MATCH(B482,{"Paracetamol","Amoxicillin","Ibuprofen","Cetirizine","Metformin","Amlodipine","Omeprazole","Azithromycin","Losartan","Vitamin C"},0))</f>
        <v>Antacid</v>
      </c>
      <c r="D482" t="str" cm="1">
        <f t="array" aca="1" ref="D482" ca="1">INDEX({"MedSupply Co","HealthCorp","PharmaPlus","GlobalMed"}, RANDBETWEEN(1,4))</f>
        <v>GlobalMed</v>
      </c>
      <c r="E482">
        <f t="shared" ca="1" si="71"/>
        <v>3</v>
      </c>
      <c r="F482">
        <f t="shared" ca="1" si="72"/>
        <v>58</v>
      </c>
      <c r="G482">
        <f t="shared" ca="1" si="73"/>
        <v>0.73</v>
      </c>
      <c r="H482" s="1">
        <f t="shared" ca="1" si="74"/>
        <v>46322</v>
      </c>
      <c r="I482" s="1">
        <f t="shared" ca="1" si="75"/>
        <v>45975</v>
      </c>
      <c r="J482">
        <f t="shared" ca="1" si="76"/>
        <v>2.19</v>
      </c>
      <c r="K482" t="str">
        <f t="shared" ca="1" si="77"/>
        <v>Low Stock</v>
      </c>
      <c r="L482" s="2">
        <f t="shared" ca="1" si="78"/>
        <v>203</v>
      </c>
      <c r="M482" t="str">
        <f t="shared" ca="1" si="79"/>
        <v>Safe</v>
      </c>
    </row>
    <row r="483" spans="1:13" x14ac:dyDescent="0.25">
      <c r="A483" t="str">
        <f t="shared" si="70"/>
        <v>M482</v>
      </c>
      <c r="B483" t="str" cm="1">
        <f t="array" aca="1" ref="B483" ca="1">INDEX({"Paracetamol","Amoxicillin","Ibuprofen","Cetirizine","Metformin","Amlodipine","Omeprazole","Azithromycin","Losartan","Vitamin C"}, RANDBETWEEN(1,10))</f>
        <v>Metformin</v>
      </c>
      <c r="C483" t="str" cm="1">
        <f t="array" aca="1" ref="C483" ca="1">INDEX({"Painkiller","Antibiotic","Painkiller","Antihistamine","Diabetes","Hypertension","Antacid","Antibiotic","Hypertension","Supplement"},
MATCH(B483,{"Paracetamol","Amoxicillin","Ibuprofen","Cetirizine","Metformin","Amlodipine","Omeprazole","Azithromycin","Losartan","Vitamin C"},0))</f>
        <v>Diabetes</v>
      </c>
      <c r="D483" t="str" cm="1">
        <f t="array" aca="1" ref="D483" ca="1">INDEX({"MedSupply Co","HealthCorp","PharmaPlus","GlobalMed"}, RANDBETWEEN(1,4))</f>
        <v>MedSupply Co</v>
      </c>
      <c r="E483">
        <f t="shared" ca="1" si="71"/>
        <v>181</v>
      </c>
      <c r="F483">
        <f t="shared" ca="1" si="72"/>
        <v>82</v>
      </c>
      <c r="G483">
        <f t="shared" ca="1" si="73"/>
        <v>0.67</v>
      </c>
      <c r="H483" s="1">
        <f t="shared" ca="1" si="74"/>
        <v>46423</v>
      </c>
      <c r="I483" s="1">
        <f t="shared" ca="1" si="75"/>
        <v>46042</v>
      </c>
      <c r="J483">
        <f t="shared" ca="1" si="76"/>
        <v>121.27000000000001</v>
      </c>
      <c r="K483" t="str">
        <f t="shared" ca="1" si="77"/>
        <v>In Stock</v>
      </c>
      <c r="L483" s="2">
        <f t="shared" ca="1" si="78"/>
        <v>304</v>
      </c>
      <c r="M483" t="str">
        <f t="shared" ca="1" si="79"/>
        <v>Safe</v>
      </c>
    </row>
    <row r="484" spans="1:13" x14ac:dyDescent="0.25">
      <c r="A484" t="str">
        <f t="shared" si="70"/>
        <v>M483</v>
      </c>
      <c r="B484" t="str" cm="1">
        <f t="array" aca="1" ref="B484" ca="1">INDEX({"Paracetamol","Amoxicillin","Ibuprofen","Cetirizine","Metformin","Amlodipine","Omeprazole","Azithromycin","Losartan","Vitamin C"}, RANDBETWEEN(1,10))</f>
        <v>Azithromycin</v>
      </c>
      <c r="C484" t="str" cm="1">
        <f t="array" aca="1" ref="C484" ca="1">INDEX({"Painkiller","Antibiotic","Painkiller","Antihistamine","Diabetes","Hypertension","Antacid","Antibiotic","Hypertension","Supplement"},
MATCH(B484,{"Paracetamol","Amoxicillin","Ibuprofen","Cetirizine","Metformin","Amlodipine","Omeprazole","Azithromycin","Losartan","Vitamin C"},0))</f>
        <v>Antibiotic</v>
      </c>
      <c r="D484" t="str" cm="1">
        <f t="array" aca="1" ref="D484" ca="1">INDEX({"MedSupply Co","HealthCorp","PharmaPlus","GlobalMed"}, RANDBETWEEN(1,4))</f>
        <v>MedSupply Co</v>
      </c>
      <c r="E484">
        <f t="shared" ca="1" si="71"/>
        <v>54</v>
      </c>
      <c r="F484">
        <f t="shared" ca="1" si="72"/>
        <v>36</v>
      </c>
      <c r="G484">
        <f t="shared" ca="1" si="73"/>
        <v>0.75</v>
      </c>
      <c r="H484" s="1">
        <f t="shared" ca="1" si="74"/>
        <v>46315</v>
      </c>
      <c r="I484" s="1">
        <f t="shared" ca="1" si="75"/>
        <v>46092</v>
      </c>
      <c r="J484">
        <f t="shared" ca="1" si="76"/>
        <v>40.5</v>
      </c>
      <c r="K484" t="str">
        <f t="shared" ca="1" si="77"/>
        <v>In Stock</v>
      </c>
      <c r="L484" s="2">
        <f t="shared" ca="1" si="78"/>
        <v>196</v>
      </c>
      <c r="M484" t="str">
        <f t="shared" ca="1" si="79"/>
        <v>Safe</v>
      </c>
    </row>
    <row r="485" spans="1:13" x14ac:dyDescent="0.25">
      <c r="A485" t="str">
        <f t="shared" si="70"/>
        <v>M484</v>
      </c>
      <c r="B485" t="str" cm="1">
        <f t="array" aca="1" ref="B485" ca="1">INDEX({"Paracetamol","Amoxicillin","Ibuprofen","Cetirizine","Metformin","Amlodipine","Omeprazole","Azithromycin","Losartan","Vitamin C"}, RANDBETWEEN(1,10))</f>
        <v>Cetirizine</v>
      </c>
      <c r="C485" t="str" cm="1">
        <f t="array" aca="1" ref="C485" ca="1">INDEX({"Painkiller","Antibiotic","Painkiller","Antihistamine","Diabetes","Hypertension","Antacid","Antibiotic","Hypertension","Supplement"},
MATCH(B485,{"Paracetamol","Amoxicillin","Ibuprofen","Cetirizine","Metformin","Amlodipine","Omeprazole","Azithromycin","Losartan","Vitamin C"},0))</f>
        <v>Antihistamine</v>
      </c>
      <c r="D485" t="str" cm="1">
        <f t="array" aca="1" ref="D485" ca="1">INDEX({"MedSupply Co","HealthCorp","PharmaPlus","GlobalMed"}, RANDBETWEEN(1,4))</f>
        <v>GlobalMed</v>
      </c>
      <c r="E485">
        <f t="shared" ca="1" si="71"/>
        <v>12</v>
      </c>
      <c r="F485">
        <f t="shared" ca="1" si="72"/>
        <v>21</v>
      </c>
      <c r="G485">
        <f t="shared" ca="1" si="73"/>
        <v>1.1100000000000001</v>
      </c>
      <c r="H485" s="1">
        <f t="shared" ca="1" si="74"/>
        <v>46286</v>
      </c>
      <c r="I485" s="1">
        <f t="shared" ca="1" si="75"/>
        <v>45944</v>
      </c>
      <c r="J485">
        <f t="shared" ca="1" si="76"/>
        <v>13.32</v>
      </c>
      <c r="K485" t="str">
        <f t="shared" ca="1" si="77"/>
        <v>Low Stock</v>
      </c>
      <c r="L485" s="2">
        <f t="shared" ca="1" si="78"/>
        <v>167</v>
      </c>
      <c r="M485" t="str">
        <f t="shared" ca="1" si="79"/>
        <v>Safe</v>
      </c>
    </row>
    <row r="486" spans="1:13" x14ac:dyDescent="0.25">
      <c r="A486" t="str">
        <f t="shared" si="70"/>
        <v>M485</v>
      </c>
      <c r="B486" t="str" cm="1">
        <f t="array" aca="1" ref="B486" ca="1">INDEX({"Paracetamol","Amoxicillin","Ibuprofen","Cetirizine","Metformin","Amlodipine","Omeprazole","Azithromycin","Losartan","Vitamin C"}, RANDBETWEEN(1,10))</f>
        <v>Amlodipine</v>
      </c>
      <c r="C486" t="str" cm="1">
        <f t="array" aca="1" ref="C486" ca="1">INDEX({"Painkiller","Antibiotic","Painkiller","Antihistamine","Diabetes","Hypertension","Antacid","Antibiotic","Hypertension","Supplement"},
MATCH(B486,{"Paracetamol","Amoxicillin","Ibuprofen","Cetirizine","Metformin","Amlodipine","Omeprazole","Azithromycin","Losartan","Vitamin C"},0))</f>
        <v>Hypertension</v>
      </c>
      <c r="D486" t="str" cm="1">
        <f t="array" aca="1" ref="D486" ca="1">INDEX({"MedSupply Co","HealthCorp","PharmaPlus","GlobalMed"}, RANDBETWEEN(1,4))</f>
        <v>GlobalMed</v>
      </c>
      <c r="E486">
        <f t="shared" ca="1" si="71"/>
        <v>167</v>
      </c>
      <c r="F486">
        <f t="shared" ca="1" si="72"/>
        <v>89</v>
      </c>
      <c r="G486">
        <f t="shared" ca="1" si="73"/>
        <v>1.76</v>
      </c>
      <c r="H486" s="1">
        <f t="shared" ca="1" si="74"/>
        <v>46182</v>
      </c>
      <c r="I486" s="1">
        <f t="shared" ca="1" si="75"/>
        <v>46041</v>
      </c>
      <c r="J486">
        <f t="shared" ca="1" si="76"/>
        <v>293.92</v>
      </c>
      <c r="K486" t="str">
        <f t="shared" ca="1" si="77"/>
        <v>In Stock</v>
      </c>
      <c r="L486" s="2">
        <f t="shared" ca="1" si="78"/>
        <v>63</v>
      </c>
      <c r="M486" t="str">
        <f t="shared" ca="1" si="79"/>
        <v>Safe</v>
      </c>
    </row>
    <row r="487" spans="1:13" x14ac:dyDescent="0.25">
      <c r="A487" t="str">
        <f t="shared" si="70"/>
        <v>M486</v>
      </c>
      <c r="B487" t="str" cm="1">
        <f t="array" aca="1" ref="B487" ca="1">INDEX({"Paracetamol","Amoxicillin","Ibuprofen","Cetirizine","Metformin","Amlodipine","Omeprazole","Azithromycin","Losartan","Vitamin C"}, RANDBETWEEN(1,10))</f>
        <v>Vitamin C</v>
      </c>
      <c r="C487" t="str" cm="1">
        <f t="array" aca="1" ref="C487" ca="1">INDEX({"Painkiller","Antibiotic","Painkiller","Antihistamine","Diabetes","Hypertension","Antacid","Antibiotic","Hypertension","Supplement"},
MATCH(B487,{"Paracetamol","Amoxicillin","Ibuprofen","Cetirizine","Metformin","Amlodipine","Omeprazole","Azithromycin","Losartan","Vitamin C"},0))</f>
        <v>Supplement</v>
      </c>
      <c r="D487" t="str" cm="1">
        <f t="array" aca="1" ref="D487" ca="1">INDEX({"MedSupply Co","HealthCorp","PharmaPlus","GlobalMed"}, RANDBETWEEN(1,4))</f>
        <v>MedSupply Co</v>
      </c>
      <c r="E487">
        <f t="shared" ca="1" si="71"/>
        <v>55</v>
      </c>
      <c r="F487">
        <f t="shared" ca="1" si="72"/>
        <v>20</v>
      </c>
      <c r="G487">
        <f t="shared" ca="1" si="73"/>
        <v>1.45</v>
      </c>
      <c r="H487" s="1">
        <f t="shared" ca="1" si="74"/>
        <v>46152</v>
      </c>
      <c r="I487" s="1">
        <f t="shared" ca="1" si="75"/>
        <v>46081</v>
      </c>
      <c r="J487">
        <f t="shared" ca="1" si="76"/>
        <v>79.75</v>
      </c>
      <c r="K487" t="str">
        <f t="shared" ca="1" si="77"/>
        <v>In Stock</v>
      </c>
      <c r="L487" s="2">
        <f t="shared" ca="1" si="78"/>
        <v>33</v>
      </c>
      <c r="M487" t="str">
        <f t="shared" ca="1" si="79"/>
        <v>Safe</v>
      </c>
    </row>
    <row r="488" spans="1:13" x14ac:dyDescent="0.25">
      <c r="A488" t="str">
        <f t="shared" si="70"/>
        <v>M487</v>
      </c>
      <c r="B488" t="str" cm="1">
        <f t="array" aca="1" ref="B488" ca="1">INDEX({"Paracetamol","Amoxicillin","Ibuprofen","Cetirizine","Metformin","Amlodipine","Omeprazole","Azithromycin","Losartan","Vitamin C"}, RANDBETWEEN(1,10))</f>
        <v>Amlodipine</v>
      </c>
      <c r="C488" t="str" cm="1">
        <f t="array" aca="1" ref="C488" ca="1">INDEX({"Painkiller","Antibiotic","Painkiller","Antihistamine","Diabetes","Hypertension","Antacid","Antibiotic","Hypertension","Supplement"},
MATCH(B488,{"Paracetamol","Amoxicillin","Ibuprofen","Cetirizine","Metformin","Amlodipine","Omeprazole","Azithromycin","Losartan","Vitamin C"},0))</f>
        <v>Hypertension</v>
      </c>
      <c r="D488" t="str" cm="1">
        <f t="array" aca="1" ref="D488" ca="1">INDEX({"MedSupply Co","HealthCorp","PharmaPlus","GlobalMed"}, RANDBETWEEN(1,4))</f>
        <v>PharmaPlus</v>
      </c>
      <c r="E488">
        <f t="shared" ca="1" si="71"/>
        <v>145</v>
      </c>
      <c r="F488">
        <f t="shared" ca="1" si="72"/>
        <v>31</v>
      </c>
      <c r="G488">
        <f t="shared" ca="1" si="73"/>
        <v>1.93</v>
      </c>
      <c r="H488" s="1">
        <f t="shared" ca="1" si="74"/>
        <v>46218</v>
      </c>
      <c r="I488" s="1">
        <f t="shared" ca="1" si="75"/>
        <v>45939</v>
      </c>
      <c r="J488">
        <f t="shared" ca="1" si="76"/>
        <v>279.84999999999997</v>
      </c>
      <c r="K488" t="str">
        <f t="shared" ca="1" si="77"/>
        <v>In Stock</v>
      </c>
      <c r="L488" s="2">
        <f t="shared" ca="1" si="78"/>
        <v>99</v>
      </c>
      <c r="M488" t="str">
        <f t="shared" ca="1" si="79"/>
        <v>Safe</v>
      </c>
    </row>
    <row r="489" spans="1:13" x14ac:dyDescent="0.25">
      <c r="A489" t="str">
        <f t="shared" si="70"/>
        <v>M488</v>
      </c>
      <c r="B489" t="str" cm="1">
        <f t="array" aca="1" ref="B489" ca="1">INDEX({"Paracetamol","Amoxicillin","Ibuprofen","Cetirizine","Metformin","Amlodipine","Omeprazole","Azithromycin","Losartan","Vitamin C"}, RANDBETWEEN(1,10))</f>
        <v>Ibuprofen</v>
      </c>
      <c r="C489" t="str" cm="1">
        <f t="array" aca="1" ref="C489" ca="1">INDEX({"Painkiller","Antibiotic","Painkiller","Antihistamine","Diabetes","Hypertension","Antacid","Antibiotic","Hypertension","Supplement"},
MATCH(B489,{"Paracetamol","Amoxicillin","Ibuprofen","Cetirizine","Metformin","Amlodipine","Omeprazole","Azithromycin","Losartan","Vitamin C"},0))</f>
        <v>Painkiller</v>
      </c>
      <c r="D489" t="str" cm="1">
        <f t="array" aca="1" ref="D489" ca="1">INDEX({"MedSupply Co","HealthCorp","PharmaPlus","GlobalMed"}, RANDBETWEEN(1,4))</f>
        <v>PharmaPlus</v>
      </c>
      <c r="E489">
        <f t="shared" ca="1" si="71"/>
        <v>137</v>
      </c>
      <c r="F489">
        <f t="shared" ca="1" si="72"/>
        <v>83</v>
      </c>
      <c r="G489">
        <f t="shared" ca="1" si="73"/>
        <v>1.83</v>
      </c>
      <c r="H489" s="1">
        <f t="shared" ca="1" si="74"/>
        <v>46210</v>
      </c>
      <c r="I489" s="1">
        <f t="shared" ca="1" si="75"/>
        <v>46071</v>
      </c>
      <c r="J489">
        <f t="shared" ca="1" si="76"/>
        <v>250.71</v>
      </c>
      <c r="K489" t="str">
        <f t="shared" ca="1" si="77"/>
        <v>In Stock</v>
      </c>
      <c r="L489" s="2">
        <f t="shared" ca="1" si="78"/>
        <v>91</v>
      </c>
      <c r="M489" t="str">
        <f t="shared" ca="1" si="79"/>
        <v>Safe</v>
      </c>
    </row>
    <row r="490" spans="1:13" x14ac:dyDescent="0.25">
      <c r="A490" t="str">
        <f t="shared" si="70"/>
        <v>M489</v>
      </c>
      <c r="B490" t="str" cm="1">
        <f t="array" aca="1" ref="B490" ca="1">INDEX({"Paracetamol","Amoxicillin","Ibuprofen","Cetirizine","Metformin","Amlodipine","Omeprazole","Azithromycin","Losartan","Vitamin C"}, RANDBETWEEN(1,10))</f>
        <v>Ibuprofen</v>
      </c>
      <c r="C490" t="str" cm="1">
        <f t="array" aca="1" ref="C490" ca="1">INDEX({"Painkiller","Antibiotic","Painkiller","Antihistamine","Diabetes","Hypertension","Antacid","Antibiotic","Hypertension","Supplement"},
MATCH(B490,{"Paracetamol","Amoxicillin","Ibuprofen","Cetirizine","Metformin","Amlodipine","Omeprazole","Azithromycin","Losartan","Vitamin C"},0))</f>
        <v>Painkiller</v>
      </c>
      <c r="D490" t="str" cm="1">
        <f t="array" aca="1" ref="D490" ca="1">INDEX({"MedSupply Co","HealthCorp","PharmaPlus","GlobalMed"}, RANDBETWEEN(1,4))</f>
        <v>MedSupply Co</v>
      </c>
      <c r="E490">
        <f t="shared" ca="1" si="71"/>
        <v>105</v>
      </c>
      <c r="F490">
        <f t="shared" ca="1" si="72"/>
        <v>34</v>
      </c>
      <c r="G490">
        <f t="shared" ca="1" si="73"/>
        <v>1.35</v>
      </c>
      <c r="H490" s="1">
        <f t="shared" ca="1" si="74"/>
        <v>46419</v>
      </c>
      <c r="I490" s="1">
        <f t="shared" ca="1" si="75"/>
        <v>45983</v>
      </c>
      <c r="J490">
        <f t="shared" ca="1" si="76"/>
        <v>141.75</v>
      </c>
      <c r="K490" t="str">
        <f t="shared" ca="1" si="77"/>
        <v>In Stock</v>
      </c>
      <c r="L490" s="2">
        <f t="shared" ca="1" si="78"/>
        <v>300</v>
      </c>
      <c r="M490" t="str">
        <f t="shared" ca="1" si="79"/>
        <v>Safe</v>
      </c>
    </row>
    <row r="491" spans="1:13" x14ac:dyDescent="0.25">
      <c r="A491" t="str">
        <f t="shared" si="70"/>
        <v>M490</v>
      </c>
      <c r="B491" t="str" cm="1">
        <f t="array" aca="1" ref="B491" ca="1">INDEX({"Paracetamol","Amoxicillin","Ibuprofen","Cetirizine","Metformin","Amlodipine","Omeprazole","Azithromycin","Losartan","Vitamin C"}, RANDBETWEEN(1,10))</f>
        <v>Vitamin C</v>
      </c>
      <c r="C491" t="str" cm="1">
        <f t="array" aca="1" ref="C491" ca="1">INDEX({"Painkiller","Antibiotic","Painkiller","Antihistamine","Diabetes","Hypertension","Antacid","Antibiotic","Hypertension","Supplement"},
MATCH(B491,{"Paracetamol","Amoxicillin","Ibuprofen","Cetirizine","Metformin","Amlodipine","Omeprazole","Azithromycin","Losartan","Vitamin C"},0))</f>
        <v>Supplement</v>
      </c>
      <c r="D491" t="str" cm="1">
        <f t="array" aca="1" ref="D491" ca="1">INDEX({"MedSupply Co","HealthCorp","PharmaPlus","GlobalMed"}, RANDBETWEEN(1,4))</f>
        <v>HealthCorp</v>
      </c>
      <c r="E491">
        <f t="shared" ca="1" si="71"/>
        <v>178</v>
      </c>
      <c r="F491">
        <f t="shared" ca="1" si="72"/>
        <v>30</v>
      </c>
      <c r="G491">
        <f t="shared" ca="1" si="73"/>
        <v>0.89</v>
      </c>
      <c r="H491" s="1">
        <f t="shared" ca="1" si="74"/>
        <v>46448</v>
      </c>
      <c r="I491" s="1">
        <f t="shared" ca="1" si="75"/>
        <v>46050</v>
      </c>
      <c r="J491">
        <f t="shared" ca="1" si="76"/>
        <v>158.42000000000002</v>
      </c>
      <c r="K491" t="str">
        <f t="shared" ca="1" si="77"/>
        <v>In Stock</v>
      </c>
      <c r="L491" s="2">
        <f t="shared" ca="1" si="78"/>
        <v>329</v>
      </c>
      <c r="M491" t="str">
        <f t="shared" ca="1" si="79"/>
        <v>Safe</v>
      </c>
    </row>
    <row r="492" spans="1:13" x14ac:dyDescent="0.25">
      <c r="A492" t="str">
        <f t="shared" si="70"/>
        <v>M491</v>
      </c>
      <c r="B492" t="str" cm="1">
        <f t="array" aca="1" ref="B492" ca="1">INDEX({"Paracetamol","Amoxicillin","Ibuprofen","Cetirizine","Metformin","Amlodipine","Omeprazole","Azithromycin","Losartan","Vitamin C"}, RANDBETWEEN(1,10))</f>
        <v>Metformin</v>
      </c>
      <c r="C492" t="str" cm="1">
        <f t="array" aca="1" ref="C492" ca="1">INDEX({"Painkiller","Antibiotic","Painkiller","Antihistamine","Diabetes","Hypertension","Antacid","Antibiotic","Hypertension","Supplement"},
MATCH(B492,{"Paracetamol","Amoxicillin","Ibuprofen","Cetirizine","Metformin","Amlodipine","Omeprazole","Azithromycin","Losartan","Vitamin C"},0))</f>
        <v>Diabetes</v>
      </c>
      <c r="D492" t="str" cm="1">
        <f t="array" aca="1" ref="D492" ca="1">INDEX({"MedSupply Co","HealthCorp","PharmaPlus","GlobalMed"}, RANDBETWEEN(1,4))</f>
        <v>PharmaPlus</v>
      </c>
      <c r="E492">
        <f t="shared" ca="1" si="71"/>
        <v>175</v>
      </c>
      <c r="F492">
        <f t="shared" ca="1" si="72"/>
        <v>100</v>
      </c>
      <c r="G492">
        <f t="shared" ca="1" si="73"/>
        <v>0.84</v>
      </c>
      <c r="H492" s="1">
        <f t="shared" ca="1" si="74"/>
        <v>46347</v>
      </c>
      <c r="I492" s="1">
        <f t="shared" ca="1" si="75"/>
        <v>46027</v>
      </c>
      <c r="J492">
        <f t="shared" ca="1" si="76"/>
        <v>147</v>
      </c>
      <c r="K492" t="str">
        <f t="shared" ca="1" si="77"/>
        <v>In Stock</v>
      </c>
      <c r="L492" s="2">
        <f t="shared" ca="1" si="78"/>
        <v>228</v>
      </c>
      <c r="M492" t="str">
        <f t="shared" ca="1" si="79"/>
        <v>Safe</v>
      </c>
    </row>
    <row r="493" spans="1:13" x14ac:dyDescent="0.25">
      <c r="A493" t="str">
        <f t="shared" si="70"/>
        <v>M492</v>
      </c>
      <c r="B493" t="str" cm="1">
        <f t="array" aca="1" ref="B493" ca="1">INDEX({"Paracetamol","Amoxicillin","Ibuprofen","Cetirizine","Metformin","Amlodipine","Omeprazole","Azithromycin","Losartan","Vitamin C"}, RANDBETWEEN(1,10))</f>
        <v>Amoxicillin</v>
      </c>
      <c r="C493" t="str" cm="1">
        <f t="array" aca="1" ref="C493" ca="1">INDEX({"Painkiller","Antibiotic","Painkiller","Antihistamine","Diabetes","Hypertension","Antacid","Antibiotic","Hypertension","Supplement"},
MATCH(B493,{"Paracetamol","Amoxicillin","Ibuprofen","Cetirizine","Metformin","Amlodipine","Omeprazole","Azithromycin","Losartan","Vitamin C"},0))</f>
        <v>Antibiotic</v>
      </c>
      <c r="D493" t="str" cm="1">
        <f t="array" aca="1" ref="D493" ca="1">INDEX({"MedSupply Co","HealthCorp","PharmaPlus","GlobalMed"}, RANDBETWEEN(1,4))</f>
        <v>HealthCorp</v>
      </c>
      <c r="E493">
        <f t="shared" ca="1" si="71"/>
        <v>16</v>
      </c>
      <c r="F493">
        <f t="shared" ca="1" si="72"/>
        <v>55</v>
      </c>
      <c r="G493">
        <f t="shared" ca="1" si="73"/>
        <v>1.79</v>
      </c>
      <c r="H493" s="1">
        <f t="shared" ca="1" si="74"/>
        <v>46343</v>
      </c>
      <c r="I493" s="1">
        <f t="shared" ca="1" si="75"/>
        <v>45976</v>
      </c>
      <c r="J493">
        <f t="shared" ca="1" si="76"/>
        <v>28.64</v>
      </c>
      <c r="K493" t="str">
        <f t="shared" ca="1" si="77"/>
        <v>Low Stock</v>
      </c>
      <c r="L493" s="2">
        <f t="shared" ca="1" si="78"/>
        <v>224</v>
      </c>
      <c r="M493" t="str">
        <f t="shared" ca="1" si="79"/>
        <v>Safe</v>
      </c>
    </row>
    <row r="494" spans="1:13" x14ac:dyDescent="0.25">
      <c r="A494" t="str">
        <f t="shared" si="70"/>
        <v>M493</v>
      </c>
      <c r="B494" t="str" cm="1">
        <f t="array" aca="1" ref="B494" ca="1">INDEX({"Paracetamol","Amoxicillin","Ibuprofen","Cetirizine","Metformin","Amlodipine","Omeprazole","Azithromycin","Losartan","Vitamin C"}, RANDBETWEEN(1,10))</f>
        <v>Ibuprofen</v>
      </c>
      <c r="C494" t="str" cm="1">
        <f t="array" aca="1" ref="C494" ca="1">INDEX({"Painkiller","Antibiotic","Painkiller","Antihistamine","Diabetes","Hypertension","Antacid","Antibiotic","Hypertension","Supplement"},
MATCH(B494,{"Paracetamol","Amoxicillin","Ibuprofen","Cetirizine","Metformin","Amlodipine","Omeprazole","Azithromycin","Losartan","Vitamin C"},0))</f>
        <v>Painkiller</v>
      </c>
      <c r="D494" t="str" cm="1">
        <f t="array" aca="1" ref="D494" ca="1">INDEX({"MedSupply Co","HealthCorp","PharmaPlus","GlobalMed"}, RANDBETWEEN(1,4))</f>
        <v>GlobalMed</v>
      </c>
      <c r="E494">
        <f t="shared" ca="1" si="71"/>
        <v>109</v>
      </c>
      <c r="F494">
        <f t="shared" ca="1" si="72"/>
        <v>66</v>
      </c>
      <c r="G494">
        <f t="shared" ca="1" si="73"/>
        <v>1.41</v>
      </c>
      <c r="H494" s="1">
        <f t="shared" ca="1" si="74"/>
        <v>46257</v>
      </c>
      <c r="I494" s="1">
        <f t="shared" ca="1" si="75"/>
        <v>46005</v>
      </c>
      <c r="J494">
        <f t="shared" ca="1" si="76"/>
        <v>153.69</v>
      </c>
      <c r="K494" t="str">
        <f t="shared" ca="1" si="77"/>
        <v>In Stock</v>
      </c>
      <c r="L494" s="2">
        <f t="shared" ca="1" si="78"/>
        <v>138</v>
      </c>
      <c r="M494" t="str">
        <f t="shared" ca="1" si="79"/>
        <v>Safe</v>
      </c>
    </row>
    <row r="495" spans="1:13" x14ac:dyDescent="0.25">
      <c r="A495" t="str">
        <f t="shared" si="70"/>
        <v>M494</v>
      </c>
      <c r="B495" t="str" cm="1">
        <f t="array" aca="1" ref="B495" ca="1">INDEX({"Paracetamol","Amoxicillin","Ibuprofen","Cetirizine","Metformin","Amlodipine","Omeprazole","Azithromycin","Losartan","Vitamin C"}, RANDBETWEEN(1,10))</f>
        <v>Metformin</v>
      </c>
      <c r="C495" t="str" cm="1">
        <f t="array" aca="1" ref="C495" ca="1">INDEX({"Painkiller","Antibiotic","Painkiller","Antihistamine","Diabetes","Hypertension","Antacid","Antibiotic","Hypertension","Supplement"},
MATCH(B495,{"Paracetamol","Amoxicillin","Ibuprofen","Cetirizine","Metformin","Amlodipine","Omeprazole","Azithromycin","Losartan","Vitamin C"},0))</f>
        <v>Diabetes</v>
      </c>
      <c r="D495" t="str" cm="1">
        <f t="array" aca="1" ref="D495" ca="1">INDEX({"MedSupply Co","HealthCorp","PharmaPlus","GlobalMed"}, RANDBETWEEN(1,4))</f>
        <v>HealthCorp</v>
      </c>
      <c r="E495">
        <f t="shared" ca="1" si="71"/>
        <v>105</v>
      </c>
      <c r="F495">
        <f t="shared" ca="1" si="72"/>
        <v>74</v>
      </c>
      <c r="G495">
        <f t="shared" ca="1" si="73"/>
        <v>1.72</v>
      </c>
      <c r="H495" s="1">
        <f t="shared" ca="1" si="74"/>
        <v>46384</v>
      </c>
      <c r="I495" s="1">
        <f t="shared" ca="1" si="75"/>
        <v>46007</v>
      </c>
      <c r="J495">
        <f t="shared" ca="1" si="76"/>
        <v>180.6</v>
      </c>
      <c r="K495" t="str">
        <f t="shared" ca="1" si="77"/>
        <v>In Stock</v>
      </c>
      <c r="L495" s="2">
        <f t="shared" ca="1" si="78"/>
        <v>265</v>
      </c>
      <c r="M495" t="str">
        <f t="shared" ca="1" si="79"/>
        <v>Safe</v>
      </c>
    </row>
    <row r="496" spans="1:13" x14ac:dyDescent="0.25">
      <c r="A496" t="str">
        <f t="shared" si="70"/>
        <v>M495</v>
      </c>
      <c r="B496" t="str" cm="1">
        <f t="array" aca="1" ref="B496" ca="1">INDEX({"Paracetamol","Amoxicillin","Ibuprofen","Cetirizine","Metformin","Amlodipine","Omeprazole","Azithromycin","Losartan","Vitamin C"}, RANDBETWEEN(1,10))</f>
        <v>Ibuprofen</v>
      </c>
      <c r="C496" t="str" cm="1">
        <f t="array" aca="1" ref="C496" ca="1">INDEX({"Painkiller","Antibiotic","Painkiller","Antihistamine","Diabetes","Hypertension","Antacid","Antibiotic","Hypertension","Supplement"},
MATCH(B496,{"Paracetamol","Amoxicillin","Ibuprofen","Cetirizine","Metformin","Amlodipine","Omeprazole","Azithromycin","Losartan","Vitamin C"},0))</f>
        <v>Painkiller</v>
      </c>
      <c r="D496" t="str" cm="1">
        <f t="array" aca="1" ref="D496" ca="1">INDEX({"MedSupply Co","HealthCorp","PharmaPlus","GlobalMed"}, RANDBETWEEN(1,4))</f>
        <v>PharmaPlus</v>
      </c>
      <c r="E496">
        <f t="shared" ca="1" si="71"/>
        <v>110</v>
      </c>
      <c r="F496">
        <f t="shared" ca="1" si="72"/>
        <v>83</v>
      </c>
      <c r="G496">
        <f t="shared" ca="1" si="73"/>
        <v>1.61</v>
      </c>
      <c r="H496" s="1">
        <f t="shared" ca="1" si="74"/>
        <v>46282</v>
      </c>
      <c r="I496" s="1">
        <f t="shared" ca="1" si="75"/>
        <v>45939</v>
      </c>
      <c r="J496">
        <f t="shared" ca="1" si="76"/>
        <v>177.10000000000002</v>
      </c>
      <c r="K496" t="str">
        <f t="shared" ca="1" si="77"/>
        <v>In Stock</v>
      </c>
      <c r="L496" s="2">
        <f t="shared" ca="1" si="78"/>
        <v>163</v>
      </c>
      <c r="M496" t="str">
        <f t="shared" ca="1" si="79"/>
        <v>Safe</v>
      </c>
    </row>
    <row r="497" spans="1:13" x14ac:dyDescent="0.25">
      <c r="A497" t="str">
        <f t="shared" si="70"/>
        <v>M496</v>
      </c>
      <c r="B497" t="str" cm="1">
        <f t="array" aca="1" ref="B497" ca="1">INDEX({"Paracetamol","Amoxicillin","Ibuprofen","Cetirizine","Metformin","Amlodipine","Omeprazole","Azithromycin","Losartan","Vitamin C"}, RANDBETWEEN(1,10))</f>
        <v>Amlodipine</v>
      </c>
      <c r="C497" t="str" cm="1">
        <f t="array" aca="1" ref="C497" ca="1">INDEX({"Painkiller","Antibiotic","Painkiller","Antihistamine","Diabetes","Hypertension","Antacid","Antibiotic","Hypertension","Supplement"},
MATCH(B497,{"Paracetamol","Amoxicillin","Ibuprofen","Cetirizine","Metformin","Amlodipine","Omeprazole","Azithromycin","Losartan","Vitamin C"},0))</f>
        <v>Hypertension</v>
      </c>
      <c r="D497" t="str" cm="1">
        <f t="array" aca="1" ref="D497" ca="1">INDEX({"MedSupply Co","HealthCorp","PharmaPlus","GlobalMed"}, RANDBETWEEN(1,4))</f>
        <v>MedSupply Co</v>
      </c>
      <c r="E497">
        <f t="shared" ca="1" si="71"/>
        <v>8</v>
      </c>
      <c r="F497">
        <f t="shared" ca="1" si="72"/>
        <v>37</v>
      </c>
      <c r="G497">
        <f t="shared" ca="1" si="73"/>
        <v>1.83</v>
      </c>
      <c r="H497" s="1">
        <f t="shared" ca="1" si="74"/>
        <v>46149</v>
      </c>
      <c r="I497" s="1">
        <f t="shared" ca="1" si="75"/>
        <v>46102</v>
      </c>
      <c r="J497">
        <f t="shared" ca="1" si="76"/>
        <v>14.64</v>
      </c>
      <c r="K497" t="str">
        <f t="shared" ca="1" si="77"/>
        <v>Low Stock</v>
      </c>
      <c r="L497" s="2">
        <f t="shared" ca="1" si="78"/>
        <v>30</v>
      </c>
      <c r="M497" t="str">
        <f t="shared" ca="1" si="79"/>
        <v>Expiring Soon</v>
      </c>
    </row>
    <row r="498" spans="1:13" x14ac:dyDescent="0.25">
      <c r="A498" t="str">
        <f t="shared" si="70"/>
        <v>M497</v>
      </c>
      <c r="B498" t="str" cm="1">
        <f t="array" aca="1" ref="B498" ca="1">INDEX({"Paracetamol","Amoxicillin","Ibuprofen","Cetirizine","Metformin","Amlodipine","Omeprazole","Azithromycin","Losartan","Vitamin C"}, RANDBETWEEN(1,10))</f>
        <v>Amoxicillin</v>
      </c>
      <c r="C498" t="str" cm="1">
        <f t="array" aca="1" ref="C498" ca="1">INDEX({"Painkiller","Antibiotic","Painkiller","Antihistamine","Diabetes","Hypertension","Antacid","Antibiotic","Hypertension","Supplement"},
MATCH(B498,{"Paracetamol","Amoxicillin","Ibuprofen","Cetirizine","Metformin","Amlodipine","Omeprazole","Azithromycin","Losartan","Vitamin C"},0))</f>
        <v>Antibiotic</v>
      </c>
      <c r="D498" t="str" cm="1">
        <f t="array" aca="1" ref="D498" ca="1">INDEX({"MedSupply Co","HealthCorp","PharmaPlus","GlobalMed"}, RANDBETWEEN(1,4))</f>
        <v>MedSupply Co</v>
      </c>
      <c r="E498">
        <f t="shared" ca="1" si="71"/>
        <v>110</v>
      </c>
      <c r="F498">
        <f t="shared" ca="1" si="72"/>
        <v>72</v>
      </c>
      <c r="G498">
        <f t="shared" ca="1" si="73"/>
        <v>0.88</v>
      </c>
      <c r="H498" s="1">
        <f t="shared" ca="1" si="74"/>
        <v>46241</v>
      </c>
      <c r="I498" s="1">
        <f t="shared" ca="1" si="75"/>
        <v>46074</v>
      </c>
      <c r="J498">
        <f t="shared" ca="1" si="76"/>
        <v>96.8</v>
      </c>
      <c r="K498" t="str">
        <f t="shared" ca="1" si="77"/>
        <v>In Stock</v>
      </c>
      <c r="L498" s="2">
        <f t="shared" ca="1" si="78"/>
        <v>122</v>
      </c>
      <c r="M498" t="str">
        <f t="shared" ca="1" si="79"/>
        <v>Safe</v>
      </c>
    </row>
    <row r="499" spans="1:13" x14ac:dyDescent="0.25">
      <c r="A499" t="str">
        <f t="shared" si="70"/>
        <v>M498</v>
      </c>
      <c r="B499" t="str" cm="1">
        <f t="array" aca="1" ref="B499" ca="1">INDEX({"Paracetamol","Amoxicillin","Ibuprofen","Cetirizine","Metformin","Amlodipine","Omeprazole","Azithromycin","Losartan","Vitamin C"}, RANDBETWEEN(1,10))</f>
        <v>Amlodipine</v>
      </c>
      <c r="C499" t="str" cm="1">
        <f t="array" aca="1" ref="C499" ca="1">INDEX({"Painkiller","Antibiotic","Painkiller","Antihistamine","Diabetes","Hypertension","Antacid","Antibiotic","Hypertension","Supplement"},
MATCH(B499,{"Paracetamol","Amoxicillin","Ibuprofen","Cetirizine","Metformin","Amlodipine","Omeprazole","Azithromycin","Losartan","Vitamin C"},0))</f>
        <v>Hypertension</v>
      </c>
      <c r="D499" t="str" cm="1">
        <f t="array" aca="1" ref="D499" ca="1">INDEX({"MedSupply Co","HealthCorp","PharmaPlus","GlobalMed"}, RANDBETWEEN(1,4))</f>
        <v>PharmaPlus</v>
      </c>
      <c r="E499">
        <f t="shared" ca="1" si="71"/>
        <v>139</v>
      </c>
      <c r="F499">
        <f t="shared" ca="1" si="72"/>
        <v>39</v>
      </c>
      <c r="G499">
        <f t="shared" ca="1" si="73"/>
        <v>1.23</v>
      </c>
      <c r="H499" s="1">
        <f t="shared" ca="1" si="74"/>
        <v>46289</v>
      </c>
      <c r="I499" s="1">
        <f t="shared" ca="1" si="75"/>
        <v>45990</v>
      </c>
      <c r="J499">
        <f t="shared" ca="1" si="76"/>
        <v>170.97</v>
      </c>
      <c r="K499" t="str">
        <f t="shared" ca="1" si="77"/>
        <v>In Stock</v>
      </c>
      <c r="L499" s="2">
        <f t="shared" ca="1" si="78"/>
        <v>170</v>
      </c>
      <c r="M499" t="str">
        <f t="shared" ca="1" si="79"/>
        <v>Safe</v>
      </c>
    </row>
    <row r="500" spans="1:13" x14ac:dyDescent="0.25">
      <c r="A500" t="str">
        <f t="shared" si="70"/>
        <v>M499</v>
      </c>
      <c r="B500" t="str" cm="1">
        <f t="array" aca="1" ref="B500" ca="1">INDEX({"Paracetamol","Amoxicillin","Ibuprofen","Cetirizine","Metformin","Amlodipine","Omeprazole","Azithromycin","Losartan","Vitamin C"}, RANDBETWEEN(1,10))</f>
        <v>Vitamin C</v>
      </c>
      <c r="C500" t="str" cm="1">
        <f t="array" aca="1" ref="C500" ca="1">INDEX({"Painkiller","Antibiotic","Painkiller","Antihistamine","Diabetes","Hypertension","Antacid","Antibiotic","Hypertension","Supplement"},
MATCH(B500,{"Paracetamol","Amoxicillin","Ibuprofen","Cetirizine","Metformin","Amlodipine","Omeprazole","Azithromycin","Losartan","Vitamin C"},0))</f>
        <v>Supplement</v>
      </c>
      <c r="D500" t="str" cm="1">
        <f t="array" aca="1" ref="D500" ca="1">INDEX({"MedSupply Co","HealthCorp","PharmaPlus","GlobalMed"}, RANDBETWEEN(1,4))</f>
        <v>PharmaPlus</v>
      </c>
      <c r="E500">
        <f t="shared" ca="1" si="71"/>
        <v>119</v>
      </c>
      <c r="F500">
        <f t="shared" ca="1" si="72"/>
        <v>60</v>
      </c>
      <c r="G500">
        <f t="shared" ca="1" si="73"/>
        <v>1.79</v>
      </c>
      <c r="H500" s="1">
        <f t="shared" ca="1" si="74"/>
        <v>46410</v>
      </c>
      <c r="I500" s="1">
        <f t="shared" ca="1" si="75"/>
        <v>46097</v>
      </c>
      <c r="J500">
        <f t="shared" ca="1" si="76"/>
        <v>213.01</v>
      </c>
      <c r="K500" t="str">
        <f t="shared" ca="1" si="77"/>
        <v>In Stock</v>
      </c>
      <c r="L500" s="2">
        <f t="shared" ca="1" si="78"/>
        <v>291</v>
      </c>
      <c r="M500" t="str">
        <f t="shared" ca="1" si="79"/>
        <v>Safe</v>
      </c>
    </row>
    <row r="501" spans="1:13" x14ac:dyDescent="0.25">
      <c r="A501" t="str">
        <f t="shared" si="70"/>
        <v>M500</v>
      </c>
      <c r="B501" t="str" cm="1">
        <f t="array" aca="1" ref="B501" ca="1">INDEX({"Paracetamol","Amoxicillin","Ibuprofen","Cetirizine","Metformin","Amlodipine","Omeprazole","Azithromycin","Losartan","Vitamin C"}, RANDBETWEEN(1,10))</f>
        <v>Ibuprofen</v>
      </c>
      <c r="C501" t="str" cm="1">
        <f t="array" aca="1" ref="C501" ca="1">INDEX({"Painkiller","Antibiotic","Painkiller","Antihistamine","Diabetes","Hypertension","Antacid","Antibiotic","Hypertension","Supplement"},
MATCH(B501,{"Paracetamol","Amoxicillin","Ibuprofen","Cetirizine","Metformin","Amlodipine","Omeprazole","Azithromycin","Losartan","Vitamin C"},0))</f>
        <v>Painkiller</v>
      </c>
      <c r="D501" t="str" cm="1">
        <f t="array" aca="1" ref="D501" ca="1">INDEX({"MedSupply Co","HealthCorp","PharmaPlus","GlobalMed"}, RANDBETWEEN(1,4))</f>
        <v>PharmaPlus</v>
      </c>
      <c r="E501">
        <f t="shared" ca="1" si="71"/>
        <v>110</v>
      </c>
      <c r="F501">
        <f t="shared" ca="1" si="72"/>
        <v>33</v>
      </c>
      <c r="G501">
        <f t="shared" ca="1" si="73"/>
        <v>1.93</v>
      </c>
      <c r="H501" s="1">
        <f t="shared" ca="1" si="74"/>
        <v>46460</v>
      </c>
      <c r="I501" s="1">
        <f t="shared" ca="1" si="75"/>
        <v>45949</v>
      </c>
      <c r="J501">
        <f t="shared" ca="1" si="76"/>
        <v>212.29999999999998</v>
      </c>
      <c r="K501" t="str">
        <f t="shared" ca="1" si="77"/>
        <v>In Stock</v>
      </c>
      <c r="L501" s="2">
        <f t="shared" ca="1" si="78"/>
        <v>341</v>
      </c>
      <c r="M501" t="str">
        <f t="shared" ca="1" si="79"/>
        <v>Safe</v>
      </c>
    </row>
    <row r="502" spans="1:13" x14ac:dyDescent="0.25">
      <c r="A502" t="str">
        <f t="shared" si="70"/>
        <v>M501</v>
      </c>
      <c r="B502" t="str" cm="1">
        <f t="array" aca="1" ref="B502" ca="1">INDEX({"Paracetamol","Amoxicillin","Ibuprofen","Cetirizine","Metformin","Amlodipine","Omeprazole","Azithromycin","Losartan","Vitamin C"}, RANDBETWEEN(1,10))</f>
        <v>Vitamin C</v>
      </c>
      <c r="C502" t="str" cm="1">
        <f t="array" aca="1" ref="C502" ca="1">INDEX({"Painkiller","Antibiotic","Painkiller","Antihistamine","Diabetes","Hypertension","Antacid","Antibiotic","Hypertension","Supplement"},
MATCH(B502,{"Paracetamol","Amoxicillin","Ibuprofen","Cetirizine","Metformin","Amlodipine","Omeprazole","Azithromycin","Losartan","Vitamin C"},0))</f>
        <v>Supplement</v>
      </c>
      <c r="D502" t="str" cm="1">
        <f t="array" aca="1" ref="D502" ca="1">INDEX({"MedSupply Co","HealthCorp","PharmaPlus","GlobalMed"}, RANDBETWEEN(1,4))</f>
        <v>HealthCorp</v>
      </c>
      <c r="E502">
        <f t="shared" ca="1" si="71"/>
        <v>81</v>
      </c>
      <c r="F502">
        <f t="shared" ca="1" si="72"/>
        <v>31</v>
      </c>
      <c r="G502">
        <f t="shared" ca="1" si="73"/>
        <v>1.21</v>
      </c>
      <c r="H502" s="1">
        <f t="shared" ca="1" si="74"/>
        <v>46226</v>
      </c>
      <c r="I502" s="1">
        <f t="shared" ca="1" si="75"/>
        <v>46016</v>
      </c>
      <c r="J502">
        <f t="shared" ca="1" si="76"/>
        <v>98.009999999999991</v>
      </c>
      <c r="K502" t="str">
        <f t="shared" ca="1" si="77"/>
        <v>In Stock</v>
      </c>
      <c r="L502" s="2">
        <f t="shared" ca="1" si="78"/>
        <v>107</v>
      </c>
      <c r="M502" t="str">
        <f t="shared" ca="1" si="79"/>
        <v>Safe</v>
      </c>
    </row>
    <row r="503" spans="1:13" x14ac:dyDescent="0.25">
      <c r="A503" t="str">
        <f t="shared" si="70"/>
        <v>M502</v>
      </c>
      <c r="B503" t="str" cm="1">
        <f t="array" aca="1" ref="B503" ca="1">INDEX({"Paracetamol","Amoxicillin","Ibuprofen","Cetirizine","Metformin","Amlodipine","Omeprazole","Azithromycin","Losartan","Vitamin C"}, RANDBETWEEN(1,10))</f>
        <v>Losartan</v>
      </c>
      <c r="C503" t="str" cm="1">
        <f t="array" aca="1" ref="C503" ca="1">INDEX({"Painkiller","Antibiotic","Painkiller","Antihistamine","Diabetes","Hypertension","Antacid","Antibiotic","Hypertension","Supplement"},
MATCH(B503,{"Paracetamol","Amoxicillin","Ibuprofen","Cetirizine","Metformin","Amlodipine","Omeprazole","Azithromycin","Losartan","Vitamin C"},0))</f>
        <v>Hypertension</v>
      </c>
      <c r="D503" t="str" cm="1">
        <f t="array" aca="1" ref="D503" ca="1">INDEX({"MedSupply Co","HealthCorp","PharmaPlus","GlobalMed"}, RANDBETWEEN(1,4))</f>
        <v>MedSupply Co</v>
      </c>
      <c r="E503">
        <f t="shared" ca="1" si="71"/>
        <v>111</v>
      </c>
      <c r="F503">
        <f t="shared" ca="1" si="72"/>
        <v>67</v>
      </c>
      <c r="G503">
        <f t="shared" ca="1" si="73"/>
        <v>1.2</v>
      </c>
      <c r="H503" s="1">
        <f t="shared" ca="1" si="74"/>
        <v>46224</v>
      </c>
      <c r="I503" s="1">
        <f t="shared" ca="1" si="75"/>
        <v>45988</v>
      </c>
      <c r="J503">
        <f t="shared" ca="1" si="76"/>
        <v>133.19999999999999</v>
      </c>
      <c r="K503" t="str">
        <f t="shared" ca="1" si="77"/>
        <v>In Stock</v>
      </c>
      <c r="L503" s="2">
        <f t="shared" ca="1" si="78"/>
        <v>105</v>
      </c>
      <c r="M503" t="str">
        <f t="shared" ca="1" si="79"/>
        <v>Safe</v>
      </c>
    </row>
    <row r="504" spans="1:13" x14ac:dyDescent="0.25">
      <c r="A504" t="str">
        <f t="shared" si="70"/>
        <v>M503</v>
      </c>
      <c r="B504" t="str" cm="1">
        <f t="array" aca="1" ref="B504" ca="1">INDEX({"Paracetamol","Amoxicillin","Ibuprofen","Cetirizine","Metformin","Amlodipine","Omeprazole","Azithromycin","Losartan","Vitamin C"}, RANDBETWEEN(1,10))</f>
        <v>Amlodipine</v>
      </c>
      <c r="C504" t="str" cm="1">
        <f t="array" aca="1" ref="C504" ca="1">INDEX({"Painkiller","Antibiotic","Painkiller","Antihistamine","Diabetes","Hypertension","Antacid","Antibiotic","Hypertension","Supplement"},
MATCH(B504,{"Paracetamol","Amoxicillin","Ibuprofen","Cetirizine","Metformin","Amlodipine","Omeprazole","Azithromycin","Losartan","Vitamin C"},0))</f>
        <v>Hypertension</v>
      </c>
      <c r="D504" t="str" cm="1">
        <f t="array" aca="1" ref="D504" ca="1">INDEX({"MedSupply Co","HealthCorp","PharmaPlus","GlobalMed"}, RANDBETWEEN(1,4))</f>
        <v>GlobalMed</v>
      </c>
      <c r="E504">
        <f t="shared" ca="1" si="71"/>
        <v>194</v>
      </c>
      <c r="F504">
        <f t="shared" ca="1" si="72"/>
        <v>30</v>
      </c>
      <c r="G504">
        <f t="shared" ca="1" si="73"/>
        <v>1.7</v>
      </c>
      <c r="H504" s="1">
        <f t="shared" ca="1" si="74"/>
        <v>46432</v>
      </c>
      <c r="I504" s="1">
        <f t="shared" ca="1" si="75"/>
        <v>45977</v>
      </c>
      <c r="J504">
        <f t="shared" ca="1" si="76"/>
        <v>329.8</v>
      </c>
      <c r="K504" t="str">
        <f t="shared" ca="1" si="77"/>
        <v>In Stock</v>
      </c>
      <c r="L504" s="2">
        <f t="shared" ca="1" si="78"/>
        <v>313</v>
      </c>
      <c r="M504" t="str">
        <f t="shared" ca="1" si="79"/>
        <v>Safe</v>
      </c>
    </row>
    <row r="505" spans="1:13" x14ac:dyDescent="0.25">
      <c r="A505" t="str">
        <f t="shared" si="70"/>
        <v>M504</v>
      </c>
      <c r="B505" t="str" cm="1">
        <f t="array" aca="1" ref="B505" ca="1">INDEX({"Paracetamol","Amoxicillin","Ibuprofen","Cetirizine","Metformin","Amlodipine","Omeprazole","Azithromycin","Losartan","Vitamin C"}, RANDBETWEEN(1,10))</f>
        <v>Amoxicillin</v>
      </c>
      <c r="C505" t="str" cm="1">
        <f t="array" aca="1" ref="C505" ca="1">INDEX({"Painkiller","Antibiotic","Painkiller","Antihistamine","Diabetes","Hypertension","Antacid","Antibiotic","Hypertension","Supplement"},
MATCH(B505,{"Paracetamol","Amoxicillin","Ibuprofen","Cetirizine","Metformin","Amlodipine","Omeprazole","Azithromycin","Losartan","Vitamin C"},0))</f>
        <v>Antibiotic</v>
      </c>
      <c r="D505" t="str" cm="1">
        <f t="array" aca="1" ref="D505" ca="1">INDEX({"MedSupply Co","HealthCorp","PharmaPlus","GlobalMed"}, RANDBETWEEN(1,4))</f>
        <v>HealthCorp</v>
      </c>
      <c r="E505">
        <f t="shared" ca="1" si="71"/>
        <v>72</v>
      </c>
      <c r="F505">
        <f t="shared" ca="1" si="72"/>
        <v>89</v>
      </c>
      <c r="G505">
        <f t="shared" ca="1" si="73"/>
        <v>1.38</v>
      </c>
      <c r="H505" s="1">
        <f t="shared" ca="1" si="74"/>
        <v>46193</v>
      </c>
      <c r="I505" s="1">
        <f t="shared" ca="1" si="75"/>
        <v>45964</v>
      </c>
      <c r="J505">
        <f t="shared" ca="1" si="76"/>
        <v>99.359999999999985</v>
      </c>
      <c r="K505" t="str">
        <f t="shared" ca="1" si="77"/>
        <v>Low Stock</v>
      </c>
      <c r="L505" s="2">
        <f t="shared" ca="1" si="78"/>
        <v>74</v>
      </c>
      <c r="M505" t="str">
        <f t="shared" ca="1" si="79"/>
        <v>Safe</v>
      </c>
    </row>
    <row r="506" spans="1:13" x14ac:dyDescent="0.25">
      <c r="A506" t="str">
        <f t="shared" si="70"/>
        <v>M505</v>
      </c>
      <c r="B506" t="str" cm="1">
        <f t="array" aca="1" ref="B506" ca="1">INDEX({"Paracetamol","Amoxicillin","Ibuprofen","Cetirizine","Metformin","Amlodipine","Omeprazole","Azithromycin","Losartan","Vitamin C"}, RANDBETWEEN(1,10))</f>
        <v>Metformin</v>
      </c>
      <c r="C506" t="str" cm="1">
        <f t="array" aca="1" ref="C506" ca="1">INDEX({"Painkiller","Antibiotic","Painkiller","Antihistamine","Diabetes","Hypertension","Antacid","Antibiotic","Hypertension","Supplement"},
MATCH(B506,{"Paracetamol","Amoxicillin","Ibuprofen","Cetirizine","Metformin","Amlodipine","Omeprazole","Azithromycin","Losartan","Vitamin C"},0))</f>
        <v>Diabetes</v>
      </c>
      <c r="D506" t="str" cm="1">
        <f t="array" aca="1" ref="D506" ca="1">INDEX({"MedSupply Co","HealthCorp","PharmaPlus","GlobalMed"}, RANDBETWEEN(1,4))</f>
        <v>PharmaPlus</v>
      </c>
      <c r="E506">
        <f t="shared" ca="1" si="71"/>
        <v>92</v>
      </c>
      <c r="F506">
        <f t="shared" ca="1" si="72"/>
        <v>97</v>
      </c>
      <c r="G506">
        <f t="shared" ca="1" si="73"/>
        <v>1.89</v>
      </c>
      <c r="H506" s="1">
        <f t="shared" ca="1" si="74"/>
        <v>46435</v>
      </c>
      <c r="I506" s="1">
        <f t="shared" ca="1" si="75"/>
        <v>46023</v>
      </c>
      <c r="J506">
        <f t="shared" ca="1" si="76"/>
        <v>173.88</v>
      </c>
      <c r="K506" t="str">
        <f t="shared" ca="1" si="77"/>
        <v>Low Stock</v>
      </c>
      <c r="L506" s="2">
        <f t="shared" ca="1" si="78"/>
        <v>316</v>
      </c>
      <c r="M506" t="str">
        <f t="shared" ca="1" si="79"/>
        <v>Safe</v>
      </c>
    </row>
    <row r="507" spans="1:13" x14ac:dyDescent="0.25">
      <c r="A507" t="str">
        <f t="shared" si="70"/>
        <v>M506</v>
      </c>
      <c r="B507" t="str" cm="1">
        <f t="array" aca="1" ref="B507" ca="1">INDEX({"Paracetamol","Amoxicillin","Ibuprofen","Cetirizine","Metformin","Amlodipine","Omeprazole","Azithromycin","Losartan","Vitamin C"}, RANDBETWEEN(1,10))</f>
        <v>Cetirizine</v>
      </c>
      <c r="C507" t="str" cm="1">
        <f t="array" aca="1" ref="C507" ca="1">INDEX({"Painkiller","Antibiotic","Painkiller","Antihistamine","Diabetes","Hypertension","Antacid","Antibiotic","Hypertension","Supplement"},
MATCH(B507,{"Paracetamol","Amoxicillin","Ibuprofen","Cetirizine","Metformin","Amlodipine","Omeprazole","Azithromycin","Losartan","Vitamin C"},0))</f>
        <v>Antihistamine</v>
      </c>
      <c r="D507" t="str" cm="1">
        <f t="array" aca="1" ref="D507" ca="1">INDEX({"MedSupply Co","HealthCorp","PharmaPlus","GlobalMed"}, RANDBETWEEN(1,4))</f>
        <v>HealthCorp</v>
      </c>
      <c r="E507">
        <f t="shared" ca="1" si="71"/>
        <v>24</v>
      </c>
      <c r="F507">
        <f t="shared" ca="1" si="72"/>
        <v>38</v>
      </c>
      <c r="G507">
        <f t="shared" ca="1" si="73"/>
        <v>1.82</v>
      </c>
      <c r="H507" s="1">
        <f t="shared" ca="1" si="74"/>
        <v>46462</v>
      </c>
      <c r="I507" s="1">
        <f t="shared" ca="1" si="75"/>
        <v>45939</v>
      </c>
      <c r="J507">
        <f t="shared" ca="1" si="76"/>
        <v>43.68</v>
      </c>
      <c r="K507" t="str">
        <f t="shared" ca="1" si="77"/>
        <v>Low Stock</v>
      </c>
      <c r="L507" s="2">
        <f t="shared" ca="1" si="78"/>
        <v>343</v>
      </c>
      <c r="M507" t="str">
        <f t="shared" ca="1" si="79"/>
        <v>Safe</v>
      </c>
    </row>
    <row r="508" spans="1:13" x14ac:dyDescent="0.25">
      <c r="A508" t="str">
        <f t="shared" si="70"/>
        <v>M507</v>
      </c>
      <c r="B508" t="str" cm="1">
        <f t="array" aca="1" ref="B508" ca="1">INDEX({"Paracetamol","Amoxicillin","Ibuprofen","Cetirizine","Metformin","Amlodipine","Omeprazole","Azithromycin","Losartan","Vitamin C"}, RANDBETWEEN(1,10))</f>
        <v>Amoxicillin</v>
      </c>
      <c r="C508" t="str" cm="1">
        <f t="array" aca="1" ref="C508" ca="1">INDEX({"Painkiller","Antibiotic","Painkiller","Antihistamine","Diabetes","Hypertension","Antacid","Antibiotic","Hypertension","Supplement"},
MATCH(B508,{"Paracetamol","Amoxicillin","Ibuprofen","Cetirizine","Metformin","Amlodipine","Omeprazole","Azithromycin","Losartan","Vitamin C"},0))</f>
        <v>Antibiotic</v>
      </c>
      <c r="D508" t="str" cm="1">
        <f t="array" aca="1" ref="D508" ca="1">INDEX({"MedSupply Co","HealthCorp","PharmaPlus","GlobalMed"}, RANDBETWEEN(1,4))</f>
        <v>PharmaPlus</v>
      </c>
      <c r="E508">
        <f t="shared" ca="1" si="71"/>
        <v>48</v>
      </c>
      <c r="F508">
        <f t="shared" ca="1" si="72"/>
        <v>24</v>
      </c>
      <c r="G508">
        <f t="shared" ca="1" si="73"/>
        <v>0.59</v>
      </c>
      <c r="H508" s="1">
        <f t="shared" ca="1" si="74"/>
        <v>46266</v>
      </c>
      <c r="I508" s="1">
        <f t="shared" ca="1" si="75"/>
        <v>45988</v>
      </c>
      <c r="J508">
        <f t="shared" ca="1" si="76"/>
        <v>28.32</v>
      </c>
      <c r="K508" t="str">
        <f t="shared" ca="1" si="77"/>
        <v>In Stock</v>
      </c>
      <c r="L508" s="2">
        <f t="shared" ca="1" si="78"/>
        <v>147</v>
      </c>
      <c r="M508" t="str">
        <f t="shared" ca="1" si="79"/>
        <v>Safe</v>
      </c>
    </row>
    <row r="509" spans="1:13" x14ac:dyDescent="0.25">
      <c r="A509" t="str">
        <f t="shared" si="70"/>
        <v>M508</v>
      </c>
      <c r="B509" t="str" cm="1">
        <f t="array" aca="1" ref="B509" ca="1">INDEX({"Paracetamol","Amoxicillin","Ibuprofen","Cetirizine","Metformin","Amlodipine","Omeprazole","Azithromycin","Losartan","Vitamin C"}, RANDBETWEEN(1,10))</f>
        <v>Amlodipine</v>
      </c>
      <c r="C509" t="str" cm="1">
        <f t="array" aca="1" ref="C509" ca="1">INDEX({"Painkiller","Antibiotic","Painkiller","Antihistamine","Diabetes","Hypertension","Antacid","Antibiotic","Hypertension","Supplement"},
MATCH(B509,{"Paracetamol","Amoxicillin","Ibuprofen","Cetirizine","Metformin","Amlodipine","Omeprazole","Azithromycin","Losartan","Vitamin C"},0))</f>
        <v>Hypertension</v>
      </c>
      <c r="D509" t="str" cm="1">
        <f t="array" aca="1" ref="D509" ca="1">INDEX({"MedSupply Co","HealthCorp","PharmaPlus","GlobalMed"}, RANDBETWEEN(1,4))</f>
        <v>PharmaPlus</v>
      </c>
      <c r="E509">
        <f t="shared" ca="1" si="71"/>
        <v>92</v>
      </c>
      <c r="F509">
        <f t="shared" ca="1" si="72"/>
        <v>100</v>
      </c>
      <c r="G509">
        <f t="shared" ca="1" si="73"/>
        <v>1.42</v>
      </c>
      <c r="H509" s="1">
        <f t="shared" ca="1" si="74"/>
        <v>46418</v>
      </c>
      <c r="I509" s="1">
        <f t="shared" ca="1" si="75"/>
        <v>45973</v>
      </c>
      <c r="J509">
        <f t="shared" ca="1" si="76"/>
        <v>130.63999999999999</v>
      </c>
      <c r="K509" t="str">
        <f t="shared" ca="1" si="77"/>
        <v>Low Stock</v>
      </c>
      <c r="L509" s="2">
        <f t="shared" ca="1" si="78"/>
        <v>299</v>
      </c>
      <c r="M509" t="str">
        <f t="shared" ca="1" si="79"/>
        <v>Safe</v>
      </c>
    </row>
    <row r="510" spans="1:13" x14ac:dyDescent="0.25">
      <c r="A510" t="str">
        <f t="shared" si="70"/>
        <v>M509</v>
      </c>
      <c r="B510" t="str" cm="1">
        <f t="array" aca="1" ref="B510" ca="1">INDEX({"Paracetamol","Amoxicillin","Ibuprofen","Cetirizine","Metformin","Amlodipine","Omeprazole","Azithromycin","Losartan","Vitamin C"}, RANDBETWEEN(1,10))</f>
        <v>Metformin</v>
      </c>
      <c r="C510" t="str" cm="1">
        <f t="array" aca="1" ref="C510" ca="1">INDEX({"Painkiller","Antibiotic","Painkiller","Antihistamine","Diabetes","Hypertension","Antacid","Antibiotic","Hypertension","Supplement"},
MATCH(B510,{"Paracetamol","Amoxicillin","Ibuprofen","Cetirizine","Metformin","Amlodipine","Omeprazole","Azithromycin","Losartan","Vitamin C"},0))</f>
        <v>Diabetes</v>
      </c>
      <c r="D510" t="str" cm="1">
        <f t="array" aca="1" ref="D510" ca="1">INDEX({"MedSupply Co","HealthCorp","PharmaPlus","GlobalMed"}, RANDBETWEEN(1,4))</f>
        <v>MedSupply Co</v>
      </c>
      <c r="E510">
        <f t="shared" ca="1" si="71"/>
        <v>176</v>
      </c>
      <c r="F510">
        <f t="shared" ca="1" si="72"/>
        <v>52</v>
      </c>
      <c r="G510">
        <f t="shared" ca="1" si="73"/>
        <v>0.81</v>
      </c>
      <c r="H510" s="1">
        <f t="shared" ca="1" si="74"/>
        <v>46476</v>
      </c>
      <c r="I510" s="1">
        <f t="shared" ca="1" si="75"/>
        <v>46111</v>
      </c>
      <c r="J510">
        <f t="shared" ca="1" si="76"/>
        <v>142.56</v>
      </c>
      <c r="K510" t="str">
        <f t="shared" ca="1" si="77"/>
        <v>In Stock</v>
      </c>
      <c r="L510" s="2">
        <f t="shared" ca="1" si="78"/>
        <v>357</v>
      </c>
      <c r="M510" t="str">
        <f t="shared" ca="1" si="79"/>
        <v>Safe</v>
      </c>
    </row>
    <row r="511" spans="1:13" x14ac:dyDescent="0.25">
      <c r="A511" t="str">
        <f t="shared" si="70"/>
        <v>M510</v>
      </c>
      <c r="B511" t="str" cm="1">
        <f t="array" aca="1" ref="B511" ca="1">INDEX({"Paracetamol","Amoxicillin","Ibuprofen","Cetirizine","Metformin","Amlodipine","Omeprazole","Azithromycin","Losartan","Vitamin C"}, RANDBETWEEN(1,10))</f>
        <v>Metformin</v>
      </c>
      <c r="C511" t="str" cm="1">
        <f t="array" aca="1" ref="C511" ca="1">INDEX({"Painkiller","Antibiotic","Painkiller","Antihistamine","Diabetes","Hypertension","Antacid","Antibiotic","Hypertension","Supplement"},
MATCH(B511,{"Paracetamol","Amoxicillin","Ibuprofen","Cetirizine","Metformin","Amlodipine","Omeprazole","Azithromycin","Losartan","Vitamin C"},0))</f>
        <v>Diabetes</v>
      </c>
      <c r="D511" t="str" cm="1">
        <f t="array" aca="1" ref="D511" ca="1">INDEX({"MedSupply Co","HealthCorp","PharmaPlus","GlobalMed"}, RANDBETWEEN(1,4))</f>
        <v>HealthCorp</v>
      </c>
      <c r="E511">
        <f t="shared" ca="1" si="71"/>
        <v>97</v>
      </c>
      <c r="F511">
        <f t="shared" ca="1" si="72"/>
        <v>46</v>
      </c>
      <c r="G511">
        <f t="shared" ca="1" si="73"/>
        <v>0.97</v>
      </c>
      <c r="H511" s="1">
        <f t="shared" ca="1" si="74"/>
        <v>46256</v>
      </c>
      <c r="I511" s="1">
        <f t="shared" ca="1" si="75"/>
        <v>46071</v>
      </c>
      <c r="J511">
        <f t="shared" ca="1" si="76"/>
        <v>94.09</v>
      </c>
      <c r="K511" t="str">
        <f t="shared" ca="1" si="77"/>
        <v>In Stock</v>
      </c>
      <c r="L511" s="2">
        <f t="shared" ca="1" si="78"/>
        <v>137</v>
      </c>
      <c r="M511" t="str">
        <f t="shared" ca="1" si="79"/>
        <v>Safe</v>
      </c>
    </row>
    <row r="512" spans="1:13" x14ac:dyDescent="0.25">
      <c r="A512" t="str">
        <f t="shared" si="70"/>
        <v>M511</v>
      </c>
      <c r="B512" t="str" cm="1">
        <f t="array" aca="1" ref="B512" ca="1">INDEX({"Paracetamol","Amoxicillin","Ibuprofen","Cetirizine","Metformin","Amlodipine","Omeprazole","Azithromycin","Losartan","Vitamin C"}, RANDBETWEEN(1,10))</f>
        <v>Omeprazole</v>
      </c>
      <c r="C512" t="str" cm="1">
        <f t="array" aca="1" ref="C512" ca="1">INDEX({"Painkiller","Antibiotic","Painkiller","Antihistamine","Diabetes","Hypertension","Antacid","Antibiotic","Hypertension","Supplement"},
MATCH(B512,{"Paracetamol","Amoxicillin","Ibuprofen","Cetirizine","Metformin","Amlodipine","Omeprazole","Azithromycin","Losartan","Vitamin C"},0))</f>
        <v>Antacid</v>
      </c>
      <c r="D512" t="str" cm="1">
        <f t="array" aca="1" ref="D512" ca="1">INDEX({"MedSupply Co","HealthCorp","PharmaPlus","GlobalMed"}, RANDBETWEEN(1,4))</f>
        <v>GlobalMed</v>
      </c>
      <c r="E512">
        <f t="shared" ca="1" si="71"/>
        <v>81</v>
      </c>
      <c r="F512">
        <f t="shared" ca="1" si="72"/>
        <v>38</v>
      </c>
      <c r="G512">
        <f t="shared" ca="1" si="73"/>
        <v>0.84</v>
      </c>
      <c r="H512" s="1">
        <f t="shared" ca="1" si="74"/>
        <v>46262</v>
      </c>
      <c r="I512" s="1">
        <f t="shared" ca="1" si="75"/>
        <v>46111</v>
      </c>
      <c r="J512">
        <f t="shared" ca="1" si="76"/>
        <v>68.039999999999992</v>
      </c>
      <c r="K512" t="str">
        <f t="shared" ca="1" si="77"/>
        <v>In Stock</v>
      </c>
      <c r="L512" s="2">
        <f t="shared" ca="1" si="78"/>
        <v>143</v>
      </c>
      <c r="M512" t="str">
        <f t="shared" ca="1" si="79"/>
        <v>Safe</v>
      </c>
    </row>
    <row r="513" spans="1:13" x14ac:dyDescent="0.25">
      <c r="A513" t="str">
        <f t="shared" si="70"/>
        <v>M512</v>
      </c>
      <c r="B513" t="str" cm="1">
        <f t="array" aca="1" ref="B513" ca="1">INDEX({"Paracetamol","Amoxicillin","Ibuprofen","Cetirizine","Metformin","Amlodipine","Omeprazole","Azithromycin","Losartan","Vitamin C"}, RANDBETWEEN(1,10))</f>
        <v>Azithromycin</v>
      </c>
      <c r="C513" t="str" cm="1">
        <f t="array" aca="1" ref="C513" ca="1">INDEX({"Painkiller","Antibiotic","Painkiller","Antihistamine","Diabetes","Hypertension","Antacid","Antibiotic","Hypertension","Supplement"},
MATCH(B513,{"Paracetamol","Amoxicillin","Ibuprofen","Cetirizine","Metformin","Amlodipine","Omeprazole","Azithromycin","Losartan","Vitamin C"},0))</f>
        <v>Antibiotic</v>
      </c>
      <c r="D513" t="str" cm="1">
        <f t="array" aca="1" ref="D513" ca="1">INDEX({"MedSupply Co","HealthCorp","PharmaPlus","GlobalMed"}, RANDBETWEEN(1,4))</f>
        <v>PharmaPlus</v>
      </c>
      <c r="E513">
        <f t="shared" ca="1" si="71"/>
        <v>143</v>
      </c>
      <c r="F513">
        <f t="shared" ca="1" si="72"/>
        <v>29</v>
      </c>
      <c r="G513">
        <f t="shared" ca="1" si="73"/>
        <v>0.64</v>
      </c>
      <c r="H513" s="1">
        <f t="shared" ca="1" si="74"/>
        <v>46471</v>
      </c>
      <c r="I513" s="1">
        <f t="shared" ca="1" si="75"/>
        <v>46044</v>
      </c>
      <c r="J513">
        <f t="shared" ca="1" si="76"/>
        <v>91.52</v>
      </c>
      <c r="K513" t="str">
        <f t="shared" ca="1" si="77"/>
        <v>In Stock</v>
      </c>
      <c r="L513" s="2">
        <f t="shared" ca="1" si="78"/>
        <v>352</v>
      </c>
      <c r="M513" t="str">
        <f t="shared" ca="1" si="79"/>
        <v>Safe</v>
      </c>
    </row>
    <row r="514" spans="1:13" x14ac:dyDescent="0.25">
      <c r="A514" t="str">
        <f t="shared" si="70"/>
        <v>M513</v>
      </c>
      <c r="B514" t="str" cm="1">
        <f t="array" aca="1" ref="B514" ca="1">INDEX({"Paracetamol","Amoxicillin","Ibuprofen","Cetirizine","Metformin","Amlodipine","Omeprazole","Azithromycin","Losartan","Vitamin C"}, RANDBETWEEN(1,10))</f>
        <v>Paracetamol</v>
      </c>
      <c r="C514" t="str" cm="1">
        <f t="array" aca="1" ref="C514" ca="1">INDEX({"Painkiller","Antibiotic","Painkiller","Antihistamine","Diabetes","Hypertension","Antacid","Antibiotic","Hypertension","Supplement"},
MATCH(B514,{"Paracetamol","Amoxicillin","Ibuprofen","Cetirizine","Metformin","Amlodipine","Omeprazole","Azithromycin","Losartan","Vitamin C"},0))</f>
        <v>Painkiller</v>
      </c>
      <c r="D514" t="str" cm="1">
        <f t="array" aca="1" ref="D514" ca="1">INDEX({"MedSupply Co","HealthCorp","PharmaPlus","GlobalMed"}, RANDBETWEEN(1,4))</f>
        <v>MedSupply Co</v>
      </c>
      <c r="E514">
        <f t="shared" ca="1" si="71"/>
        <v>5</v>
      </c>
      <c r="F514">
        <f t="shared" ca="1" si="72"/>
        <v>32</v>
      </c>
      <c r="G514">
        <f t="shared" ca="1" si="73"/>
        <v>0.93</v>
      </c>
      <c r="H514" s="1">
        <f t="shared" ca="1" si="74"/>
        <v>46482</v>
      </c>
      <c r="I514" s="1">
        <f t="shared" ca="1" si="75"/>
        <v>46114</v>
      </c>
      <c r="J514">
        <f t="shared" ca="1" si="76"/>
        <v>4.6500000000000004</v>
      </c>
      <c r="K514" t="str">
        <f t="shared" ca="1" si="77"/>
        <v>Low Stock</v>
      </c>
      <c r="L514" s="2">
        <f t="shared" ca="1" si="78"/>
        <v>363</v>
      </c>
      <c r="M514" t="str">
        <f t="shared" ca="1" si="79"/>
        <v>Safe</v>
      </c>
    </row>
    <row r="515" spans="1:13" x14ac:dyDescent="0.25">
      <c r="A515" t="str">
        <f t="shared" ref="A515:A578" si="80">"M"&amp;TEXT(ROW(A514),"000")</f>
        <v>M514</v>
      </c>
      <c r="B515" t="str" cm="1">
        <f t="array" aca="1" ref="B515" ca="1">INDEX({"Paracetamol","Amoxicillin","Ibuprofen","Cetirizine","Metformin","Amlodipine","Omeprazole","Azithromycin","Losartan","Vitamin C"}, RANDBETWEEN(1,10))</f>
        <v>Losartan</v>
      </c>
      <c r="C515" t="str" cm="1">
        <f t="array" aca="1" ref="C515" ca="1">INDEX({"Painkiller","Antibiotic","Painkiller","Antihistamine","Diabetes","Hypertension","Antacid","Antibiotic","Hypertension","Supplement"},
MATCH(B515,{"Paracetamol","Amoxicillin","Ibuprofen","Cetirizine","Metformin","Amlodipine","Omeprazole","Azithromycin","Losartan","Vitamin C"},0))</f>
        <v>Hypertension</v>
      </c>
      <c r="D515" t="str" cm="1">
        <f t="array" aca="1" ref="D515" ca="1">INDEX({"MedSupply Co","HealthCorp","PharmaPlus","GlobalMed"}, RANDBETWEEN(1,4))</f>
        <v>GlobalMed</v>
      </c>
      <c r="E515">
        <f t="shared" ref="E515:E578" ca="1" si="81">RANDBETWEEN(0,200)</f>
        <v>171</v>
      </c>
      <c r="F515">
        <f t="shared" ref="F515:F578" ca="1" si="82">RANDBETWEEN(20,100)</f>
        <v>90</v>
      </c>
      <c r="G515">
        <f t="shared" ref="G515:G578" ca="1" si="83">ROUND(RANDBETWEEN(50,200)/100,2)</f>
        <v>0.51</v>
      </c>
      <c r="H515" s="1">
        <f t="shared" ref="H515:H578" ca="1" si="84">TODAY()+RANDBETWEEN(30,365)</f>
        <v>46206</v>
      </c>
      <c r="I515" s="1">
        <f t="shared" ref="I515:I578" ca="1" si="85">TODAY()-RANDBETWEEN(1,180)</f>
        <v>45966</v>
      </c>
      <c r="J515">
        <f t="shared" ref="J515:J578" ca="1" si="86">E515*G515</f>
        <v>87.210000000000008</v>
      </c>
      <c r="K515" t="str">
        <f t="shared" ref="K515:K578" ca="1" si="87">IF(E515=0,"Out of Stock",IF(E515&lt;F515,"Low Stock","In Stock"))</f>
        <v>In Stock</v>
      </c>
      <c r="L515" s="2">
        <f t="shared" ref="L515:L578" ca="1" si="88">H515-TODAY()</f>
        <v>87</v>
      </c>
      <c r="M515" t="str">
        <f t="shared" ref="M515:M578" ca="1" si="89">IF(H515&lt;=TODAY()+30,"Expiring Soon","Safe")</f>
        <v>Safe</v>
      </c>
    </row>
    <row r="516" spans="1:13" x14ac:dyDescent="0.25">
      <c r="A516" t="str">
        <f t="shared" si="80"/>
        <v>M515</v>
      </c>
      <c r="B516" t="str" cm="1">
        <f t="array" aca="1" ref="B516" ca="1">INDEX({"Paracetamol","Amoxicillin","Ibuprofen","Cetirizine","Metformin","Amlodipine","Omeprazole","Azithromycin","Losartan","Vitamin C"}, RANDBETWEEN(1,10))</f>
        <v>Ibuprofen</v>
      </c>
      <c r="C516" t="str" cm="1">
        <f t="array" aca="1" ref="C516" ca="1">INDEX({"Painkiller","Antibiotic","Painkiller","Antihistamine","Diabetes","Hypertension","Antacid","Antibiotic","Hypertension","Supplement"},
MATCH(B516,{"Paracetamol","Amoxicillin","Ibuprofen","Cetirizine","Metformin","Amlodipine","Omeprazole","Azithromycin","Losartan","Vitamin C"},0))</f>
        <v>Painkiller</v>
      </c>
      <c r="D516" t="str" cm="1">
        <f t="array" aca="1" ref="D516" ca="1">INDEX({"MedSupply Co","HealthCorp","PharmaPlus","GlobalMed"}, RANDBETWEEN(1,4))</f>
        <v>MedSupply Co</v>
      </c>
      <c r="E516">
        <f t="shared" ca="1" si="81"/>
        <v>147</v>
      </c>
      <c r="F516">
        <f t="shared" ca="1" si="82"/>
        <v>86</v>
      </c>
      <c r="G516">
        <f t="shared" ca="1" si="83"/>
        <v>0.59</v>
      </c>
      <c r="H516" s="1">
        <f t="shared" ca="1" si="84"/>
        <v>46303</v>
      </c>
      <c r="I516" s="1">
        <f t="shared" ca="1" si="85"/>
        <v>46024</v>
      </c>
      <c r="J516">
        <f t="shared" ca="1" si="86"/>
        <v>86.72999999999999</v>
      </c>
      <c r="K516" t="str">
        <f t="shared" ca="1" si="87"/>
        <v>In Stock</v>
      </c>
      <c r="L516" s="2">
        <f t="shared" ca="1" si="88"/>
        <v>184</v>
      </c>
      <c r="M516" t="str">
        <f t="shared" ca="1" si="89"/>
        <v>Safe</v>
      </c>
    </row>
    <row r="517" spans="1:13" x14ac:dyDescent="0.25">
      <c r="A517" t="str">
        <f t="shared" si="80"/>
        <v>M516</v>
      </c>
      <c r="B517" t="str" cm="1">
        <f t="array" aca="1" ref="B517" ca="1">INDEX({"Paracetamol","Amoxicillin","Ibuprofen","Cetirizine","Metformin","Amlodipine","Omeprazole","Azithromycin","Losartan","Vitamin C"}, RANDBETWEEN(1,10))</f>
        <v>Amoxicillin</v>
      </c>
      <c r="C517" t="str" cm="1">
        <f t="array" aca="1" ref="C517" ca="1">INDEX({"Painkiller","Antibiotic","Painkiller","Antihistamine","Diabetes","Hypertension","Antacid","Antibiotic","Hypertension","Supplement"},
MATCH(B517,{"Paracetamol","Amoxicillin","Ibuprofen","Cetirizine","Metformin","Amlodipine","Omeprazole","Azithromycin","Losartan","Vitamin C"},0))</f>
        <v>Antibiotic</v>
      </c>
      <c r="D517" t="str" cm="1">
        <f t="array" aca="1" ref="D517" ca="1">INDEX({"MedSupply Co","HealthCorp","PharmaPlus","GlobalMed"}, RANDBETWEEN(1,4))</f>
        <v>GlobalMed</v>
      </c>
      <c r="E517">
        <f t="shared" ca="1" si="81"/>
        <v>82</v>
      </c>
      <c r="F517">
        <f t="shared" ca="1" si="82"/>
        <v>20</v>
      </c>
      <c r="G517">
        <f t="shared" ca="1" si="83"/>
        <v>0.78</v>
      </c>
      <c r="H517" s="1">
        <f t="shared" ca="1" si="84"/>
        <v>46190</v>
      </c>
      <c r="I517" s="1">
        <f t="shared" ca="1" si="85"/>
        <v>46082</v>
      </c>
      <c r="J517">
        <f t="shared" ca="1" si="86"/>
        <v>63.96</v>
      </c>
      <c r="K517" t="str">
        <f t="shared" ca="1" si="87"/>
        <v>In Stock</v>
      </c>
      <c r="L517" s="2">
        <f t="shared" ca="1" si="88"/>
        <v>71</v>
      </c>
      <c r="M517" t="str">
        <f t="shared" ca="1" si="89"/>
        <v>Safe</v>
      </c>
    </row>
    <row r="518" spans="1:13" x14ac:dyDescent="0.25">
      <c r="A518" t="str">
        <f t="shared" si="80"/>
        <v>M517</v>
      </c>
      <c r="B518" t="str" cm="1">
        <f t="array" aca="1" ref="B518" ca="1">INDEX({"Paracetamol","Amoxicillin","Ibuprofen","Cetirizine","Metformin","Amlodipine","Omeprazole","Azithromycin","Losartan","Vitamin C"}, RANDBETWEEN(1,10))</f>
        <v>Losartan</v>
      </c>
      <c r="C518" t="str" cm="1">
        <f t="array" aca="1" ref="C518" ca="1">INDEX({"Painkiller","Antibiotic","Painkiller","Antihistamine","Diabetes","Hypertension","Antacid","Antibiotic","Hypertension","Supplement"},
MATCH(B518,{"Paracetamol","Amoxicillin","Ibuprofen","Cetirizine","Metformin","Amlodipine","Omeprazole","Azithromycin","Losartan","Vitamin C"},0))</f>
        <v>Hypertension</v>
      </c>
      <c r="D518" t="str" cm="1">
        <f t="array" aca="1" ref="D518" ca="1">INDEX({"MedSupply Co","HealthCorp","PharmaPlus","GlobalMed"}, RANDBETWEEN(1,4))</f>
        <v>PharmaPlus</v>
      </c>
      <c r="E518">
        <f t="shared" ca="1" si="81"/>
        <v>87</v>
      </c>
      <c r="F518">
        <f t="shared" ca="1" si="82"/>
        <v>50</v>
      </c>
      <c r="G518">
        <f t="shared" ca="1" si="83"/>
        <v>1.99</v>
      </c>
      <c r="H518" s="1">
        <f t="shared" ca="1" si="84"/>
        <v>46451</v>
      </c>
      <c r="I518" s="1">
        <f t="shared" ca="1" si="85"/>
        <v>46071</v>
      </c>
      <c r="J518">
        <f t="shared" ca="1" si="86"/>
        <v>173.13</v>
      </c>
      <c r="K518" t="str">
        <f t="shared" ca="1" si="87"/>
        <v>In Stock</v>
      </c>
      <c r="L518" s="2">
        <f t="shared" ca="1" si="88"/>
        <v>332</v>
      </c>
      <c r="M518" t="str">
        <f t="shared" ca="1" si="89"/>
        <v>Safe</v>
      </c>
    </row>
    <row r="519" spans="1:13" x14ac:dyDescent="0.25">
      <c r="A519" t="str">
        <f t="shared" si="80"/>
        <v>M518</v>
      </c>
      <c r="B519" t="str" cm="1">
        <f t="array" aca="1" ref="B519" ca="1">INDEX({"Paracetamol","Amoxicillin","Ibuprofen","Cetirizine","Metformin","Amlodipine","Omeprazole","Azithromycin","Losartan","Vitamin C"}, RANDBETWEEN(1,10))</f>
        <v>Cetirizine</v>
      </c>
      <c r="C519" t="str" cm="1">
        <f t="array" aca="1" ref="C519" ca="1">INDEX({"Painkiller","Antibiotic","Painkiller","Antihistamine","Diabetes","Hypertension","Antacid","Antibiotic","Hypertension","Supplement"},
MATCH(B519,{"Paracetamol","Amoxicillin","Ibuprofen","Cetirizine","Metformin","Amlodipine","Omeprazole","Azithromycin","Losartan","Vitamin C"},0))</f>
        <v>Antihistamine</v>
      </c>
      <c r="D519" t="str" cm="1">
        <f t="array" aca="1" ref="D519" ca="1">INDEX({"MedSupply Co","HealthCorp","PharmaPlus","GlobalMed"}, RANDBETWEEN(1,4))</f>
        <v>GlobalMed</v>
      </c>
      <c r="E519">
        <f t="shared" ca="1" si="81"/>
        <v>171</v>
      </c>
      <c r="F519">
        <f t="shared" ca="1" si="82"/>
        <v>64</v>
      </c>
      <c r="G519">
        <f t="shared" ca="1" si="83"/>
        <v>1.63</v>
      </c>
      <c r="H519" s="1">
        <f t="shared" ca="1" si="84"/>
        <v>46306</v>
      </c>
      <c r="I519" s="1">
        <f t="shared" ca="1" si="85"/>
        <v>45950</v>
      </c>
      <c r="J519">
        <f t="shared" ca="1" si="86"/>
        <v>278.72999999999996</v>
      </c>
      <c r="K519" t="str">
        <f t="shared" ca="1" si="87"/>
        <v>In Stock</v>
      </c>
      <c r="L519" s="2">
        <f t="shared" ca="1" si="88"/>
        <v>187</v>
      </c>
      <c r="M519" t="str">
        <f t="shared" ca="1" si="89"/>
        <v>Safe</v>
      </c>
    </row>
    <row r="520" spans="1:13" x14ac:dyDescent="0.25">
      <c r="A520" t="str">
        <f t="shared" si="80"/>
        <v>M519</v>
      </c>
      <c r="B520" t="str" cm="1">
        <f t="array" aca="1" ref="B520" ca="1">INDEX({"Paracetamol","Amoxicillin","Ibuprofen","Cetirizine","Metformin","Amlodipine","Omeprazole","Azithromycin","Losartan","Vitamin C"}, RANDBETWEEN(1,10))</f>
        <v>Paracetamol</v>
      </c>
      <c r="C520" t="str" cm="1">
        <f t="array" aca="1" ref="C520" ca="1">INDEX({"Painkiller","Antibiotic","Painkiller","Antihistamine","Diabetes","Hypertension","Antacid","Antibiotic","Hypertension","Supplement"},
MATCH(B520,{"Paracetamol","Amoxicillin","Ibuprofen","Cetirizine","Metformin","Amlodipine","Omeprazole","Azithromycin","Losartan","Vitamin C"},0))</f>
        <v>Painkiller</v>
      </c>
      <c r="D520" t="str" cm="1">
        <f t="array" aca="1" ref="D520" ca="1">INDEX({"MedSupply Co","HealthCorp","PharmaPlus","GlobalMed"}, RANDBETWEEN(1,4))</f>
        <v>GlobalMed</v>
      </c>
      <c r="E520">
        <f t="shared" ca="1" si="81"/>
        <v>121</v>
      </c>
      <c r="F520">
        <f t="shared" ca="1" si="82"/>
        <v>27</v>
      </c>
      <c r="G520">
        <f t="shared" ca="1" si="83"/>
        <v>1.01</v>
      </c>
      <c r="H520" s="1">
        <f t="shared" ca="1" si="84"/>
        <v>46223</v>
      </c>
      <c r="I520" s="1">
        <f t="shared" ca="1" si="85"/>
        <v>46079</v>
      </c>
      <c r="J520">
        <f t="shared" ca="1" si="86"/>
        <v>122.21000000000001</v>
      </c>
      <c r="K520" t="str">
        <f t="shared" ca="1" si="87"/>
        <v>In Stock</v>
      </c>
      <c r="L520" s="2">
        <f t="shared" ca="1" si="88"/>
        <v>104</v>
      </c>
      <c r="M520" t="str">
        <f t="shared" ca="1" si="89"/>
        <v>Safe</v>
      </c>
    </row>
    <row r="521" spans="1:13" x14ac:dyDescent="0.25">
      <c r="A521" t="str">
        <f t="shared" si="80"/>
        <v>M520</v>
      </c>
      <c r="B521" t="str" cm="1">
        <f t="array" aca="1" ref="B521" ca="1">INDEX({"Paracetamol","Amoxicillin","Ibuprofen","Cetirizine","Metformin","Amlodipine","Omeprazole","Azithromycin","Losartan","Vitamin C"}, RANDBETWEEN(1,10))</f>
        <v>Amlodipine</v>
      </c>
      <c r="C521" t="str" cm="1">
        <f t="array" aca="1" ref="C521" ca="1">INDEX({"Painkiller","Antibiotic","Painkiller","Antihistamine","Diabetes","Hypertension","Antacid","Antibiotic","Hypertension","Supplement"},
MATCH(B521,{"Paracetamol","Amoxicillin","Ibuprofen","Cetirizine","Metformin","Amlodipine","Omeprazole","Azithromycin","Losartan","Vitamin C"},0))</f>
        <v>Hypertension</v>
      </c>
      <c r="D521" t="str" cm="1">
        <f t="array" aca="1" ref="D521" ca="1">INDEX({"MedSupply Co","HealthCorp","PharmaPlus","GlobalMed"}, RANDBETWEEN(1,4))</f>
        <v>PharmaPlus</v>
      </c>
      <c r="E521">
        <f t="shared" ca="1" si="81"/>
        <v>103</v>
      </c>
      <c r="F521">
        <f t="shared" ca="1" si="82"/>
        <v>90</v>
      </c>
      <c r="G521">
        <f t="shared" ca="1" si="83"/>
        <v>0.67</v>
      </c>
      <c r="H521" s="1">
        <f t="shared" ca="1" si="84"/>
        <v>46186</v>
      </c>
      <c r="I521" s="1">
        <f t="shared" ca="1" si="85"/>
        <v>46115</v>
      </c>
      <c r="J521">
        <f t="shared" ca="1" si="86"/>
        <v>69.010000000000005</v>
      </c>
      <c r="K521" t="str">
        <f t="shared" ca="1" si="87"/>
        <v>In Stock</v>
      </c>
      <c r="L521" s="2">
        <f t="shared" ca="1" si="88"/>
        <v>67</v>
      </c>
      <c r="M521" t="str">
        <f t="shared" ca="1" si="89"/>
        <v>Safe</v>
      </c>
    </row>
    <row r="522" spans="1:13" x14ac:dyDescent="0.25">
      <c r="A522" t="str">
        <f t="shared" si="80"/>
        <v>M521</v>
      </c>
      <c r="B522" t="str" cm="1">
        <f t="array" aca="1" ref="B522" ca="1">INDEX({"Paracetamol","Amoxicillin","Ibuprofen","Cetirizine","Metformin","Amlodipine","Omeprazole","Azithromycin","Losartan","Vitamin C"}, RANDBETWEEN(1,10))</f>
        <v>Amoxicillin</v>
      </c>
      <c r="C522" t="str" cm="1">
        <f t="array" aca="1" ref="C522" ca="1">INDEX({"Painkiller","Antibiotic","Painkiller","Antihistamine","Diabetes","Hypertension","Antacid","Antibiotic","Hypertension","Supplement"},
MATCH(B522,{"Paracetamol","Amoxicillin","Ibuprofen","Cetirizine","Metformin","Amlodipine","Omeprazole","Azithromycin","Losartan","Vitamin C"},0))</f>
        <v>Antibiotic</v>
      </c>
      <c r="D522" t="str" cm="1">
        <f t="array" aca="1" ref="D522" ca="1">INDEX({"MedSupply Co","HealthCorp","PharmaPlus","GlobalMed"}, RANDBETWEEN(1,4))</f>
        <v>HealthCorp</v>
      </c>
      <c r="E522">
        <f t="shared" ca="1" si="81"/>
        <v>181</v>
      </c>
      <c r="F522">
        <f t="shared" ca="1" si="82"/>
        <v>70</v>
      </c>
      <c r="G522">
        <f t="shared" ca="1" si="83"/>
        <v>1.73</v>
      </c>
      <c r="H522" s="1">
        <f t="shared" ca="1" si="84"/>
        <v>46342</v>
      </c>
      <c r="I522" s="1">
        <f t="shared" ca="1" si="85"/>
        <v>46007</v>
      </c>
      <c r="J522">
        <f t="shared" ca="1" si="86"/>
        <v>313.13</v>
      </c>
      <c r="K522" t="str">
        <f t="shared" ca="1" si="87"/>
        <v>In Stock</v>
      </c>
      <c r="L522" s="2">
        <f t="shared" ca="1" si="88"/>
        <v>223</v>
      </c>
      <c r="M522" t="str">
        <f t="shared" ca="1" si="89"/>
        <v>Safe</v>
      </c>
    </row>
    <row r="523" spans="1:13" x14ac:dyDescent="0.25">
      <c r="A523" t="str">
        <f t="shared" si="80"/>
        <v>M522</v>
      </c>
      <c r="B523" t="str" cm="1">
        <f t="array" aca="1" ref="B523" ca="1">INDEX({"Paracetamol","Amoxicillin","Ibuprofen","Cetirizine","Metformin","Amlodipine","Omeprazole","Azithromycin","Losartan","Vitamin C"}, RANDBETWEEN(1,10))</f>
        <v>Omeprazole</v>
      </c>
      <c r="C523" t="str" cm="1">
        <f t="array" aca="1" ref="C523" ca="1">INDEX({"Painkiller","Antibiotic","Painkiller","Antihistamine","Diabetes","Hypertension","Antacid","Antibiotic","Hypertension","Supplement"},
MATCH(B523,{"Paracetamol","Amoxicillin","Ibuprofen","Cetirizine","Metformin","Amlodipine","Omeprazole","Azithromycin","Losartan","Vitamin C"},0))</f>
        <v>Antacid</v>
      </c>
      <c r="D523" t="str" cm="1">
        <f t="array" aca="1" ref="D523" ca="1">INDEX({"MedSupply Co","HealthCorp","PharmaPlus","GlobalMed"}, RANDBETWEEN(1,4))</f>
        <v>PharmaPlus</v>
      </c>
      <c r="E523">
        <f t="shared" ca="1" si="81"/>
        <v>131</v>
      </c>
      <c r="F523">
        <f t="shared" ca="1" si="82"/>
        <v>28</v>
      </c>
      <c r="G523">
        <f t="shared" ca="1" si="83"/>
        <v>0.51</v>
      </c>
      <c r="H523" s="1">
        <f t="shared" ca="1" si="84"/>
        <v>46389</v>
      </c>
      <c r="I523" s="1">
        <f t="shared" ca="1" si="85"/>
        <v>45977</v>
      </c>
      <c r="J523">
        <f t="shared" ca="1" si="86"/>
        <v>66.81</v>
      </c>
      <c r="K523" t="str">
        <f t="shared" ca="1" si="87"/>
        <v>In Stock</v>
      </c>
      <c r="L523" s="2">
        <f t="shared" ca="1" si="88"/>
        <v>270</v>
      </c>
      <c r="M523" t="str">
        <f t="shared" ca="1" si="89"/>
        <v>Safe</v>
      </c>
    </row>
    <row r="524" spans="1:13" x14ac:dyDescent="0.25">
      <c r="A524" t="str">
        <f t="shared" si="80"/>
        <v>M523</v>
      </c>
      <c r="B524" t="str" cm="1">
        <f t="array" aca="1" ref="B524" ca="1">INDEX({"Paracetamol","Amoxicillin","Ibuprofen","Cetirizine","Metformin","Amlodipine","Omeprazole","Azithromycin","Losartan","Vitamin C"}, RANDBETWEEN(1,10))</f>
        <v>Amoxicillin</v>
      </c>
      <c r="C524" t="str" cm="1">
        <f t="array" aca="1" ref="C524" ca="1">INDEX({"Painkiller","Antibiotic","Painkiller","Antihistamine","Diabetes","Hypertension","Antacid","Antibiotic","Hypertension","Supplement"},
MATCH(B524,{"Paracetamol","Amoxicillin","Ibuprofen","Cetirizine","Metformin","Amlodipine","Omeprazole","Azithromycin","Losartan","Vitamin C"},0))</f>
        <v>Antibiotic</v>
      </c>
      <c r="D524" t="str" cm="1">
        <f t="array" aca="1" ref="D524" ca="1">INDEX({"MedSupply Co","HealthCorp","PharmaPlus","GlobalMed"}, RANDBETWEEN(1,4))</f>
        <v>HealthCorp</v>
      </c>
      <c r="E524">
        <f t="shared" ca="1" si="81"/>
        <v>120</v>
      </c>
      <c r="F524">
        <f t="shared" ca="1" si="82"/>
        <v>83</v>
      </c>
      <c r="G524">
        <f t="shared" ca="1" si="83"/>
        <v>0.59</v>
      </c>
      <c r="H524" s="1">
        <f t="shared" ca="1" si="84"/>
        <v>46273</v>
      </c>
      <c r="I524" s="1">
        <f t="shared" ca="1" si="85"/>
        <v>46003</v>
      </c>
      <c r="J524">
        <f t="shared" ca="1" si="86"/>
        <v>70.8</v>
      </c>
      <c r="K524" t="str">
        <f t="shared" ca="1" si="87"/>
        <v>In Stock</v>
      </c>
      <c r="L524" s="2">
        <f t="shared" ca="1" si="88"/>
        <v>154</v>
      </c>
      <c r="M524" t="str">
        <f t="shared" ca="1" si="89"/>
        <v>Safe</v>
      </c>
    </row>
    <row r="525" spans="1:13" x14ac:dyDescent="0.25">
      <c r="A525" t="str">
        <f t="shared" si="80"/>
        <v>M524</v>
      </c>
      <c r="B525" t="str" cm="1">
        <f t="array" aca="1" ref="B525" ca="1">INDEX({"Paracetamol","Amoxicillin","Ibuprofen","Cetirizine","Metformin","Amlodipine","Omeprazole","Azithromycin","Losartan","Vitamin C"}, RANDBETWEEN(1,10))</f>
        <v>Cetirizine</v>
      </c>
      <c r="C525" t="str" cm="1">
        <f t="array" aca="1" ref="C525" ca="1">INDEX({"Painkiller","Antibiotic","Painkiller","Antihistamine","Diabetes","Hypertension","Antacid","Antibiotic","Hypertension","Supplement"},
MATCH(B525,{"Paracetamol","Amoxicillin","Ibuprofen","Cetirizine","Metformin","Amlodipine","Omeprazole","Azithromycin","Losartan","Vitamin C"},0))</f>
        <v>Antihistamine</v>
      </c>
      <c r="D525" t="str" cm="1">
        <f t="array" aca="1" ref="D525" ca="1">INDEX({"MedSupply Co","HealthCorp","PharmaPlus","GlobalMed"}, RANDBETWEEN(1,4))</f>
        <v>MedSupply Co</v>
      </c>
      <c r="E525">
        <f t="shared" ca="1" si="81"/>
        <v>75</v>
      </c>
      <c r="F525">
        <f t="shared" ca="1" si="82"/>
        <v>64</v>
      </c>
      <c r="G525">
        <f t="shared" ca="1" si="83"/>
        <v>0.87</v>
      </c>
      <c r="H525" s="1">
        <f t="shared" ca="1" si="84"/>
        <v>46285</v>
      </c>
      <c r="I525" s="1">
        <f t="shared" ca="1" si="85"/>
        <v>45972</v>
      </c>
      <c r="J525">
        <f t="shared" ca="1" si="86"/>
        <v>65.25</v>
      </c>
      <c r="K525" t="str">
        <f t="shared" ca="1" si="87"/>
        <v>In Stock</v>
      </c>
      <c r="L525" s="2">
        <f t="shared" ca="1" si="88"/>
        <v>166</v>
      </c>
      <c r="M525" t="str">
        <f t="shared" ca="1" si="89"/>
        <v>Safe</v>
      </c>
    </row>
    <row r="526" spans="1:13" x14ac:dyDescent="0.25">
      <c r="A526" t="str">
        <f t="shared" si="80"/>
        <v>M525</v>
      </c>
      <c r="B526" t="str" cm="1">
        <f t="array" aca="1" ref="B526" ca="1">INDEX({"Paracetamol","Amoxicillin","Ibuprofen","Cetirizine","Metformin","Amlodipine","Omeprazole","Azithromycin","Losartan","Vitamin C"}, RANDBETWEEN(1,10))</f>
        <v>Losartan</v>
      </c>
      <c r="C526" t="str" cm="1">
        <f t="array" aca="1" ref="C526" ca="1">INDEX({"Painkiller","Antibiotic","Painkiller","Antihistamine","Diabetes","Hypertension","Antacid","Antibiotic","Hypertension","Supplement"},
MATCH(B526,{"Paracetamol","Amoxicillin","Ibuprofen","Cetirizine","Metformin","Amlodipine","Omeprazole","Azithromycin","Losartan","Vitamin C"},0))</f>
        <v>Hypertension</v>
      </c>
      <c r="D526" t="str" cm="1">
        <f t="array" aca="1" ref="D526" ca="1">INDEX({"MedSupply Co","HealthCorp","PharmaPlus","GlobalMed"}, RANDBETWEEN(1,4))</f>
        <v>GlobalMed</v>
      </c>
      <c r="E526">
        <f t="shared" ca="1" si="81"/>
        <v>83</v>
      </c>
      <c r="F526">
        <f t="shared" ca="1" si="82"/>
        <v>22</v>
      </c>
      <c r="G526">
        <f t="shared" ca="1" si="83"/>
        <v>1.63</v>
      </c>
      <c r="H526" s="1">
        <f t="shared" ca="1" si="84"/>
        <v>46444</v>
      </c>
      <c r="I526" s="1">
        <f t="shared" ca="1" si="85"/>
        <v>46047</v>
      </c>
      <c r="J526">
        <f t="shared" ca="1" si="86"/>
        <v>135.29</v>
      </c>
      <c r="K526" t="str">
        <f t="shared" ca="1" si="87"/>
        <v>In Stock</v>
      </c>
      <c r="L526" s="2">
        <f t="shared" ca="1" si="88"/>
        <v>325</v>
      </c>
      <c r="M526" t="str">
        <f t="shared" ca="1" si="89"/>
        <v>Safe</v>
      </c>
    </row>
    <row r="527" spans="1:13" x14ac:dyDescent="0.25">
      <c r="A527" t="str">
        <f t="shared" si="80"/>
        <v>M526</v>
      </c>
      <c r="B527" t="str" cm="1">
        <f t="array" aca="1" ref="B527" ca="1">INDEX({"Paracetamol","Amoxicillin","Ibuprofen","Cetirizine","Metformin","Amlodipine","Omeprazole","Azithromycin","Losartan","Vitamin C"}, RANDBETWEEN(1,10))</f>
        <v>Losartan</v>
      </c>
      <c r="C527" t="str" cm="1">
        <f t="array" aca="1" ref="C527" ca="1">INDEX({"Painkiller","Antibiotic","Painkiller","Antihistamine","Diabetes","Hypertension","Antacid","Antibiotic","Hypertension","Supplement"},
MATCH(B527,{"Paracetamol","Amoxicillin","Ibuprofen","Cetirizine","Metformin","Amlodipine","Omeprazole","Azithromycin","Losartan","Vitamin C"},0))</f>
        <v>Hypertension</v>
      </c>
      <c r="D527" t="str" cm="1">
        <f t="array" aca="1" ref="D527" ca="1">INDEX({"MedSupply Co","HealthCorp","PharmaPlus","GlobalMed"}, RANDBETWEEN(1,4))</f>
        <v>GlobalMed</v>
      </c>
      <c r="E527">
        <f t="shared" ca="1" si="81"/>
        <v>94</v>
      </c>
      <c r="F527">
        <f t="shared" ca="1" si="82"/>
        <v>76</v>
      </c>
      <c r="G527">
        <f t="shared" ca="1" si="83"/>
        <v>1.01</v>
      </c>
      <c r="H527" s="1">
        <f t="shared" ca="1" si="84"/>
        <v>46299</v>
      </c>
      <c r="I527" s="1">
        <f t="shared" ca="1" si="85"/>
        <v>45957</v>
      </c>
      <c r="J527">
        <f t="shared" ca="1" si="86"/>
        <v>94.94</v>
      </c>
      <c r="K527" t="str">
        <f t="shared" ca="1" si="87"/>
        <v>In Stock</v>
      </c>
      <c r="L527" s="2">
        <f t="shared" ca="1" si="88"/>
        <v>180</v>
      </c>
      <c r="M527" t="str">
        <f t="shared" ca="1" si="89"/>
        <v>Safe</v>
      </c>
    </row>
    <row r="528" spans="1:13" x14ac:dyDescent="0.25">
      <c r="A528" t="str">
        <f t="shared" si="80"/>
        <v>M527</v>
      </c>
      <c r="B528" t="str" cm="1">
        <f t="array" aca="1" ref="B528" ca="1">INDEX({"Paracetamol","Amoxicillin","Ibuprofen","Cetirizine","Metformin","Amlodipine","Omeprazole","Azithromycin","Losartan","Vitamin C"}, RANDBETWEEN(1,10))</f>
        <v>Cetirizine</v>
      </c>
      <c r="C528" t="str" cm="1">
        <f t="array" aca="1" ref="C528" ca="1">INDEX({"Painkiller","Antibiotic","Painkiller","Antihistamine","Diabetes","Hypertension","Antacid","Antibiotic","Hypertension","Supplement"},
MATCH(B528,{"Paracetamol","Amoxicillin","Ibuprofen","Cetirizine","Metformin","Amlodipine","Omeprazole","Azithromycin","Losartan","Vitamin C"},0))</f>
        <v>Antihistamine</v>
      </c>
      <c r="D528" t="str" cm="1">
        <f t="array" aca="1" ref="D528" ca="1">INDEX({"MedSupply Co","HealthCorp","PharmaPlus","GlobalMed"}, RANDBETWEEN(1,4))</f>
        <v>PharmaPlus</v>
      </c>
      <c r="E528">
        <f t="shared" ca="1" si="81"/>
        <v>112</v>
      </c>
      <c r="F528">
        <f t="shared" ca="1" si="82"/>
        <v>80</v>
      </c>
      <c r="G528">
        <f t="shared" ca="1" si="83"/>
        <v>1.1000000000000001</v>
      </c>
      <c r="H528" s="1">
        <f t="shared" ca="1" si="84"/>
        <v>46239</v>
      </c>
      <c r="I528" s="1">
        <f t="shared" ca="1" si="85"/>
        <v>45946</v>
      </c>
      <c r="J528">
        <f t="shared" ca="1" si="86"/>
        <v>123.20000000000002</v>
      </c>
      <c r="K528" t="str">
        <f t="shared" ca="1" si="87"/>
        <v>In Stock</v>
      </c>
      <c r="L528" s="2">
        <f t="shared" ca="1" si="88"/>
        <v>120</v>
      </c>
      <c r="M528" t="str">
        <f t="shared" ca="1" si="89"/>
        <v>Safe</v>
      </c>
    </row>
    <row r="529" spans="1:13" x14ac:dyDescent="0.25">
      <c r="A529" t="str">
        <f t="shared" si="80"/>
        <v>M528</v>
      </c>
      <c r="B529" t="str" cm="1">
        <f t="array" aca="1" ref="B529" ca="1">INDEX({"Paracetamol","Amoxicillin","Ibuprofen","Cetirizine","Metformin","Amlodipine","Omeprazole","Azithromycin","Losartan","Vitamin C"}, RANDBETWEEN(1,10))</f>
        <v>Paracetamol</v>
      </c>
      <c r="C529" t="str" cm="1">
        <f t="array" aca="1" ref="C529" ca="1">INDEX({"Painkiller","Antibiotic","Painkiller","Antihistamine","Diabetes","Hypertension","Antacid","Antibiotic","Hypertension","Supplement"},
MATCH(B529,{"Paracetamol","Amoxicillin","Ibuprofen","Cetirizine","Metformin","Amlodipine","Omeprazole","Azithromycin","Losartan","Vitamin C"},0))</f>
        <v>Painkiller</v>
      </c>
      <c r="D529" t="str" cm="1">
        <f t="array" aca="1" ref="D529" ca="1">INDEX({"MedSupply Co","HealthCorp","PharmaPlus","GlobalMed"}, RANDBETWEEN(1,4))</f>
        <v>HealthCorp</v>
      </c>
      <c r="E529">
        <f t="shared" ca="1" si="81"/>
        <v>119</v>
      </c>
      <c r="F529">
        <f t="shared" ca="1" si="82"/>
        <v>78</v>
      </c>
      <c r="G529">
        <f t="shared" ca="1" si="83"/>
        <v>1.91</v>
      </c>
      <c r="H529" s="1">
        <f t="shared" ca="1" si="84"/>
        <v>46204</v>
      </c>
      <c r="I529" s="1">
        <f t="shared" ca="1" si="85"/>
        <v>46079</v>
      </c>
      <c r="J529">
        <f t="shared" ca="1" si="86"/>
        <v>227.29</v>
      </c>
      <c r="K529" t="str">
        <f t="shared" ca="1" si="87"/>
        <v>In Stock</v>
      </c>
      <c r="L529" s="2">
        <f t="shared" ca="1" si="88"/>
        <v>85</v>
      </c>
      <c r="M529" t="str">
        <f t="shared" ca="1" si="89"/>
        <v>Safe</v>
      </c>
    </row>
    <row r="530" spans="1:13" x14ac:dyDescent="0.25">
      <c r="A530" t="str">
        <f t="shared" si="80"/>
        <v>M529</v>
      </c>
      <c r="B530" t="str" cm="1">
        <f t="array" aca="1" ref="B530" ca="1">INDEX({"Paracetamol","Amoxicillin","Ibuprofen","Cetirizine","Metformin","Amlodipine","Omeprazole","Azithromycin","Losartan","Vitamin C"}, RANDBETWEEN(1,10))</f>
        <v>Paracetamol</v>
      </c>
      <c r="C530" t="str" cm="1">
        <f t="array" aca="1" ref="C530" ca="1">INDEX({"Painkiller","Antibiotic","Painkiller","Antihistamine","Diabetes","Hypertension","Antacid","Antibiotic","Hypertension","Supplement"},
MATCH(B530,{"Paracetamol","Amoxicillin","Ibuprofen","Cetirizine","Metformin","Amlodipine","Omeprazole","Azithromycin","Losartan","Vitamin C"},0))</f>
        <v>Painkiller</v>
      </c>
      <c r="D530" t="str" cm="1">
        <f t="array" aca="1" ref="D530" ca="1">INDEX({"MedSupply Co","HealthCorp","PharmaPlus","GlobalMed"}, RANDBETWEEN(1,4))</f>
        <v>PharmaPlus</v>
      </c>
      <c r="E530">
        <f t="shared" ca="1" si="81"/>
        <v>101</v>
      </c>
      <c r="F530">
        <f t="shared" ca="1" si="82"/>
        <v>61</v>
      </c>
      <c r="G530">
        <f t="shared" ca="1" si="83"/>
        <v>0.66</v>
      </c>
      <c r="H530" s="1">
        <f t="shared" ca="1" si="84"/>
        <v>46218</v>
      </c>
      <c r="I530" s="1">
        <f t="shared" ca="1" si="85"/>
        <v>46061</v>
      </c>
      <c r="J530">
        <f t="shared" ca="1" si="86"/>
        <v>66.66</v>
      </c>
      <c r="K530" t="str">
        <f t="shared" ca="1" si="87"/>
        <v>In Stock</v>
      </c>
      <c r="L530" s="2">
        <f t="shared" ca="1" si="88"/>
        <v>99</v>
      </c>
      <c r="M530" t="str">
        <f t="shared" ca="1" si="89"/>
        <v>Safe</v>
      </c>
    </row>
    <row r="531" spans="1:13" x14ac:dyDescent="0.25">
      <c r="A531" t="str">
        <f t="shared" si="80"/>
        <v>M530</v>
      </c>
      <c r="B531" t="str" cm="1">
        <f t="array" aca="1" ref="B531" ca="1">INDEX({"Paracetamol","Amoxicillin","Ibuprofen","Cetirizine","Metformin","Amlodipine","Omeprazole","Azithromycin","Losartan","Vitamin C"}, RANDBETWEEN(1,10))</f>
        <v>Paracetamol</v>
      </c>
      <c r="C531" t="str" cm="1">
        <f t="array" aca="1" ref="C531" ca="1">INDEX({"Painkiller","Antibiotic","Painkiller","Antihistamine","Diabetes","Hypertension","Antacid","Antibiotic","Hypertension","Supplement"},
MATCH(B531,{"Paracetamol","Amoxicillin","Ibuprofen","Cetirizine","Metformin","Amlodipine","Omeprazole","Azithromycin","Losartan","Vitamin C"},0))</f>
        <v>Painkiller</v>
      </c>
      <c r="D531" t="str" cm="1">
        <f t="array" aca="1" ref="D531" ca="1">INDEX({"MedSupply Co","HealthCorp","PharmaPlus","GlobalMed"}, RANDBETWEEN(1,4))</f>
        <v>HealthCorp</v>
      </c>
      <c r="E531">
        <f t="shared" ca="1" si="81"/>
        <v>84</v>
      </c>
      <c r="F531">
        <f t="shared" ca="1" si="82"/>
        <v>99</v>
      </c>
      <c r="G531">
        <f t="shared" ca="1" si="83"/>
        <v>0.96</v>
      </c>
      <c r="H531" s="1">
        <f t="shared" ca="1" si="84"/>
        <v>46185</v>
      </c>
      <c r="I531" s="1">
        <f t="shared" ca="1" si="85"/>
        <v>46074</v>
      </c>
      <c r="J531">
        <f t="shared" ca="1" si="86"/>
        <v>80.64</v>
      </c>
      <c r="K531" t="str">
        <f t="shared" ca="1" si="87"/>
        <v>Low Stock</v>
      </c>
      <c r="L531" s="2">
        <f t="shared" ca="1" si="88"/>
        <v>66</v>
      </c>
      <c r="M531" t="str">
        <f t="shared" ca="1" si="89"/>
        <v>Safe</v>
      </c>
    </row>
    <row r="532" spans="1:13" x14ac:dyDescent="0.25">
      <c r="A532" t="str">
        <f t="shared" si="80"/>
        <v>M531</v>
      </c>
      <c r="B532" t="str" cm="1">
        <f t="array" aca="1" ref="B532" ca="1">INDEX({"Paracetamol","Amoxicillin","Ibuprofen","Cetirizine","Metformin","Amlodipine","Omeprazole","Azithromycin","Losartan","Vitamin C"}, RANDBETWEEN(1,10))</f>
        <v>Omeprazole</v>
      </c>
      <c r="C532" t="str" cm="1">
        <f t="array" aca="1" ref="C532" ca="1">INDEX({"Painkiller","Antibiotic","Painkiller","Antihistamine","Diabetes","Hypertension","Antacid","Antibiotic","Hypertension","Supplement"},
MATCH(B532,{"Paracetamol","Amoxicillin","Ibuprofen","Cetirizine","Metformin","Amlodipine","Omeprazole","Azithromycin","Losartan","Vitamin C"},0))</f>
        <v>Antacid</v>
      </c>
      <c r="D532" t="str" cm="1">
        <f t="array" aca="1" ref="D532" ca="1">INDEX({"MedSupply Co","HealthCorp","PharmaPlus","GlobalMed"}, RANDBETWEEN(1,4))</f>
        <v>PharmaPlus</v>
      </c>
      <c r="E532">
        <f t="shared" ca="1" si="81"/>
        <v>173</v>
      </c>
      <c r="F532">
        <f t="shared" ca="1" si="82"/>
        <v>38</v>
      </c>
      <c r="G532">
        <f t="shared" ca="1" si="83"/>
        <v>0.54</v>
      </c>
      <c r="H532" s="1">
        <f t="shared" ca="1" si="84"/>
        <v>46192</v>
      </c>
      <c r="I532" s="1">
        <f t="shared" ca="1" si="85"/>
        <v>46060</v>
      </c>
      <c r="J532">
        <f t="shared" ca="1" si="86"/>
        <v>93.42</v>
      </c>
      <c r="K532" t="str">
        <f t="shared" ca="1" si="87"/>
        <v>In Stock</v>
      </c>
      <c r="L532" s="2">
        <f t="shared" ca="1" si="88"/>
        <v>73</v>
      </c>
      <c r="M532" t="str">
        <f t="shared" ca="1" si="89"/>
        <v>Safe</v>
      </c>
    </row>
    <row r="533" spans="1:13" x14ac:dyDescent="0.25">
      <c r="A533" t="str">
        <f t="shared" si="80"/>
        <v>M532</v>
      </c>
      <c r="B533" t="str" cm="1">
        <f t="array" aca="1" ref="B533" ca="1">INDEX({"Paracetamol","Amoxicillin","Ibuprofen","Cetirizine","Metformin","Amlodipine","Omeprazole","Azithromycin","Losartan","Vitamin C"}, RANDBETWEEN(1,10))</f>
        <v>Amoxicillin</v>
      </c>
      <c r="C533" t="str" cm="1">
        <f t="array" aca="1" ref="C533" ca="1">INDEX({"Painkiller","Antibiotic","Painkiller","Antihistamine","Diabetes","Hypertension","Antacid","Antibiotic","Hypertension","Supplement"},
MATCH(B533,{"Paracetamol","Amoxicillin","Ibuprofen","Cetirizine","Metformin","Amlodipine","Omeprazole","Azithromycin","Losartan","Vitamin C"},0))</f>
        <v>Antibiotic</v>
      </c>
      <c r="D533" t="str" cm="1">
        <f t="array" aca="1" ref="D533" ca="1">INDEX({"MedSupply Co","HealthCorp","PharmaPlus","GlobalMed"}, RANDBETWEEN(1,4))</f>
        <v>PharmaPlus</v>
      </c>
      <c r="E533">
        <f t="shared" ca="1" si="81"/>
        <v>162</v>
      </c>
      <c r="F533">
        <f t="shared" ca="1" si="82"/>
        <v>41</v>
      </c>
      <c r="G533">
        <f t="shared" ca="1" si="83"/>
        <v>0.6</v>
      </c>
      <c r="H533" s="1">
        <f t="shared" ca="1" si="84"/>
        <v>46304</v>
      </c>
      <c r="I533" s="1">
        <f t="shared" ca="1" si="85"/>
        <v>46045</v>
      </c>
      <c r="J533">
        <f t="shared" ca="1" si="86"/>
        <v>97.2</v>
      </c>
      <c r="K533" t="str">
        <f t="shared" ca="1" si="87"/>
        <v>In Stock</v>
      </c>
      <c r="L533" s="2">
        <f t="shared" ca="1" si="88"/>
        <v>185</v>
      </c>
      <c r="M533" t="str">
        <f t="shared" ca="1" si="89"/>
        <v>Safe</v>
      </c>
    </row>
    <row r="534" spans="1:13" x14ac:dyDescent="0.25">
      <c r="A534" t="str">
        <f t="shared" si="80"/>
        <v>M533</v>
      </c>
      <c r="B534" t="str" cm="1">
        <f t="array" aca="1" ref="B534" ca="1">INDEX({"Paracetamol","Amoxicillin","Ibuprofen","Cetirizine","Metformin","Amlodipine","Omeprazole","Azithromycin","Losartan","Vitamin C"}, RANDBETWEEN(1,10))</f>
        <v>Vitamin C</v>
      </c>
      <c r="C534" t="str" cm="1">
        <f t="array" aca="1" ref="C534" ca="1">INDEX({"Painkiller","Antibiotic","Painkiller","Antihistamine","Diabetes","Hypertension","Antacid","Antibiotic","Hypertension","Supplement"},
MATCH(B534,{"Paracetamol","Amoxicillin","Ibuprofen","Cetirizine","Metformin","Amlodipine","Omeprazole","Azithromycin","Losartan","Vitamin C"},0))</f>
        <v>Supplement</v>
      </c>
      <c r="D534" t="str" cm="1">
        <f t="array" aca="1" ref="D534" ca="1">INDEX({"MedSupply Co","HealthCorp","PharmaPlus","GlobalMed"}, RANDBETWEEN(1,4))</f>
        <v>GlobalMed</v>
      </c>
      <c r="E534">
        <f t="shared" ca="1" si="81"/>
        <v>95</v>
      </c>
      <c r="F534">
        <f t="shared" ca="1" si="82"/>
        <v>84</v>
      </c>
      <c r="G534">
        <f t="shared" ca="1" si="83"/>
        <v>1.2</v>
      </c>
      <c r="H534" s="1">
        <f t="shared" ca="1" si="84"/>
        <v>46215</v>
      </c>
      <c r="I534" s="1">
        <f t="shared" ca="1" si="85"/>
        <v>46054</v>
      </c>
      <c r="J534">
        <f t="shared" ca="1" si="86"/>
        <v>114</v>
      </c>
      <c r="K534" t="str">
        <f t="shared" ca="1" si="87"/>
        <v>In Stock</v>
      </c>
      <c r="L534" s="2">
        <f t="shared" ca="1" si="88"/>
        <v>96</v>
      </c>
      <c r="M534" t="str">
        <f t="shared" ca="1" si="89"/>
        <v>Safe</v>
      </c>
    </row>
    <row r="535" spans="1:13" x14ac:dyDescent="0.25">
      <c r="A535" t="str">
        <f t="shared" si="80"/>
        <v>M534</v>
      </c>
      <c r="B535" t="str" cm="1">
        <f t="array" aca="1" ref="B535" ca="1">INDEX({"Paracetamol","Amoxicillin","Ibuprofen","Cetirizine","Metformin","Amlodipine","Omeprazole","Azithromycin","Losartan","Vitamin C"}, RANDBETWEEN(1,10))</f>
        <v>Amoxicillin</v>
      </c>
      <c r="C535" t="str" cm="1">
        <f t="array" aca="1" ref="C535" ca="1">INDEX({"Painkiller","Antibiotic","Painkiller","Antihistamine","Diabetes","Hypertension","Antacid","Antibiotic","Hypertension","Supplement"},
MATCH(B535,{"Paracetamol","Amoxicillin","Ibuprofen","Cetirizine","Metformin","Amlodipine","Omeprazole","Azithromycin","Losartan","Vitamin C"},0))</f>
        <v>Antibiotic</v>
      </c>
      <c r="D535" t="str" cm="1">
        <f t="array" aca="1" ref="D535" ca="1">INDEX({"MedSupply Co","HealthCorp","PharmaPlus","GlobalMed"}, RANDBETWEEN(1,4))</f>
        <v>MedSupply Co</v>
      </c>
      <c r="E535">
        <f t="shared" ca="1" si="81"/>
        <v>79</v>
      </c>
      <c r="F535">
        <f t="shared" ca="1" si="82"/>
        <v>63</v>
      </c>
      <c r="G535">
        <f t="shared" ca="1" si="83"/>
        <v>1.52</v>
      </c>
      <c r="H535" s="1">
        <f t="shared" ca="1" si="84"/>
        <v>46438</v>
      </c>
      <c r="I535" s="1">
        <f t="shared" ca="1" si="85"/>
        <v>45950</v>
      </c>
      <c r="J535">
        <f t="shared" ca="1" si="86"/>
        <v>120.08</v>
      </c>
      <c r="K535" t="str">
        <f t="shared" ca="1" si="87"/>
        <v>In Stock</v>
      </c>
      <c r="L535" s="2">
        <f t="shared" ca="1" si="88"/>
        <v>319</v>
      </c>
      <c r="M535" t="str">
        <f t="shared" ca="1" si="89"/>
        <v>Safe</v>
      </c>
    </row>
    <row r="536" spans="1:13" x14ac:dyDescent="0.25">
      <c r="A536" t="str">
        <f t="shared" si="80"/>
        <v>M535</v>
      </c>
      <c r="B536" t="str" cm="1">
        <f t="array" aca="1" ref="B536" ca="1">INDEX({"Paracetamol","Amoxicillin","Ibuprofen","Cetirizine","Metformin","Amlodipine","Omeprazole","Azithromycin","Losartan","Vitamin C"}, RANDBETWEEN(1,10))</f>
        <v>Amoxicillin</v>
      </c>
      <c r="C536" t="str" cm="1">
        <f t="array" aca="1" ref="C536" ca="1">INDEX({"Painkiller","Antibiotic","Painkiller","Antihistamine","Diabetes","Hypertension","Antacid","Antibiotic","Hypertension","Supplement"},
MATCH(B536,{"Paracetamol","Amoxicillin","Ibuprofen","Cetirizine","Metformin","Amlodipine","Omeprazole","Azithromycin","Losartan","Vitamin C"},0))</f>
        <v>Antibiotic</v>
      </c>
      <c r="D536" t="str" cm="1">
        <f t="array" aca="1" ref="D536" ca="1">INDEX({"MedSupply Co","HealthCorp","PharmaPlus","GlobalMed"}, RANDBETWEEN(1,4))</f>
        <v>PharmaPlus</v>
      </c>
      <c r="E536">
        <f t="shared" ca="1" si="81"/>
        <v>162</v>
      </c>
      <c r="F536">
        <f t="shared" ca="1" si="82"/>
        <v>57</v>
      </c>
      <c r="G536">
        <f t="shared" ca="1" si="83"/>
        <v>0.86</v>
      </c>
      <c r="H536" s="1">
        <f t="shared" ca="1" si="84"/>
        <v>46271</v>
      </c>
      <c r="I536" s="1">
        <f t="shared" ca="1" si="85"/>
        <v>46071</v>
      </c>
      <c r="J536">
        <f t="shared" ca="1" si="86"/>
        <v>139.32</v>
      </c>
      <c r="K536" t="str">
        <f t="shared" ca="1" si="87"/>
        <v>In Stock</v>
      </c>
      <c r="L536" s="2">
        <f t="shared" ca="1" si="88"/>
        <v>152</v>
      </c>
      <c r="M536" t="str">
        <f t="shared" ca="1" si="89"/>
        <v>Safe</v>
      </c>
    </row>
    <row r="537" spans="1:13" x14ac:dyDescent="0.25">
      <c r="A537" t="str">
        <f t="shared" si="80"/>
        <v>M536</v>
      </c>
      <c r="B537" t="str" cm="1">
        <f t="array" aca="1" ref="B537" ca="1">INDEX({"Paracetamol","Amoxicillin","Ibuprofen","Cetirizine","Metformin","Amlodipine","Omeprazole","Azithromycin","Losartan","Vitamin C"}, RANDBETWEEN(1,10))</f>
        <v>Paracetamol</v>
      </c>
      <c r="C537" t="str" cm="1">
        <f t="array" aca="1" ref="C537" ca="1">INDEX({"Painkiller","Antibiotic","Painkiller","Antihistamine","Diabetes","Hypertension","Antacid","Antibiotic","Hypertension","Supplement"},
MATCH(B537,{"Paracetamol","Amoxicillin","Ibuprofen","Cetirizine","Metformin","Amlodipine","Omeprazole","Azithromycin","Losartan","Vitamin C"},0))</f>
        <v>Painkiller</v>
      </c>
      <c r="D537" t="str" cm="1">
        <f t="array" aca="1" ref="D537" ca="1">INDEX({"MedSupply Co","HealthCorp","PharmaPlus","GlobalMed"}, RANDBETWEEN(1,4))</f>
        <v>PharmaPlus</v>
      </c>
      <c r="E537">
        <f t="shared" ca="1" si="81"/>
        <v>128</v>
      </c>
      <c r="F537">
        <f t="shared" ca="1" si="82"/>
        <v>100</v>
      </c>
      <c r="G537">
        <f t="shared" ca="1" si="83"/>
        <v>1.81</v>
      </c>
      <c r="H537" s="1">
        <f t="shared" ca="1" si="84"/>
        <v>46392</v>
      </c>
      <c r="I537" s="1">
        <f t="shared" ca="1" si="85"/>
        <v>45968</v>
      </c>
      <c r="J537">
        <f t="shared" ca="1" si="86"/>
        <v>231.68</v>
      </c>
      <c r="K537" t="str">
        <f t="shared" ca="1" si="87"/>
        <v>In Stock</v>
      </c>
      <c r="L537" s="2">
        <f t="shared" ca="1" si="88"/>
        <v>273</v>
      </c>
      <c r="M537" t="str">
        <f t="shared" ca="1" si="89"/>
        <v>Safe</v>
      </c>
    </row>
    <row r="538" spans="1:13" x14ac:dyDescent="0.25">
      <c r="A538" t="str">
        <f t="shared" si="80"/>
        <v>M537</v>
      </c>
      <c r="B538" t="str" cm="1">
        <f t="array" aca="1" ref="B538" ca="1">INDEX({"Paracetamol","Amoxicillin","Ibuprofen","Cetirizine","Metformin","Amlodipine","Omeprazole","Azithromycin","Losartan","Vitamin C"}, RANDBETWEEN(1,10))</f>
        <v>Paracetamol</v>
      </c>
      <c r="C538" t="str" cm="1">
        <f t="array" aca="1" ref="C538" ca="1">INDEX({"Painkiller","Antibiotic","Painkiller","Antihistamine","Diabetes","Hypertension","Antacid","Antibiotic","Hypertension","Supplement"},
MATCH(B538,{"Paracetamol","Amoxicillin","Ibuprofen","Cetirizine","Metformin","Amlodipine","Omeprazole","Azithromycin","Losartan","Vitamin C"},0))</f>
        <v>Painkiller</v>
      </c>
      <c r="D538" t="str" cm="1">
        <f t="array" aca="1" ref="D538" ca="1">INDEX({"MedSupply Co","HealthCorp","PharmaPlus","GlobalMed"}, RANDBETWEEN(1,4))</f>
        <v>PharmaPlus</v>
      </c>
      <c r="E538">
        <f t="shared" ca="1" si="81"/>
        <v>171</v>
      </c>
      <c r="F538">
        <f t="shared" ca="1" si="82"/>
        <v>49</v>
      </c>
      <c r="G538">
        <f t="shared" ca="1" si="83"/>
        <v>1.6</v>
      </c>
      <c r="H538" s="1">
        <f t="shared" ca="1" si="84"/>
        <v>46448</v>
      </c>
      <c r="I538" s="1">
        <f t="shared" ca="1" si="85"/>
        <v>46023</v>
      </c>
      <c r="J538">
        <f t="shared" ca="1" si="86"/>
        <v>273.60000000000002</v>
      </c>
      <c r="K538" t="str">
        <f t="shared" ca="1" si="87"/>
        <v>In Stock</v>
      </c>
      <c r="L538" s="2">
        <f t="shared" ca="1" si="88"/>
        <v>329</v>
      </c>
      <c r="M538" t="str">
        <f t="shared" ca="1" si="89"/>
        <v>Safe</v>
      </c>
    </row>
    <row r="539" spans="1:13" x14ac:dyDescent="0.25">
      <c r="A539" t="str">
        <f t="shared" si="80"/>
        <v>M538</v>
      </c>
      <c r="B539" t="str" cm="1">
        <f t="array" aca="1" ref="B539" ca="1">INDEX({"Paracetamol","Amoxicillin","Ibuprofen","Cetirizine","Metformin","Amlodipine","Omeprazole","Azithromycin","Losartan","Vitamin C"}, RANDBETWEEN(1,10))</f>
        <v>Paracetamol</v>
      </c>
      <c r="C539" t="str" cm="1">
        <f t="array" aca="1" ref="C539" ca="1">INDEX({"Painkiller","Antibiotic","Painkiller","Antihistamine","Diabetes","Hypertension","Antacid","Antibiotic","Hypertension","Supplement"},
MATCH(B539,{"Paracetamol","Amoxicillin","Ibuprofen","Cetirizine","Metformin","Amlodipine","Omeprazole","Azithromycin","Losartan","Vitamin C"},0))</f>
        <v>Painkiller</v>
      </c>
      <c r="D539" t="str" cm="1">
        <f t="array" aca="1" ref="D539" ca="1">INDEX({"MedSupply Co","HealthCorp","PharmaPlus","GlobalMed"}, RANDBETWEEN(1,4))</f>
        <v>GlobalMed</v>
      </c>
      <c r="E539">
        <f t="shared" ca="1" si="81"/>
        <v>133</v>
      </c>
      <c r="F539">
        <f t="shared" ca="1" si="82"/>
        <v>45</v>
      </c>
      <c r="G539">
        <f t="shared" ca="1" si="83"/>
        <v>1.81</v>
      </c>
      <c r="H539" s="1">
        <f t="shared" ca="1" si="84"/>
        <v>46168</v>
      </c>
      <c r="I539" s="1">
        <f t="shared" ca="1" si="85"/>
        <v>46106</v>
      </c>
      <c r="J539">
        <f t="shared" ca="1" si="86"/>
        <v>240.73000000000002</v>
      </c>
      <c r="K539" t="str">
        <f t="shared" ca="1" si="87"/>
        <v>In Stock</v>
      </c>
      <c r="L539" s="2">
        <f t="shared" ca="1" si="88"/>
        <v>49</v>
      </c>
      <c r="M539" t="str">
        <f t="shared" ca="1" si="89"/>
        <v>Safe</v>
      </c>
    </row>
    <row r="540" spans="1:13" x14ac:dyDescent="0.25">
      <c r="A540" t="str">
        <f t="shared" si="80"/>
        <v>M539</v>
      </c>
      <c r="B540" t="str" cm="1">
        <f t="array" aca="1" ref="B540" ca="1">INDEX({"Paracetamol","Amoxicillin","Ibuprofen","Cetirizine","Metformin","Amlodipine","Omeprazole","Azithromycin","Losartan","Vitamin C"}, RANDBETWEEN(1,10))</f>
        <v>Paracetamol</v>
      </c>
      <c r="C540" t="str" cm="1">
        <f t="array" aca="1" ref="C540" ca="1">INDEX({"Painkiller","Antibiotic","Painkiller","Antihistamine","Diabetes","Hypertension","Antacid","Antibiotic","Hypertension","Supplement"},
MATCH(B540,{"Paracetamol","Amoxicillin","Ibuprofen","Cetirizine","Metformin","Amlodipine","Omeprazole","Azithromycin","Losartan","Vitamin C"},0))</f>
        <v>Painkiller</v>
      </c>
      <c r="D540" t="str" cm="1">
        <f t="array" aca="1" ref="D540" ca="1">INDEX({"MedSupply Co","HealthCorp","PharmaPlus","GlobalMed"}, RANDBETWEEN(1,4))</f>
        <v>PharmaPlus</v>
      </c>
      <c r="E540">
        <f t="shared" ca="1" si="81"/>
        <v>171</v>
      </c>
      <c r="F540">
        <f t="shared" ca="1" si="82"/>
        <v>71</v>
      </c>
      <c r="G540">
        <f t="shared" ca="1" si="83"/>
        <v>0.62</v>
      </c>
      <c r="H540" s="1">
        <f t="shared" ca="1" si="84"/>
        <v>46345</v>
      </c>
      <c r="I540" s="1">
        <f t="shared" ca="1" si="85"/>
        <v>46085</v>
      </c>
      <c r="J540">
        <f t="shared" ca="1" si="86"/>
        <v>106.02</v>
      </c>
      <c r="K540" t="str">
        <f t="shared" ca="1" si="87"/>
        <v>In Stock</v>
      </c>
      <c r="L540" s="2">
        <f t="shared" ca="1" si="88"/>
        <v>226</v>
      </c>
      <c r="M540" t="str">
        <f t="shared" ca="1" si="89"/>
        <v>Safe</v>
      </c>
    </row>
    <row r="541" spans="1:13" x14ac:dyDescent="0.25">
      <c r="A541" t="str">
        <f t="shared" si="80"/>
        <v>M540</v>
      </c>
      <c r="B541" t="str" cm="1">
        <f t="array" aca="1" ref="B541" ca="1">INDEX({"Paracetamol","Amoxicillin","Ibuprofen","Cetirizine","Metformin","Amlodipine","Omeprazole","Azithromycin","Losartan","Vitamin C"}, RANDBETWEEN(1,10))</f>
        <v>Cetirizine</v>
      </c>
      <c r="C541" t="str" cm="1">
        <f t="array" aca="1" ref="C541" ca="1">INDEX({"Painkiller","Antibiotic","Painkiller","Antihistamine","Diabetes","Hypertension","Antacid","Antibiotic","Hypertension","Supplement"},
MATCH(B541,{"Paracetamol","Amoxicillin","Ibuprofen","Cetirizine","Metformin","Amlodipine","Omeprazole","Azithromycin","Losartan","Vitamin C"},0))</f>
        <v>Antihistamine</v>
      </c>
      <c r="D541" t="str" cm="1">
        <f t="array" aca="1" ref="D541" ca="1">INDEX({"MedSupply Co","HealthCorp","PharmaPlus","GlobalMed"}, RANDBETWEEN(1,4))</f>
        <v>PharmaPlus</v>
      </c>
      <c r="E541">
        <f t="shared" ca="1" si="81"/>
        <v>40</v>
      </c>
      <c r="F541">
        <f t="shared" ca="1" si="82"/>
        <v>39</v>
      </c>
      <c r="G541">
        <f t="shared" ca="1" si="83"/>
        <v>1.85</v>
      </c>
      <c r="H541" s="1">
        <f t="shared" ca="1" si="84"/>
        <v>46385</v>
      </c>
      <c r="I541" s="1">
        <f t="shared" ca="1" si="85"/>
        <v>45997</v>
      </c>
      <c r="J541">
        <f t="shared" ca="1" si="86"/>
        <v>74</v>
      </c>
      <c r="K541" t="str">
        <f t="shared" ca="1" si="87"/>
        <v>In Stock</v>
      </c>
      <c r="L541" s="2">
        <f t="shared" ca="1" si="88"/>
        <v>266</v>
      </c>
      <c r="M541" t="str">
        <f t="shared" ca="1" si="89"/>
        <v>Safe</v>
      </c>
    </row>
    <row r="542" spans="1:13" x14ac:dyDescent="0.25">
      <c r="A542" t="str">
        <f t="shared" si="80"/>
        <v>M541</v>
      </c>
      <c r="B542" t="str" cm="1">
        <f t="array" aca="1" ref="B542" ca="1">INDEX({"Paracetamol","Amoxicillin","Ibuprofen","Cetirizine","Metformin","Amlodipine","Omeprazole","Azithromycin","Losartan","Vitamin C"}, RANDBETWEEN(1,10))</f>
        <v>Azithromycin</v>
      </c>
      <c r="C542" t="str" cm="1">
        <f t="array" aca="1" ref="C542" ca="1">INDEX({"Painkiller","Antibiotic","Painkiller","Antihistamine","Diabetes","Hypertension","Antacid","Antibiotic","Hypertension","Supplement"},
MATCH(B542,{"Paracetamol","Amoxicillin","Ibuprofen","Cetirizine","Metformin","Amlodipine","Omeprazole","Azithromycin","Losartan","Vitamin C"},0))</f>
        <v>Antibiotic</v>
      </c>
      <c r="D542" t="str" cm="1">
        <f t="array" aca="1" ref="D542" ca="1">INDEX({"MedSupply Co","HealthCorp","PharmaPlus","GlobalMed"}, RANDBETWEEN(1,4))</f>
        <v>GlobalMed</v>
      </c>
      <c r="E542">
        <f t="shared" ca="1" si="81"/>
        <v>163</v>
      </c>
      <c r="F542">
        <f t="shared" ca="1" si="82"/>
        <v>24</v>
      </c>
      <c r="G542">
        <f t="shared" ca="1" si="83"/>
        <v>1.63</v>
      </c>
      <c r="H542" s="1">
        <f t="shared" ca="1" si="84"/>
        <v>46230</v>
      </c>
      <c r="I542" s="1">
        <f t="shared" ca="1" si="85"/>
        <v>46012</v>
      </c>
      <c r="J542">
        <f t="shared" ca="1" si="86"/>
        <v>265.69</v>
      </c>
      <c r="K542" t="str">
        <f t="shared" ca="1" si="87"/>
        <v>In Stock</v>
      </c>
      <c r="L542" s="2">
        <f t="shared" ca="1" si="88"/>
        <v>111</v>
      </c>
      <c r="M542" t="str">
        <f t="shared" ca="1" si="89"/>
        <v>Safe</v>
      </c>
    </row>
    <row r="543" spans="1:13" x14ac:dyDescent="0.25">
      <c r="A543" t="str">
        <f t="shared" si="80"/>
        <v>M542</v>
      </c>
      <c r="B543" t="str" cm="1">
        <f t="array" aca="1" ref="B543" ca="1">INDEX({"Paracetamol","Amoxicillin","Ibuprofen","Cetirizine","Metformin","Amlodipine","Omeprazole","Azithromycin","Losartan","Vitamin C"}, RANDBETWEEN(1,10))</f>
        <v>Metformin</v>
      </c>
      <c r="C543" t="str" cm="1">
        <f t="array" aca="1" ref="C543" ca="1">INDEX({"Painkiller","Antibiotic","Painkiller","Antihistamine","Diabetes","Hypertension","Antacid","Antibiotic","Hypertension","Supplement"},
MATCH(B543,{"Paracetamol","Amoxicillin","Ibuprofen","Cetirizine","Metformin","Amlodipine","Omeprazole","Azithromycin","Losartan","Vitamin C"},0))</f>
        <v>Diabetes</v>
      </c>
      <c r="D543" t="str" cm="1">
        <f t="array" aca="1" ref="D543" ca="1">INDEX({"MedSupply Co","HealthCorp","PharmaPlus","GlobalMed"}, RANDBETWEEN(1,4))</f>
        <v>GlobalMed</v>
      </c>
      <c r="E543">
        <f t="shared" ca="1" si="81"/>
        <v>93</v>
      </c>
      <c r="F543">
        <f t="shared" ca="1" si="82"/>
        <v>84</v>
      </c>
      <c r="G543">
        <f t="shared" ca="1" si="83"/>
        <v>1.07</v>
      </c>
      <c r="H543" s="1">
        <f t="shared" ca="1" si="84"/>
        <v>46164</v>
      </c>
      <c r="I543" s="1">
        <f t="shared" ca="1" si="85"/>
        <v>46060</v>
      </c>
      <c r="J543">
        <f t="shared" ca="1" si="86"/>
        <v>99.51</v>
      </c>
      <c r="K543" t="str">
        <f t="shared" ca="1" si="87"/>
        <v>In Stock</v>
      </c>
      <c r="L543" s="2">
        <f t="shared" ca="1" si="88"/>
        <v>45</v>
      </c>
      <c r="M543" t="str">
        <f t="shared" ca="1" si="89"/>
        <v>Safe</v>
      </c>
    </row>
    <row r="544" spans="1:13" x14ac:dyDescent="0.25">
      <c r="A544" t="str">
        <f t="shared" si="80"/>
        <v>M543</v>
      </c>
      <c r="B544" t="str" cm="1">
        <f t="array" aca="1" ref="B544" ca="1">INDEX({"Paracetamol","Amoxicillin","Ibuprofen","Cetirizine","Metformin","Amlodipine","Omeprazole","Azithromycin","Losartan","Vitamin C"}, RANDBETWEEN(1,10))</f>
        <v>Omeprazole</v>
      </c>
      <c r="C544" t="str" cm="1">
        <f t="array" aca="1" ref="C544" ca="1">INDEX({"Painkiller","Antibiotic","Painkiller","Antihistamine","Diabetes","Hypertension","Antacid","Antibiotic","Hypertension","Supplement"},
MATCH(B544,{"Paracetamol","Amoxicillin","Ibuprofen","Cetirizine","Metformin","Amlodipine","Omeprazole","Azithromycin","Losartan","Vitamin C"},0))</f>
        <v>Antacid</v>
      </c>
      <c r="D544" t="str" cm="1">
        <f t="array" aca="1" ref="D544" ca="1">INDEX({"MedSupply Co","HealthCorp","PharmaPlus","GlobalMed"}, RANDBETWEEN(1,4))</f>
        <v>MedSupply Co</v>
      </c>
      <c r="E544">
        <f t="shared" ca="1" si="81"/>
        <v>164</v>
      </c>
      <c r="F544">
        <f t="shared" ca="1" si="82"/>
        <v>40</v>
      </c>
      <c r="G544">
        <f t="shared" ca="1" si="83"/>
        <v>1.7</v>
      </c>
      <c r="H544" s="1">
        <f t="shared" ca="1" si="84"/>
        <v>46149</v>
      </c>
      <c r="I544" s="1">
        <f t="shared" ca="1" si="85"/>
        <v>46073</v>
      </c>
      <c r="J544">
        <f t="shared" ca="1" si="86"/>
        <v>278.8</v>
      </c>
      <c r="K544" t="str">
        <f t="shared" ca="1" si="87"/>
        <v>In Stock</v>
      </c>
      <c r="L544" s="2">
        <f t="shared" ca="1" si="88"/>
        <v>30</v>
      </c>
      <c r="M544" t="str">
        <f t="shared" ca="1" si="89"/>
        <v>Expiring Soon</v>
      </c>
    </row>
    <row r="545" spans="1:13" x14ac:dyDescent="0.25">
      <c r="A545" t="str">
        <f t="shared" si="80"/>
        <v>M544</v>
      </c>
      <c r="B545" t="str" cm="1">
        <f t="array" aca="1" ref="B545" ca="1">INDEX({"Paracetamol","Amoxicillin","Ibuprofen","Cetirizine","Metformin","Amlodipine","Omeprazole","Azithromycin","Losartan","Vitamin C"}, RANDBETWEEN(1,10))</f>
        <v>Amoxicillin</v>
      </c>
      <c r="C545" t="str" cm="1">
        <f t="array" aca="1" ref="C545" ca="1">INDEX({"Painkiller","Antibiotic","Painkiller","Antihistamine","Diabetes","Hypertension","Antacid","Antibiotic","Hypertension","Supplement"},
MATCH(B545,{"Paracetamol","Amoxicillin","Ibuprofen","Cetirizine","Metformin","Amlodipine","Omeprazole","Azithromycin","Losartan","Vitamin C"},0))</f>
        <v>Antibiotic</v>
      </c>
      <c r="D545" t="str" cm="1">
        <f t="array" aca="1" ref="D545" ca="1">INDEX({"MedSupply Co","HealthCorp","PharmaPlus","GlobalMed"}, RANDBETWEEN(1,4))</f>
        <v>MedSupply Co</v>
      </c>
      <c r="E545">
        <f t="shared" ca="1" si="81"/>
        <v>33</v>
      </c>
      <c r="F545">
        <f t="shared" ca="1" si="82"/>
        <v>64</v>
      </c>
      <c r="G545">
        <f t="shared" ca="1" si="83"/>
        <v>1.77</v>
      </c>
      <c r="H545" s="1">
        <f t="shared" ca="1" si="84"/>
        <v>46367</v>
      </c>
      <c r="I545" s="1">
        <f t="shared" ca="1" si="85"/>
        <v>45941</v>
      </c>
      <c r="J545">
        <f t="shared" ca="1" si="86"/>
        <v>58.410000000000004</v>
      </c>
      <c r="K545" t="str">
        <f t="shared" ca="1" si="87"/>
        <v>Low Stock</v>
      </c>
      <c r="L545" s="2">
        <f t="shared" ca="1" si="88"/>
        <v>248</v>
      </c>
      <c r="M545" t="str">
        <f t="shared" ca="1" si="89"/>
        <v>Safe</v>
      </c>
    </row>
    <row r="546" spans="1:13" x14ac:dyDescent="0.25">
      <c r="A546" t="str">
        <f t="shared" si="80"/>
        <v>M545</v>
      </c>
      <c r="B546" t="str" cm="1">
        <f t="array" aca="1" ref="B546" ca="1">INDEX({"Paracetamol","Amoxicillin","Ibuprofen","Cetirizine","Metformin","Amlodipine","Omeprazole","Azithromycin","Losartan","Vitamin C"}, RANDBETWEEN(1,10))</f>
        <v>Azithromycin</v>
      </c>
      <c r="C546" t="str" cm="1">
        <f t="array" aca="1" ref="C546" ca="1">INDEX({"Painkiller","Antibiotic","Painkiller","Antihistamine","Diabetes","Hypertension","Antacid","Antibiotic","Hypertension","Supplement"},
MATCH(B546,{"Paracetamol","Amoxicillin","Ibuprofen","Cetirizine","Metformin","Amlodipine","Omeprazole","Azithromycin","Losartan","Vitamin C"},0))</f>
        <v>Antibiotic</v>
      </c>
      <c r="D546" t="str" cm="1">
        <f t="array" aca="1" ref="D546" ca="1">INDEX({"MedSupply Co","HealthCorp","PharmaPlus","GlobalMed"}, RANDBETWEEN(1,4))</f>
        <v>PharmaPlus</v>
      </c>
      <c r="E546">
        <f t="shared" ca="1" si="81"/>
        <v>51</v>
      </c>
      <c r="F546">
        <f t="shared" ca="1" si="82"/>
        <v>29</v>
      </c>
      <c r="G546">
        <f t="shared" ca="1" si="83"/>
        <v>1.38</v>
      </c>
      <c r="H546" s="1">
        <f t="shared" ca="1" si="84"/>
        <v>46236</v>
      </c>
      <c r="I546" s="1">
        <f t="shared" ca="1" si="85"/>
        <v>46071</v>
      </c>
      <c r="J546">
        <f t="shared" ca="1" si="86"/>
        <v>70.38</v>
      </c>
      <c r="K546" t="str">
        <f t="shared" ca="1" si="87"/>
        <v>In Stock</v>
      </c>
      <c r="L546" s="2">
        <f t="shared" ca="1" si="88"/>
        <v>117</v>
      </c>
      <c r="M546" t="str">
        <f t="shared" ca="1" si="89"/>
        <v>Safe</v>
      </c>
    </row>
    <row r="547" spans="1:13" x14ac:dyDescent="0.25">
      <c r="A547" t="str">
        <f t="shared" si="80"/>
        <v>M546</v>
      </c>
      <c r="B547" t="str" cm="1">
        <f t="array" aca="1" ref="B547" ca="1">INDEX({"Paracetamol","Amoxicillin","Ibuprofen","Cetirizine","Metformin","Amlodipine","Omeprazole","Azithromycin","Losartan","Vitamin C"}, RANDBETWEEN(1,10))</f>
        <v>Azithromycin</v>
      </c>
      <c r="C547" t="str" cm="1">
        <f t="array" aca="1" ref="C547" ca="1">INDEX({"Painkiller","Antibiotic","Painkiller","Antihistamine","Diabetes","Hypertension","Antacid","Antibiotic","Hypertension","Supplement"},
MATCH(B547,{"Paracetamol","Amoxicillin","Ibuprofen","Cetirizine","Metformin","Amlodipine","Omeprazole","Azithromycin","Losartan","Vitamin C"},0))</f>
        <v>Antibiotic</v>
      </c>
      <c r="D547" t="str" cm="1">
        <f t="array" aca="1" ref="D547" ca="1">INDEX({"MedSupply Co","HealthCorp","PharmaPlus","GlobalMed"}, RANDBETWEEN(1,4))</f>
        <v>GlobalMed</v>
      </c>
      <c r="E547">
        <f t="shared" ca="1" si="81"/>
        <v>8</v>
      </c>
      <c r="F547">
        <f t="shared" ca="1" si="82"/>
        <v>43</v>
      </c>
      <c r="G547">
        <f t="shared" ca="1" si="83"/>
        <v>1.05</v>
      </c>
      <c r="H547" s="1">
        <f t="shared" ca="1" si="84"/>
        <v>46438</v>
      </c>
      <c r="I547" s="1">
        <f t="shared" ca="1" si="85"/>
        <v>46105</v>
      </c>
      <c r="J547">
        <f t="shared" ca="1" si="86"/>
        <v>8.4</v>
      </c>
      <c r="K547" t="str">
        <f t="shared" ca="1" si="87"/>
        <v>Low Stock</v>
      </c>
      <c r="L547" s="2">
        <f t="shared" ca="1" si="88"/>
        <v>319</v>
      </c>
      <c r="M547" t="str">
        <f t="shared" ca="1" si="89"/>
        <v>Safe</v>
      </c>
    </row>
    <row r="548" spans="1:13" x14ac:dyDescent="0.25">
      <c r="A548" t="str">
        <f t="shared" si="80"/>
        <v>M547</v>
      </c>
      <c r="B548" t="str" cm="1">
        <f t="array" aca="1" ref="B548" ca="1">INDEX({"Paracetamol","Amoxicillin","Ibuprofen","Cetirizine","Metformin","Amlodipine","Omeprazole","Azithromycin","Losartan","Vitamin C"}, RANDBETWEEN(1,10))</f>
        <v>Paracetamol</v>
      </c>
      <c r="C548" t="str" cm="1">
        <f t="array" aca="1" ref="C548" ca="1">INDEX({"Painkiller","Antibiotic","Painkiller","Antihistamine","Diabetes","Hypertension","Antacid","Antibiotic","Hypertension","Supplement"},
MATCH(B548,{"Paracetamol","Amoxicillin","Ibuprofen","Cetirizine","Metformin","Amlodipine","Omeprazole","Azithromycin","Losartan","Vitamin C"},0))</f>
        <v>Painkiller</v>
      </c>
      <c r="D548" t="str" cm="1">
        <f t="array" aca="1" ref="D548" ca="1">INDEX({"MedSupply Co","HealthCorp","PharmaPlus","GlobalMed"}, RANDBETWEEN(1,4))</f>
        <v>MedSupply Co</v>
      </c>
      <c r="E548">
        <f t="shared" ca="1" si="81"/>
        <v>10</v>
      </c>
      <c r="F548">
        <f t="shared" ca="1" si="82"/>
        <v>93</v>
      </c>
      <c r="G548">
        <f t="shared" ca="1" si="83"/>
        <v>0.69</v>
      </c>
      <c r="H548" s="1">
        <f t="shared" ca="1" si="84"/>
        <v>46436</v>
      </c>
      <c r="I548" s="1">
        <f t="shared" ca="1" si="85"/>
        <v>45940</v>
      </c>
      <c r="J548">
        <f t="shared" ca="1" si="86"/>
        <v>6.8999999999999995</v>
      </c>
      <c r="K548" t="str">
        <f t="shared" ca="1" si="87"/>
        <v>Low Stock</v>
      </c>
      <c r="L548" s="2">
        <f t="shared" ca="1" si="88"/>
        <v>317</v>
      </c>
      <c r="M548" t="str">
        <f t="shared" ca="1" si="89"/>
        <v>Safe</v>
      </c>
    </row>
    <row r="549" spans="1:13" x14ac:dyDescent="0.25">
      <c r="A549" t="str">
        <f t="shared" si="80"/>
        <v>M548</v>
      </c>
      <c r="B549" t="str" cm="1">
        <f t="array" aca="1" ref="B549" ca="1">INDEX({"Paracetamol","Amoxicillin","Ibuprofen","Cetirizine","Metformin","Amlodipine","Omeprazole","Azithromycin","Losartan","Vitamin C"}, RANDBETWEEN(1,10))</f>
        <v>Amlodipine</v>
      </c>
      <c r="C549" t="str" cm="1">
        <f t="array" aca="1" ref="C549" ca="1">INDEX({"Painkiller","Antibiotic","Painkiller","Antihistamine","Diabetes","Hypertension","Antacid","Antibiotic","Hypertension","Supplement"},
MATCH(B549,{"Paracetamol","Amoxicillin","Ibuprofen","Cetirizine","Metformin","Amlodipine","Omeprazole","Azithromycin","Losartan","Vitamin C"},0))</f>
        <v>Hypertension</v>
      </c>
      <c r="D549" t="str" cm="1">
        <f t="array" aca="1" ref="D549" ca="1">INDEX({"MedSupply Co","HealthCorp","PharmaPlus","GlobalMed"}, RANDBETWEEN(1,4))</f>
        <v>PharmaPlus</v>
      </c>
      <c r="E549">
        <f t="shared" ca="1" si="81"/>
        <v>116</v>
      </c>
      <c r="F549">
        <f t="shared" ca="1" si="82"/>
        <v>26</v>
      </c>
      <c r="G549">
        <f t="shared" ca="1" si="83"/>
        <v>1.05</v>
      </c>
      <c r="H549" s="1">
        <f t="shared" ca="1" si="84"/>
        <v>46250</v>
      </c>
      <c r="I549" s="1">
        <f t="shared" ca="1" si="85"/>
        <v>45996</v>
      </c>
      <c r="J549">
        <f t="shared" ca="1" si="86"/>
        <v>121.80000000000001</v>
      </c>
      <c r="K549" t="str">
        <f t="shared" ca="1" si="87"/>
        <v>In Stock</v>
      </c>
      <c r="L549" s="2">
        <f t="shared" ca="1" si="88"/>
        <v>131</v>
      </c>
      <c r="M549" t="str">
        <f t="shared" ca="1" si="89"/>
        <v>Safe</v>
      </c>
    </row>
    <row r="550" spans="1:13" x14ac:dyDescent="0.25">
      <c r="A550" t="str">
        <f t="shared" si="80"/>
        <v>M549</v>
      </c>
      <c r="B550" t="str" cm="1">
        <f t="array" aca="1" ref="B550" ca="1">INDEX({"Paracetamol","Amoxicillin","Ibuprofen","Cetirizine","Metformin","Amlodipine","Omeprazole","Azithromycin","Losartan","Vitamin C"}, RANDBETWEEN(1,10))</f>
        <v>Ibuprofen</v>
      </c>
      <c r="C550" t="str" cm="1">
        <f t="array" aca="1" ref="C550" ca="1">INDEX({"Painkiller","Antibiotic","Painkiller","Antihistamine","Diabetes","Hypertension","Antacid","Antibiotic","Hypertension","Supplement"},
MATCH(B550,{"Paracetamol","Amoxicillin","Ibuprofen","Cetirizine","Metformin","Amlodipine","Omeprazole","Azithromycin","Losartan","Vitamin C"},0))</f>
        <v>Painkiller</v>
      </c>
      <c r="D550" t="str" cm="1">
        <f t="array" aca="1" ref="D550" ca="1">INDEX({"MedSupply Co","HealthCorp","PharmaPlus","GlobalMed"}, RANDBETWEEN(1,4))</f>
        <v>MedSupply Co</v>
      </c>
      <c r="E550">
        <f t="shared" ca="1" si="81"/>
        <v>154</v>
      </c>
      <c r="F550">
        <f t="shared" ca="1" si="82"/>
        <v>38</v>
      </c>
      <c r="G550">
        <f t="shared" ca="1" si="83"/>
        <v>1.89</v>
      </c>
      <c r="H550" s="1">
        <f t="shared" ca="1" si="84"/>
        <v>46406</v>
      </c>
      <c r="I550" s="1">
        <f t="shared" ca="1" si="85"/>
        <v>46088</v>
      </c>
      <c r="J550">
        <f t="shared" ca="1" si="86"/>
        <v>291.06</v>
      </c>
      <c r="K550" t="str">
        <f t="shared" ca="1" si="87"/>
        <v>In Stock</v>
      </c>
      <c r="L550" s="2">
        <f t="shared" ca="1" si="88"/>
        <v>287</v>
      </c>
      <c r="M550" t="str">
        <f t="shared" ca="1" si="89"/>
        <v>Safe</v>
      </c>
    </row>
    <row r="551" spans="1:13" x14ac:dyDescent="0.25">
      <c r="A551" t="str">
        <f t="shared" si="80"/>
        <v>M550</v>
      </c>
      <c r="B551" t="str" cm="1">
        <f t="array" aca="1" ref="B551" ca="1">INDEX({"Paracetamol","Amoxicillin","Ibuprofen","Cetirizine","Metformin","Amlodipine","Omeprazole","Azithromycin","Losartan","Vitamin C"}, RANDBETWEEN(1,10))</f>
        <v>Losartan</v>
      </c>
      <c r="C551" t="str" cm="1">
        <f t="array" aca="1" ref="C551" ca="1">INDEX({"Painkiller","Antibiotic","Painkiller","Antihistamine","Diabetes","Hypertension","Antacid","Antibiotic","Hypertension","Supplement"},
MATCH(B551,{"Paracetamol","Amoxicillin","Ibuprofen","Cetirizine","Metformin","Amlodipine","Omeprazole","Azithromycin","Losartan","Vitamin C"},0))</f>
        <v>Hypertension</v>
      </c>
      <c r="D551" t="str" cm="1">
        <f t="array" aca="1" ref="D551" ca="1">INDEX({"MedSupply Co","HealthCorp","PharmaPlus","GlobalMed"}, RANDBETWEEN(1,4))</f>
        <v>MedSupply Co</v>
      </c>
      <c r="E551">
        <f t="shared" ca="1" si="81"/>
        <v>145</v>
      </c>
      <c r="F551">
        <f t="shared" ca="1" si="82"/>
        <v>26</v>
      </c>
      <c r="G551">
        <f t="shared" ca="1" si="83"/>
        <v>1</v>
      </c>
      <c r="H551" s="1">
        <f t="shared" ca="1" si="84"/>
        <v>46274</v>
      </c>
      <c r="I551" s="1">
        <f t="shared" ca="1" si="85"/>
        <v>46068</v>
      </c>
      <c r="J551">
        <f t="shared" ca="1" si="86"/>
        <v>145</v>
      </c>
      <c r="K551" t="str">
        <f t="shared" ca="1" si="87"/>
        <v>In Stock</v>
      </c>
      <c r="L551" s="2">
        <f t="shared" ca="1" si="88"/>
        <v>155</v>
      </c>
      <c r="M551" t="str">
        <f t="shared" ca="1" si="89"/>
        <v>Safe</v>
      </c>
    </row>
    <row r="552" spans="1:13" x14ac:dyDescent="0.25">
      <c r="A552" t="str">
        <f t="shared" si="80"/>
        <v>M551</v>
      </c>
      <c r="B552" t="str" cm="1">
        <f t="array" aca="1" ref="B552" ca="1">INDEX({"Paracetamol","Amoxicillin","Ibuprofen","Cetirizine","Metformin","Amlodipine","Omeprazole","Azithromycin","Losartan","Vitamin C"}, RANDBETWEEN(1,10))</f>
        <v>Amlodipine</v>
      </c>
      <c r="C552" t="str" cm="1">
        <f t="array" aca="1" ref="C552" ca="1">INDEX({"Painkiller","Antibiotic","Painkiller","Antihistamine","Diabetes","Hypertension","Antacid","Antibiotic","Hypertension","Supplement"},
MATCH(B552,{"Paracetamol","Amoxicillin","Ibuprofen","Cetirizine","Metformin","Amlodipine","Omeprazole","Azithromycin","Losartan","Vitamin C"},0))</f>
        <v>Hypertension</v>
      </c>
      <c r="D552" t="str" cm="1">
        <f t="array" aca="1" ref="D552" ca="1">INDEX({"MedSupply Co","HealthCorp","PharmaPlus","GlobalMed"}, RANDBETWEEN(1,4))</f>
        <v>HealthCorp</v>
      </c>
      <c r="E552">
        <f t="shared" ca="1" si="81"/>
        <v>57</v>
      </c>
      <c r="F552">
        <f t="shared" ca="1" si="82"/>
        <v>100</v>
      </c>
      <c r="G552">
        <f t="shared" ca="1" si="83"/>
        <v>1.89</v>
      </c>
      <c r="H552" s="1">
        <f t="shared" ca="1" si="84"/>
        <v>46333</v>
      </c>
      <c r="I552" s="1">
        <f t="shared" ca="1" si="85"/>
        <v>46062</v>
      </c>
      <c r="J552">
        <f t="shared" ca="1" si="86"/>
        <v>107.72999999999999</v>
      </c>
      <c r="K552" t="str">
        <f t="shared" ca="1" si="87"/>
        <v>Low Stock</v>
      </c>
      <c r="L552" s="2">
        <f t="shared" ca="1" si="88"/>
        <v>214</v>
      </c>
      <c r="M552" t="str">
        <f t="shared" ca="1" si="89"/>
        <v>Safe</v>
      </c>
    </row>
    <row r="553" spans="1:13" x14ac:dyDescent="0.25">
      <c r="A553" t="str">
        <f t="shared" si="80"/>
        <v>M552</v>
      </c>
      <c r="B553" t="str" cm="1">
        <f t="array" aca="1" ref="B553" ca="1">INDEX({"Paracetamol","Amoxicillin","Ibuprofen","Cetirizine","Metformin","Amlodipine","Omeprazole","Azithromycin","Losartan","Vitamin C"}, RANDBETWEEN(1,10))</f>
        <v>Cetirizine</v>
      </c>
      <c r="C553" t="str" cm="1">
        <f t="array" aca="1" ref="C553" ca="1">INDEX({"Painkiller","Antibiotic","Painkiller","Antihistamine","Diabetes","Hypertension","Antacid","Antibiotic","Hypertension","Supplement"},
MATCH(B553,{"Paracetamol","Amoxicillin","Ibuprofen","Cetirizine","Metformin","Amlodipine","Omeprazole","Azithromycin","Losartan","Vitamin C"},0))</f>
        <v>Antihistamine</v>
      </c>
      <c r="D553" t="str" cm="1">
        <f t="array" aca="1" ref="D553" ca="1">INDEX({"MedSupply Co","HealthCorp","PharmaPlus","GlobalMed"}, RANDBETWEEN(1,4))</f>
        <v>GlobalMed</v>
      </c>
      <c r="E553">
        <f t="shared" ca="1" si="81"/>
        <v>151</v>
      </c>
      <c r="F553">
        <f t="shared" ca="1" si="82"/>
        <v>31</v>
      </c>
      <c r="G553">
        <f t="shared" ca="1" si="83"/>
        <v>0.66</v>
      </c>
      <c r="H553" s="1">
        <f t="shared" ca="1" si="84"/>
        <v>46240</v>
      </c>
      <c r="I553" s="1">
        <f t="shared" ca="1" si="85"/>
        <v>45954</v>
      </c>
      <c r="J553">
        <f t="shared" ca="1" si="86"/>
        <v>99.660000000000011</v>
      </c>
      <c r="K553" t="str">
        <f t="shared" ca="1" si="87"/>
        <v>In Stock</v>
      </c>
      <c r="L553" s="2">
        <f t="shared" ca="1" si="88"/>
        <v>121</v>
      </c>
      <c r="M553" t="str">
        <f t="shared" ca="1" si="89"/>
        <v>Safe</v>
      </c>
    </row>
    <row r="554" spans="1:13" x14ac:dyDescent="0.25">
      <c r="A554" t="str">
        <f t="shared" si="80"/>
        <v>M553</v>
      </c>
      <c r="B554" t="str" cm="1">
        <f t="array" aca="1" ref="B554" ca="1">INDEX({"Paracetamol","Amoxicillin","Ibuprofen","Cetirizine","Metformin","Amlodipine","Omeprazole","Azithromycin","Losartan","Vitamin C"}, RANDBETWEEN(1,10))</f>
        <v>Omeprazole</v>
      </c>
      <c r="C554" t="str" cm="1">
        <f t="array" aca="1" ref="C554" ca="1">INDEX({"Painkiller","Antibiotic","Painkiller","Antihistamine","Diabetes","Hypertension","Antacid","Antibiotic","Hypertension","Supplement"},
MATCH(B554,{"Paracetamol","Amoxicillin","Ibuprofen","Cetirizine","Metformin","Amlodipine","Omeprazole","Azithromycin","Losartan","Vitamin C"},0))</f>
        <v>Antacid</v>
      </c>
      <c r="D554" t="str" cm="1">
        <f t="array" aca="1" ref="D554" ca="1">INDEX({"MedSupply Co","HealthCorp","PharmaPlus","GlobalMed"}, RANDBETWEEN(1,4))</f>
        <v>GlobalMed</v>
      </c>
      <c r="E554">
        <f t="shared" ca="1" si="81"/>
        <v>101</v>
      </c>
      <c r="F554">
        <f t="shared" ca="1" si="82"/>
        <v>53</v>
      </c>
      <c r="G554">
        <f t="shared" ca="1" si="83"/>
        <v>1.39</v>
      </c>
      <c r="H554" s="1">
        <f t="shared" ca="1" si="84"/>
        <v>46382</v>
      </c>
      <c r="I554" s="1">
        <f t="shared" ca="1" si="85"/>
        <v>45962</v>
      </c>
      <c r="J554">
        <f t="shared" ca="1" si="86"/>
        <v>140.38999999999999</v>
      </c>
      <c r="K554" t="str">
        <f t="shared" ca="1" si="87"/>
        <v>In Stock</v>
      </c>
      <c r="L554" s="2">
        <f t="shared" ca="1" si="88"/>
        <v>263</v>
      </c>
      <c r="M554" t="str">
        <f t="shared" ca="1" si="89"/>
        <v>Safe</v>
      </c>
    </row>
    <row r="555" spans="1:13" x14ac:dyDescent="0.25">
      <c r="A555" t="str">
        <f t="shared" si="80"/>
        <v>M554</v>
      </c>
      <c r="B555" t="str" cm="1">
        <f t="array" aca="1" ref="B555" ca="1">INDEX({"Paracetamol","Amoxicillin","Ibuprofen","Cetirizine","Metformin","Amlodipine","Omeprazole","Azithromycin","Losartan","Vitamin C"}, RANDBETWEEN(1,10))</f>
        <v>Omeprazole</v>
      </c>
      <c r="C555" t="str" cm="1">
        <f t="array" aca="1" ref="C555" ca="1">INDEX({"Painkiller","Antibiotic","Painkiller","Antihistamine","Diabetes","Hypertension","Antacid","Antibiotic","Hypertension","Supplement"},
MATCH(B555,{"Paracetamol","Amoxicillin","Ibuprofen","Cetirizine","Metformin","Amlodipine","Omeprazole","Azithromycin","Losartan","Vitamin C"},0))</f>
        <v>Antacid</v>
      </c>
      <c r="D555" t="str" cm="1">
        <f t="array" aca="1" ref="D555" ca="1">INDEX({"MedSupply Co","HealthCorp","PharmaPlus","GlobalMed"}, RANDBETWEEN(1,4))</f>
        <v>PharmaPlus</v>
      </c>
      <c r="E555">
        <f t="shared" ca="1" si="81"/>
        <v>66</v>
      </c>
      <c r="F555">
        <f t="shared" ca="1" si="82"/>
        <v>38</v>
      </c>
      <c r="G555">
        <f t="shared" ca="1" si="83"/>
        <v>1.85</v>
      </c>
      <c r="H555" s="1">
        <f t="shared" ca="1" si="84"/>
        <v>46266</v>
      </c>
      <c r="I555" s="1">
        <f t="shared" ca="1" si="85"/>
        <v>46064</v>
      </c>
      <c r="J555">
        <f t="shared" ca="1" si="86"/>
        <v>122.10000000000001</v>
      </c>
      <c r="K555" t="str">
        <f t="shared" ca="1" si="87"/>
        <v>In Stock</v>
      </c>
      <c r="L555" s="2">
        <f t="shared" ca="1" si="88"/>
        <v>147</v>
      </c>
      <c r="M555" t="str">
        <f t="shared" ca="1" si="89"/>
        <v>Safe</v>
      </c>
    </row>
    <row r="556" spans="1:13" x14ac:dyDescent="0.25">
      <c r="A556" t="str">
        <f t="shared" si="80"/>
        <v>M555</v>
      </c>
      <c r="B556" t="str" cm="1">
        <f t="array" aca="1" ref="B556" ca="1">INDEX({"Paracetamol","Amoxicillin","Ibuprofen","Cetirizine","Metformin","Amlodipine","Omeprazole","Azithromycin","Losartan","Vitamin C"}, RANDBETWEEN(1,10))</f>
        <v>Losartan</v>
      </c>
      <c r="C556" t="str" cm="1">
        <f t="array" aca="1" ref="C556" ca="1">INDEX({"Painkiller","Antibiotic","Painkiller","Antihistamine","Diabetes","Hypertension","Antacid","Antibiotic","Hypertension","Supplement"},
MATCH(B556,{"Paracetamol","Amoxicillin","Ibuprofen","Cetirizine","Metformin","Amlodipine","Omeprazole","Azithromycin","Losartan","Vitamin C"},0))</f>
        <v>Hypertension</v>
      </c>
      <c r="D556" t="str" cm="1">
        <f t="array" aca="1" ref="D556" ca="1">INDEX({"MedSupply Co","HealthCorp","PharmaPlus","GlobalMed"}, RANDBETWEEN(1,4))</f>
        <v>GlobalMed</v>
      </c>
      <c r="E556">
        <f t="shared" ca="1" si="81"/>
        <v>150</v>
      </c>
      <c r="F556">
        <f t="shared" ca="1" si="82"/>
        <v>87</v>
      </c>
      <c r="G556">
        <f t="shared" ca="1" si="83"/>
        <v>1.08</v>
      </c>
      <c r="H556" s="1">
        <f t="shared" ca="1" si="84"/>
        <v>46242</v>
      </c>
      <c r="I556" s="1">
        <f t="shared" ca="1" si="85"/>
        <v>45975</v>
      </c>
      <c r="J556">
        <f t="shared" ca="1" si="86"/>
        <v>162</v>
      </c>
      <c r="K556" t="str">
        <f t="shared" ca="1" si="87"/>
        <v>In Stock</v>
      </c>
      <c r="L556" s="2">
        <f t="shared" ca="1" si="88"/>
        <v>123</v>
      </c>
      <c r="M556" t="str">
        <f t="shared" ca="1" si="89"/>
        <v>Safe</v>
      </c>
    </row>
    <row r="557" spans="1:13" x14ac:dyDescent="0.25">
      <c r="A557" t="str">
        <f t="shared" si="80"/>
        <v>M556</v>
      </c>
      <c r="B557" t="str" cm="1">
        <f t="array" aca="1" ref="B557" ca="1">INDEX({"Paracetamol","Amoxicillin","Ibuprofen","Cetirizine","Metformin","Amlodipine","Omeprazole","Azithromycin","Losartan","Vitamin C"}, RANDBETWEEN(1,10))</f>
        <v>Cetirizine</v>
      </c>
      <c r="C557" t="str" cm="1">
        <f t="array" aca="1" ref="C557" ca="1">INDEX({"Painkiller","Antibiotic","Painkiller","Antihistamine","Diabetes","Hypertension","Antacid","Antibiotic","Hypertension","Supplement"},
MATCH(B557,{"Paracetamol","Amoxicillin","Ibuprofen","Cetirizine","Metformin","Amlodipine","Omeprazole","Azithromycin","Losartan","Vitamin C"},0))</f>
        <v>Antihistamine</v>
      </c>
      <c r="D557" t="str" cm="1">
        <f t="array" aca="1" ref="D557" ca="1">INDEX({"MedSupply Co","HealthCorp","PharmaPlus","GlobalMed"}, RANDBETWEEN(1,4))</f>
        <v>GlobalMed</v>
      </c>
      <c r="E557">
        <f t="shared" ca="1" si="81"/>
        <v>52</v>
      </c>
      <c r="F557">
        <f t="shared" ca="1" si="82"/>
        <v>74</v>
      </c>
      <c r="G557">
        <f t="shared" ca="1" si="83"/>
        <v>1.3</v>
      </c>
      <c r="H557" s="1">
        <f t="shared" ca="1" si="84"/>
        <v>46302</v>
      </c>
      <c r="I557" s="1">
        <f t="shared" ca="1" si="85"/>
        <v>46008</v>
      </c>
      <c r="J557">
        <f t="shared" ca="1" si="86"/>
        <v>67.600000000000009</v>
      </c>
      <c r="K557" t="str">
        <f t="shared" ca="1" si="87"/>
        <v>Low Stock</v>
      </c>
      <c r="L557" s="2">
        <f t="shared" ca="1" si="88"/>
        <v>183</v>
      </c>
      <c r="M557" t="str">
        <f t="shared" ca="1" si="89"/>
        <v>Safe</v>
      </c>
    </row>
    <row r="558" spans="1:13" x14ac:dyDescent="0.25">
      <c r="A558" t="str">
        <f t="shared" si="80"/>
        <v>M557</v>
      </c>
      <c r="B558" t="str" cm="1">
        <f t="array" aca="1" ref="B558" ca="1">INDEX({"Paracetamol","Amoxicillin","Ibuprofen","Cetirizine","Metformin","Amlodipine","Omeprazole","Azithromycin","Losartan","Vitamin C"}, RANDBETWEEN(1,10))</f>
        <v>Vitamin C</v>
      </c>
      <c r="C558" t="str" cm="1">
        <f t="array" aca="1" ref="C558" ca="1">INDEX({"Painkiller","Antibiotic","Painkiller","Antihistamine","Diabetes","Hypertension","Antacid","Antibiotic","Hypertension","Supplement"},
MATCH(B558,{"Paracetamol","Amoxicillin","Ibuprofen","Cetirizine","Metformin","Amlodipine","Omeprazole","Azithromycin","Losartan","Vitamin C"},0))</f>
        <v>Supplement</v>
      </c>
      <c r="D558" t="str" cm="1">
        <f t="array" aca="1" ref="D558" ca="1">INDEX({"MedSupply Co","HealthCorp","PharmaPlus","GlobalMed"}, RANDBETWEEN(1,4))</f>
        <v>HealthCorp</v>
      </c>
      <c r="E558">
        <f t="shared" ca="1" si="81"/>
        <v>121</v>
      </c>
      <c r="F558">
        <f t="shared" ca="1" si="82"/>
        <v>34</v>
      </c>
      <c r="G558">
        <f t="shared" ca="1" si="83"/>
        <v>0.71</v>
      </c>
      <c r="H558" s="1">
        <f t="shared" ca="1" si="84"/>
        <v>46221</v>
      </c>
      <c r="I558" s="1">
        <f t="shared" ca="1" si="85"/>
        <v>46038</v>
      </c>
      <c r="J558">
        <f t="shared" ca="1" si="86"/>
        <v>85.91</v>
      </c>
      <c r="K558" t="str">
        <f t="shared" ca="1" si="87"/>
        <v>In Stock</v>
      </c>
      <c r="L558" s="2">
        <f t="shared" ca="1" si="88"/>
        <v>102</v>
      </c>
      <c r="M558" t="str">
        <f t="shared" ca="1" si="89"/>
        <v>Safe</v>
      </c>
    </row>
    <row r="559" spans="1:13" x14ac:dyDescent="0.25">
      <c r="A559" t="str">
        <f t="shared" si="80"/>
        <v>M558</v>
      </c>
      <c r="B559" t="str" cm="1">
        <f t="array" aca="1" ref="B559" ca="1">INDEX({"Paracetamol","Amoxicillin","Ibuprofen","Cetirizine","Metformin","Amlodipine","Omeprazole","Azithromycin","Losartan","Vitamin C"}, RANDBETWEEN(1,10))</f>
        <v>Amlodipine</v>
      </c>
      <c r="C559" t="str" cm="1">
        <f t="array" aca="1" ref="C559" ca="1">INDEX({"Painkiller","Antibiotic","Painkiller","Antihistamine","Diabetes","Hypertension","Antacid","Antibiotic","Hypertension","Supplement"},
MATCH(B559,{"Paracetamol","Amoxicillin","Ibuprofen","Cetirizine","Metformin","Amlodipine","Omeprazole","Azithromycin","Losartan","Vitamin C"},0))</f>
        <v>Hypertension</v>
      </c>
      <c r="D559" t="str" cm="1">
        <f t="array" aca="1" ref="D559" ca="1">INDEX({"MedSupply Co","HealthCorp","PharmaPlus","GlobalMed"}, RANDBETWEEN(1,4))</f>
        <v>PharmaPlus</v>
      </c>
      <c r="E559">
        <f t="shared" ca="1" si="81"/>
        <v>114</v>
      </c>
      <c r="F559">
        <f t="shared" ca="1" si="82"/>
        <v>93</v>
      </c>
      <c r="G559">
        <f t="shared" ca="1" si="83"/>
        <v>0.78</v>
      </c>
      <c r="H559" s="1">
        <f t="shared" ca="1" si="84"/>
        <v>46406</v>
      </c>
      <c r="I559" s="1">
        <f t="shared" ca="1" si="85"/>
        <v>46083</v>
      </c>
      <c r="J559">
        <f t="shared" ca="1" si="86"/>
        <v>88.92</v>
      </c>
      <c r="K559" t="str">
        <f t="shared" ca="1" si="87"/>
        <v>In Stock</v>
      </c>
      <c r="L559" s="2">
        <f t="shared" ca="1" si="88"/>
        <v>287</v>
      </c>
      <c r="M559" t="str">
        <f t="shared" ca="1" si="89"/>
        <v>Safe</v>
      </c>
    </row>
    <row r="560" spans="1:13" x14ac:dyDescent="0.25">
      <c r="A560" t="str">
        <f t="shared" si="80"/>
        <v>M559</v>
      </c>
      <c r="B560" t="str" cm="1">
        <f t="array" aca="1" ref="B560" ca="1">INDEX({"Paracetamol","Amoxicillin","Ibuprofen","Cetirizine","Metformin","Amlodipine","Omeprazole","Azithromycin","Losartan","Vitamin C"}, RANDBETWEEN(1,10))</f>
        <v>Cetirizine</v>
      </c>
      <c r="C560" t="str" cm="1">
        <f t="array" aca="1" ref="C560" ca="1">INDEX({"Painkiller","Antibiotic","Painkiller","Antihistamine","Diabetes","Hypertension","Antacid","Antibiotic","Hypertension","Supplement"},
MATCH(B560,{"Paracetamol","Amoxicillin","Ibuprofen","Cetirizine","Metformin","Amlodipine","Omeprazole","Azithromycin","Losartan","Vitamin C"},0))</f>
        <v>Antihistamine</v>
      </c>
      <c r="D560" t="str" cm="1">
        <f t="array" aca="1" ref="D560" ca="1">INDEX({"MedSupply Co","HealthCorp","PharmaPlus","GlobalMed"}, RANDBETWEEN(1,4))</f>
        <v>GlobalMed</v>
      </c>
      <c r="E560">
        <f t="shared" ca="1" si="81"/>
        <v>3</v>
      </c>
      <c r="F560">
        <f t="shared" ca="1" si="82"/>
        <v>92</v>
      </c>
      <c r="G560">
        <f t="shared" ca="1" si="83"/>
        <v>2</v>
      </c>
      <c r="H560" s="1">
        <f t="shared" ca="1" si="84"/>
        <v>46196</v>
      </c>
      <c r="I560" s="1">
        <f t="shared" ca="1" si="85"/>
        <v>46116</v>
      </c>
      <c r="J560">
        <f t="shared" ca="1" si="86"/>
        <v>6</v>
      </c>
      <c r="K560" t="str">
        <f t="shared" ca="1" si="87"/>
        <v>Low Stock</v>
      </c>
      <c r="L560" s="2">
        <f t="shared" ca="1" si="88"/>
        <v>77</v>
      </c>
      <c r="M560" t="str">
        <f t="shared" ca="1" si="89"/>
        <v>Safe</v>
      </c>
    </row>
    <row r="561" spans="1:13" x14ac:dyDescent="0.25">
      <c r="A561" t="str">
        <f t="shared" si="80"/>
        <v>M560</v>
      </c>
      <c r="B561" t="str" cm="1">
        <f t="array" aca="1" ref="B561" ca="1">INDEX({"Paracetamol","Amoxicillin","Ibuprofen","Cetirizine","Metformin","Amlodipine","Omeprazole","Azithromycin","Losartan","Vitamin C"}, RANDBETWEEN(1,10))</f>
        <v>Omeprazole</v>
      </c>
      <c r="C561" t="str" cm="1">
        <f t="array" aca="1" ref="C561" ca="1">INDEX({"Painkiller","Antibiotic","Painkiller","Antihistamine","Diabetes","Hypertension","Antacid","Antibiotic","Hypertension","Supplement"},
MATCH(B561,{"Paracetamol","Amoxicillin","Ibuprofen","Cetirizine","Metformin","Amlodipine","Omeprazole","Azithromycin","Losartan","Vitamin C"},0))</f>
        <v>Antacid</v>
      </c>
      <c r="D561" t="str" cm="1">
        <f t="array" aca="1" ref="D561" ca="1">INDEX({"MedSupply Co","HealthCorp","PharmaPlus","GlobalMed"}, RANDBETWEEN(1,4))</f>
        <v>GlobalMed</v>
      </c>
      <c r="E561">
        <f t="shared" ca="1" si="81"/>
        <v>90</v>
      </c>
      <c r="F561">
        <f t="shared" ca="1" si="82"/>
        <v>41</v>
      </c>
      <c r="G561">
        <f t="shared" ca="1" si="83"/>
        <v>1.28</v>
      </c>
      <c r="H561" s="1">
        <f t="shared" ca="1" si="84"/>
        <v>46353</v>
      </c>
      <c r="I561" s="1">
        <f t="shared" ca="1" si="85"/>
        <v>46003</v>
      </c>
      <c r="J561">
        <f t="shared" ca="1" si="86"/>
        <v>115.2</v>
      </c>
      <c r="K561" t="str">
        <f t="shared" ca="1" si="87"/>
        <v>In Stock</v>
      </c>
      <c r="L561" s="2">
        <f t="shared" ca="1" si="88"/>
        <v>234</v>
      </c>
      <c r="M561" t="str">
        <f t="shared" ca="1" si="89"/>
        <v>Safe</v>
      </c>
    </row>
    <row r="562" spans="1:13" x14ac:dyDescent="0.25">
      <c r="A562" t="str">
        <f t="shared" si="80"/>
        <v>M561</v>
      </c>
      <c r="B562" t="str" cm="1">
        <f t="array" aca="1" ref="B562" ca="1">INDEX({"Paracetamol","Amoxicillin","Ibuprofen","Cetirizine","Metformin","Amlodipine","Omeprazole","Azithromycin","Losartan","Vitamin C"}, RANDBETWEEN(1,10))</f>
        <v>Paracetamol</v>
      </c>
      <c r="C562" t="str" cm="1">
        <f t="array" aca="1" ref="C562" ca="1">INDEX({"Painkiller","Antibiotic","Painkiller","Antihistamine","Diabetes","Hypertension","Antacid","Antibiotic","Hypertension","Supplement"},
MATCH(B562,{"Paracetamol","Amoxicillin","Ibuprofen","Cetirizine","Metformin","Amlodipine","Omeprazole","Azithromycin","Losartan","Vitamin C"},0))</f>
        <v>Painkiller</v>
      </c>
      <c r="D562" t="str" cm="1">
        <f t="array" aca="1" ref="D562" ca="1">INDEX({"MedSupply Co","HealthCorp","PharmaPlus","GlobalMed"}, RANDBETWEEN(1,4))</f>
        <v>PharmaPlus</v>
      </c>
      <c r="E562">
        <f t="shared" ca="1" si="81"/>
        <v>166</v>
      </c>
      <c r="F562">
        <f t="shared" ca="1" si="82"/>
        <v>94</v>
      </c>
      <c r="G562">
        <f t="shared" ca="1" si="83"/>
        <v>1.07</v>
      </c>
      <c r="H562" s="1">
        <f t="shared" ca="1" si="84"/>
        <v>46411</v>
      </c>
      <c r="I562" s="1">
        <f t="shared" ca="1" si="85"/>
        <v>46057</v>
      </c>
      <c r="J562">
        <f t="shared" ca="1" si="86"/>
        <v>177.62</v>
      </c>
      <c r="K562" t="str">
        <f t="shared" ca="1" si="87"/>
        <v>In Stock</v>
      </c>
      <c r="L562" s="2">
        <f t="shared" ca="1" si="88"/>
        <v>292</v>
      </c>
      <c r="M562" t="str">
        <f t="shared" ca="1" si="89"/>
        <v>Safe</v>
      </c>
    </row>
    <row r="563" spans="1:13" x14ac:dyDescent="0.25">
      <c r="A563" t="str">
        <f t="shared" si="80"/>
        <v>M562</v>
      </c>
      <c r="B563" t="str" cm="1">
        <f t="array" aca="1" ref="B563" ca="1">INDEX({"Paracetamol","Amoxicillin","Ibuprofen","Cetirizine","Metformin","Amlodipine","Omeprazole","Azithromycin","Losartan","Vitamin C"}, RANDBETWEEN(1,10))</f>
        <v>Cetirizine</v>
      </c>
      <c r="C563" t="str" cm="1">
        <f t="array" aca="1" ref="C563" ca="1">INDEX({"Painkiller","Antibiotic","Painkiller","Antihistamine","Diabetes","Hypertension","Antacid","Antibiotic","Hypertension","Supplement"},
MATCH(B563,{"Paracetamol","Amoxicillin","Ibuprofen","Cetirizine","Metformin","Amlodipine","Omeprazole","Azithromycin","Losartan","Vitamin C"},0))</f>
        <v>Antihistamine</v>
      </c>
      <c r="D563" t="str" cm="1">
        <f t="array" aca="1" ref="D563" ca="1">INDEX({"MedSupply Co","HealthCorp","PharmaPlus","GlobalMed"}, RANDBETWEEN(1,4))</f>
        <v>HealthCorp</v>
      </c>
      <c r="E563">
        <f t="shared" ca="1" si="81"/>
        <v>101</v>
      </c>
      <c r="F563">
        <f t="shared" ca="1" si="82"/>
        <v>31</v>
      </c>
      <c r="G563">
        <f t="shared" ca="1" si="83"/>
        <v>1.65</v>
      </c>
      <c r="H563" s="1">
        <f t="shared" ca="1" si="84"/>
        <v>46439</v>
      </c>
      <c r="I563" s="1">
        <f t="shared" ca="1" si="85"/>
        <v>46106</v>
      </c>
      <c r="J563">
        <f t="shared" ca="1" si="86"/>
        <v>166.64999999999998</v>
      </c>
      <c r="K563" t="str">
        <f t="shared" ca="1" si="87"/>
        <v>In Stock</v>
      </c>
      <c r="L563" s="2">
        <f t="shared" ca="1" si="88"/>
        <v>320</v>
      </c>
      <c r="M563" t="str">
        <f t="shared" ca="1" si="89"/>
        <v>Safe</v>
      </c>
    </row>
    <row r="564" spans="1:13" x14ac:dyDescent="0.25">
      <c r="A564" t="str">
        <f t="shared" si="80"/>
        <v>M563</v>
      </c>
      <c r="B564" t="str" cm="1">
        <f t="array" aca="1" ref="B564" ca="1">INDEX({"Paracetamol","Amoxicillin","Ibuprofen","Cetirizine","Metformin","Amlodipine","Omeprazole","Azithromycin","Losartan","Vitamin C"}, RANDBETWEEN(1,10))</f>
        <v>Paracetamol</v>
      </c>
      <c r="C564" t="str" cm="1">
        <f t="array" aca="1" ref="C564" ca="1">INDEX({"Painkiller","Antibiotic","Painkiller","Antihistamine","Diabetes","Hypertension","Antacid","Antibiotic","Hypertension","Supplement"},
MATCH(B564,{"Paracetamol","Amoxicillin","Ibuprofen","Cetirizine","Metformin","Amlodipine","Omeprazole","Azithromycin","Losartan","Vitamin C"},0))</f>
        <v>Painkiller</v>
      </c>
      <c r="D564" t="str" cm="1">
        <f t="array" aca="1" ref="D564" ca="1">INDEX({"MedSupply Co","HealthCorp","PharmaPlus","GlobalMed"}, RANDBETWEEN(1,4))</f>
        <v>MedSupply Co</v>
      </c>
      <c r="E564">
        <f t="shared" ca="1" si="81"/>
        <v>90</v>
      </c>
      <c r="F564">
        <f t="shared" ca="1" si="82"/>
        <v>88</v>
      </c>
      <c r="G564">
        <f t="shared" ca="1" si="83"/>
        <v>1.87</v>
      </c>
      <c r="H564" s="1">
        <f t="shared" ca="1" si="84"/>
        <v>46282</v>
      </c>
      <c r="I564" s="1">
        <f t="shared" ca="1" si="85"/>
        <v>46028</v>
      </c>
      <c r="J564">
        <f t="shared" ca="1" si="86"/>
        <v>168.3</v>
      </c>
      <c r="K564" t="str">
        <f t="shared" ca="1" si="87"/>
        <v>In Stock</v>
      </c>
      <c r="L564" s="2">
        <f t="shared" ca="1" si="88"/>
        <v>163</v>
      </c>
      <c r="M564" t="str">
        <f t="shared" ca="1" si="89"/>
        <v>Safe</v>
      </c>
    </row>
    <row r="565" spans="1:13" x14ac:dyDescent="0.25">
      <c r="A565" t="str">
        <f t="shared" si="80"/>
        <v>M564</v>
      </c>
      <c r="B565" t="str" cm="1">
        <f t="array" aca="1" ref="B565" ca="1">INDEX({"Paracetamol","Amoxicillin","Ibuprofen","Cetirizine","Metformin","Amlodipine","Omeprazole","Azithromycin","Losartan","Vitamin C"}, RANDBETWEEN(1,10))</f>
        <v>Amlodipine</v>
      </c>
      <c r="C565" t="str" cm="1">
        <f t="array" aca="1" ref="C565" ca="1">INDEX({"Painkiller","Antibiotic","Painkiller","Antihistamine","Diabetes","Hypertension","Antacid","Antibiotic","Hypertension","Supplement"},
MATCH(B565,{"Paracetamol","Amoxicillin","Ibuprofen","Cetirizine","Metformin","Amlodipine","Omeprazole","Azithromycin","Losartan","Vitamin C"},0))</f>
        <v>Hypertension</v>
      </c>
      <c r="D565" t="str" cm="1">
        <f t="array" aca="1" ref="D565" ca="1">INDEX({"MedSupply Co","HealthCorp","PharmaPlus","GlobalMed"}, RANDBETWEEN(1,4))</f>
        <v>HealthCorp</v>
      </c>
      <c r="E565">
        <f t="shared" ca="1" si="81"/>
        <v>87</v>
      </c>
      <c r="F565">
        <f t="shared" ca="1" si="82"/>
        <v>64</v>
      </c>
      <c r="G565">
        <f t="shared" ca="1" si="83"/>
        <v>0.57999999999999996</v>
      </c>
      <c r="H565" s="1">
        <f t="shared" ca="1" si="84"/>
        <v>46304</v>
      </c>
      <c r="I565" s="1">
        <f t="shared" ca="1" si="85"/>
        <v>46115</v>
      </c>
      <c r="J565">
        <f t="shared" ca="1" si="86"/>
        <v>50.459999999999994</v>
      </c>
      <c r="K565" t="str">
        <f t="shared" ca="1" si="87"/>
        <v>In Stock</v>
      </c>
      <c r="L565" s="2">
        <f t="shared" ca="1" si="88"/>
        <v>185</v>
      </c>
      <c r="M565" t="str">
        <f t="shared" ca="1" si="89"/>
        <v>Safe</v>
      </c>
    </row>
    <row r="566" spans="1:13" x14ac:dyDescent="0.25">
      <c r="A566" t="str">
        <f t="shared" si="80"/>
        <v>M565</v>
      </c>
      <c r="B566" t="str" cm="1">
        <f t="array" aca="1" ref="B566" ca="1">INDEX({"Paracetamol","Amoxicillin","Ibuprofen","Cetirizine","Metformin","Amlodipine","Omeprazole","Azithromycin","Losartan","Vitamin C"}, RANDBETWEEN(1,10))</f>
        <v>Amoxicillin</v>
      </c>
      <c r="C566" t="str" cm="1">
        <f t="array" aca="1" ref="C566" ca="1">INDEX({"Painkiller","Antibiotic","Painkiller","Antihistamine","Diabetes","Hypertension","Antacid","Antibiotic","Hypertension","Supplement"},
MATCH(B566,{"Paracetamol","Amoxicillin","Ibuprofen","Cetirizine","Metformin","Amlodipine","Omeprazole","Azithromycin","Losartan","Vitamin C"},0))</f>
        <v>Antibiotic</v>
      </c>
      <c r="D566" t="str" cm="1">
        <f t="array" aca="1" ref="D566" ca="1">INDEX({"MedSupply Co","HealthCorp","PharmaPlus","GlobalMed"}, RANDBETWEEN(1,4))</f>
        <v>PharmaPlus</v>
      </c>
      <c r="E566">
        <f t="shared" ca="1" si="81"/>
        <v>21</v>
      </c>
      <c r="F566">
        <f t="shared" ca="1" si="82"/>
        <v>78</v>
      </c>
      <c r="G566">
        <f t="shared" ca="1" si="83"/>
        <v>1.2</v>
      </c>
      <c r="H566" s="1">
        <f t="shared" ca="1" si="84"/>
        <v>46285</v>
      </c>
      <c r="I566" s="1">
        <f t="shared" ca="1" si="85"/>
        <v>45991</v>
      </c>
      <c r="J566">
        <f t="shared" ca="1" si="86"/>
        <v>25.2</v>
      </c>
      <c r="K566" t="str">
        <f t="shared" ca="1" si="87"/>
        <v>Low Stock</v>
      </c>
      <c r="L566" s="2">
        <f t="shared" ca="1" si="88"/>
        <v>166</v>
      </c>
      <c r="M566" t="str">
        <f t="shared" ca="1" si="89"/>
        <v>Safe</v>
      </c>
    </row>
    <row r="567" spans="1:13" x14ac:dyDescent="0.25">
      <c r="A567" t="str">
        <f t="shared" si="80"/>
        <v>M566</v>
      </c>
      <c r="B567" t="str" cm="1">
        <f t="array" aca="1" ref="B567" ca="1">INDEX({"Paracetamol","Amoxicillin","Ibuprofen","Cetirizine","Metformin","Amlodipine","Omeprazole","Azithromycin","Losartan","Vitamin C"}, RANDBETWEEN(1,10))</f>
        <v>Ibuprofen</v>
      </c>
      <c r="C567" t="str" cm="1">
        <f t="array" aca="1" ref="C567" ca="1">INDEX({"Painkiller","Antibiotic","Painkiller","Antihistamine","Diabetes","Hypertension","Antacid","Antibiotic","Hypertension","Supplement"},
MATCH(B567,{"Paracetamol","Amoxicillin","Ibuprofen","Cetirizine","Metformin","Amlodipine","Omeprazole","Azithromycin","Losartan","Vitamin C"},0))</f>
        <v>Painkiller</v>
      </c>
      <c r="D567" t="str" cm="1">
        <f t="array" aca="1" ref="D567" ca="1">INDEX({"MedSupply Co","HealthCorp","PharmaPlus","GlobalMed"}, RANDBETWEEN(1,4))</f>
        <v>MedSupply Co</v>
      </c>
      <c r="E567">
        <f t="shared" ca="1" si="81"/>
        <v>24</v>
      </c>
      <c r="F567">
        <f t="shared" ca="1" si="82"/>
        <v>31</v>
      </c>
      <c r="G567">
        <f t="shared" ca="1" si="83"/>
        <v>1.82</v>
      </c>
      <c r="H567" s="1">
        <f t="shared" ca="1" si="84"/>
        <v>46347</v>
      </c>
      <c r="I567" s="1">
        <f t="shared" ca="1" si="85"/>
        <v>46070</v>
      </c>
      <c r="J567">
        <f t="shared" ca="1" si="86"/>
        <v>43.68</v>
      </c>
      <c r="K567" t="str">
        <f t="shared" ca="1" si="87"/>
        <v>Low Stock</v>
      </c>
      <c r="L567" s="2">
        <f t="shared" ca="1" si="88"/>
        <v>228</v>
      </c>
      <c r="M567" t="str">
        <f t="shared" ca="1" si="89"/>
        <v>Safe</v>
      </c>
    </row>
    <row r="568" spans="1:13" x14ac:dyDescent="0.25">
      <c r="A568" t="str">
        <f t="shared" si="80"/>
        <v>M567</v>
      </c>
      <c r="B568" t="str" cm="1">
        <f t="array" aca="1" ref="B568" ca="1">INDEX({"Paracetamol","Amoxicillin","Ibuprofen","Cetirizine","Metformin","Amlodipine","Omeprazole","Azithromycin","Losartan","Vitamin C"}, RANDBETWEEN(1,10))</f>
        <v>Amoxicillin</v>
      </c>
      <c r="C568" t="str" cm="1">
        <f t="array" aca="1" ref="C568" ca="1">INDEX({"Painkiller","Antibiotic","Painkiller","Antihistamine","Diabetes","Hypertension","Antacid","Antibiotic","Hypertension","Supplement"},
MATCH(B568,{"Paracetamol","Amoxicillin","Ibuprofen","Cetirizine","Metformin","Amlodipine","Omeprazole","Azithromycin","Losartan","Vitamin C"},0))</f>
        <v>Antibiotic</v>
      </c>
      <c r="D568" t="str" cm="1">
        <f t="array" aca="1" ref="D568" ca="1">INDEX({"MedSupply Co","HealthCorp","PharmaPlus","GlobalMed"}, RANDBETWEEN(1,4))</f>
        <v>PharmaPlus</v>
      </c>
      <c r="E568">
        <f t="shared" ca="1" si="81"/>
        <v>75</v>
      </c>
      <c r="F568">
        <f t="shared" ca="1" si="82"/>
        <v>93</v>
      </c>
      <c r="G568">
        <f t="shared" ca="1" si="83"/>
        <v>0.73</v>
      </c>
      <c r="H568" s="1">
        <f t="shared" ca="1" si="84"/>
        <v>46385</v>
      </c>
      <c r="I568" s="1">
        <f t="shared" ca="1" si="85"/>
        <v>45963</v>
      </c>
      <c r="J568">
        <f t="shared" ca="1" si="86"/>
        <v>54.75</v>
      </c>
      <c r="K568" t="str">
        <f t="shared" ca="1" si="87"/>
        <v>Low Stock</v>
      </c>
      <c r="L568" s="2">
        <f t="shared" ca="1" si="88"/>
        <v>266</v>
      </c>
      <c r="M568" t="str">
        <f t="shared" ca="1" si="89"/>
        <v>Safe</v>
      </c>
    </row>
    <row r="569" spans="1:13" x14ac:dyDescent="0.25">
      <c r="A569" t="str">
        <f t="shared" si="80"/>
        <v>M568</v>
      </c>
      <c r="B569" t="str" cm="1">
        <f t="array" aca="1" ref="B569" ca="1">INDEX({"Paracetamol","Amoxicillin","Ibuprofen","Cetirizine","Metformin","Amlodipine","Omeprazole","Azithromycin","Losartan","Vitamin C"}, RANDBETWEEN(1,10))</f>
        <v>Omeprazole</v>
      </c>
      <c r="C569" t="str" cm="1">
        <f t="array" aca="1" ref="C569" ca="1">INDEX({"Painkiller","Antibiotic","Painkiller","Antihistamine","Diabetes","Hypertension","Antacid","Antibiotic","Hypertension","Supplement"},
MATCH(B569,{"Paracetamol","Amoxicillin","Ibuprofen","Cetirizine","Metformin","Amlodipine","Omeprazole","Azithromycin","Losartan","Vitamin C"},0))</f>
        <v>Antacid</v>
      </c>
      <c r="D569" t="str" cm="1">
        <f t="array" aca="1" ref="D569" ca="1">INDEX({"MedSupply Co","HealthCorp","PharmaPlus","GlobalMed"}, RANDBETWEEN(1,4))</f>
        <v>PharmaPlus</v>
      </c>
      <c r="E569">
        <f t="shared" ca="1" si="81"/>
        <v>197</v>
      </c>
      <c r="F569">
        <f t="shared" ca="1" si="82"/>
        <v>45</v>
      </c>
      <c r="G569">
        <f t="shared" ca="1" si="83"/>
        <v>1.18</v>
      </c>
      <c r="H569" s="1">
        <f t="shared" ca="1" si="84"/>
        <v>46456</v>
      </c>
      <c r="I569" s="1">
        <f t="shared" ca="1" si="85"/>
        <v>45990</v>
      </c>
      <c r="J569">
        <f t="shared" ca="1" si="86"/>
        <v>232.45999999999998</v>
      </c>
      <c r="K569" t="str">
        <f t="shared" ca="1" si="87"/>
        <v>In Stock</v>
      </c>
      <c r="L569" s="2">
        <f t="shared" ca="1" si="88"/>
        <v>337</v>
      </c>
      <c r="M569" t="str">
        <f t="shared" ca="1" si="89"/>
        <v>Safe</v>
      </c>
    </row>
    <row r="570" spans="1:13" x14ac:dyDescent="0.25">
      <c r="A570" t="str">
        <f t="shared" si="80"/>
        <v>M569</v>
      </c>
      <c r="B570" t="str" cm="1">
        <f t="array" aca="1" ref="B570" ca="1">INDEX({"Paracetamol","Amoxicillin","Ibuprofen","Cetirizine","Metformin","Amlodipine","Omeprazole","Azithromycin","Losartan","Vitamin C"}, RANDBETWEEN(1,10))</f>
        <v>Cetirizine</v>
      </c>
      <c r="C570" t="str" cm="1">
        <f t="array" aca="1" ref="C570" ca="1">INDEX({"Painkiller","Antibiotic","Painkiller","Antihistamine","Diabetes","Hypertension","Antacid","Antibiotic","Hypertension","Supplement"},
MATCH(B570,{"Paracetamol","Amoxicillin","Ibuprofen","Cetirizine","Metformin","Amlodipine","Omeprazole","Azithromycin","Losartan","Vitamin C"},0))</f>
        <v>Antihistamine</v>
      </c>
      <c r="D570" t="str" cm="1">
        <f t="array" aca="1" ref="D570" ca="1">INDEX({"MedSupply Co","HealthCorp","PharmaPlus","GlobalMed"}, RANDBETWEEN(1,4))</f>
        <v>MedSupply Co</v>
      </c>
      <c r="E570">
        <f t="shared" ca="1" si="81"/>
        <v>66</v>
      </c>
      <c r="F570">
        <f t="shared" ca="1" si="82"/>
        <v>92</v>
      </c>
      <c r="G570">
        <f t="shared" ca="1" si="83"/>
        <v>0.82</v>
      </c>
      <c r="H570" s="1">
        <f t="shared" ca="1" si="84"/>
        <v>46466</v>
      </c>
      <c r="I570" s="1">
        <f t="shared" ca="1" si="85"/>
        <v>46051</v>
      </c>
      <c r="J570">
        <f t="shared" ca="1" si="86"/>
        <v>54.12</v>
      </c>
      <c r="K570" t="str">
        <f t="shared" ca="1" si="87"/>
        <v>Low Stock</v>
      </c>
      <c r="L570" s="2">
        <f t="shared" ca="1" si="88"/>
        <v>347</v>
      </c>
      <c r="M570" t="str">
        <f t="shared" ca="1" si="89"/>
        <v>Safe</v>
      </c>
    </row>
    <row r="571" spans="1:13" x14ac:dyDescent="0.25">
      <c r="A571" t="str">
        <f t="shared" si="80"/>
        <v>M570</v>
      </c>
      <c r="B571" t="str" cm="1">
        <f t="array" aca="1" ref="B571" ca="1">INDEX({"Paracetamol","Amoxicillin","Ibuprofen","Cetirizine","Metformin","Amlodipine","Omeprazole","Azithromycin","Losartan","Vitamin C"}, RANDBETWEEN(1,10))</f>
        <v>Paracetamol</v>
      </c>
      <c r="C571" t="str" cm="1">
        <f t="array" aca="1" ref="C571" ca="1">INDEX({"Painkiller","Antibiotic","Painkiller","Antihistamine","Diabetes","Hypertension","Antacid","Antibiotic","Hypertension","Supplement"},
MATCH(B571,{"Paracetamol","Amoxicillin","Ibuprofen","Cetirizine","Metformin","Amlodipine","Omeprazole","Azithromycin","Losartan","Vitamin C"},0))</f>
        <v>Painkiller</v>
      </c>
      <c r="D571" t="str" cm="1">
        <f t="array" aca="1" ref="D571" ca="1">INDEX({"MedSupply Co","HealthCorp","PharmaPlus","GlobalMed"}, RANDBETWEEN(1,4))</f>
        <v>PharmaPlus</v>
      </c>
      <c r="E571">
        <f t="shared" ca="1" si="81"/>
        <v>136</v>
      </c>
      <c r="F571">
        <f t="shared" ca="1" si="82"/>
        <v>73</v>
      </c>
      <c r="G571">
        <f t="shared" ca="1" si="83"/>
        <v>1.92</v>
      </c>
      <c r="H571" s="1">
        <f t="shared" ca="1" si="84"/>
        <v>46357</v>
      </c>
      <c r="I571" s="1">
        <f t="shared" ca="1" si="85"/>
        <v>46031</v>
      </c>
      <c r="J571">
        <f t="shared" ca="1" si="86"/>
        <v>261.12</v>
      </c>
      <c r="K571" t="str">
        <f t="shared" ca="1" si="87"/>
        <v>In Stock</v>
      </c>
      <c r="L571" s="2">
        <f t="shared" ca="1" si="88"/>
        <v>238</v>
      </c>
      <c r="M571" t="str">
        <f t="shared" ca="1" si="89"/>
        <v>Safe</v>
      </c>
    </row>
    <row r="572" spans="1:13" x14ac:dyDescent="0.25">
      <c r="A572" t="str">
        <f t="shared" si="80"/>
        <v>M571</v>
      </c>
      <c r="B572" t="str" cm="1">
        <f t="array" aca="1" ref="B572" ca="1">INDEX({"Paracetamol","Amoxicillin","Ibuprofen","Cetirizine","Metformin","Amlodipine","Omeprazole","Azithromycin","Losartan","Vitamin C"}, RANDBETWEEN(1,10))</f>
        <v>Omeprazole</v>
      </c>
      <c r="C572" t="str" cm="1">
        <f t="array" aca="1" ref="C572" ca="1">INDEX({"Painkiller","Antibiotic","Painkiller","Antihistamine","Diabetes","Hypertension","Antacid","Antibiotic","Hypertension","Supplement"},
MATCH(B572,{"Paracetamol","Amoxicillin","Ibuprofen","Cetirizine","Metformin","Amlodipine","Omeprazole","Azithromycin","Losartan","Vitamin C"},0))</f>
        <v>Antacid</v>
      </c>
      <c r="D572" t="str" cm="1">
        <f t="array" aca="1" ref="D572" ca="1">INDEX({"MedSupply Co","HealthCorp","PharmaPlus","GlobalMed"}, RANDBETWEEN(1,4))</f>
        <v>GlobalMed</v>
      </c>
      <c r="E572">
        <f t="shared" ca="1" si="81"/>
        <v>141</v>
      </c>
      <c r="F572">
        <f t="shared" ca="1" si="82"/>
        <v>55</v>
      </c>
      <c r="G572">
        <f t="shared" ca="1" si="83"/>
        <v>1.7</v>
      </c>
      <c r="H572" s="1">
        <f t="shared" ca="1" si="84"/>
        <v>46219</v>
      </c>
      <c r="I572" s="1">
        <f t="shared" ca="1" si="85"/>
        <v>46063</v>
      </c>
      <c r="J572">
        <f t="shared" ca="1" si="86"/>
        <v>239.7</v>
      </c>
      <c r="K572" t="str">
        <f t="shared" ca="1" si="87"/>
        <v>In Stock</v>
      </c>
      <c r="L572" s="2">
        <f t="shared" ca="1" si="88"/>
        <v>100</v>
      </c>
      <c r="M572" t="str">
        <f t="shared" ca="1" si="89"/>
        <v>Safe</v>
      </c>
    </row>
    <row r="573" spans="1:13" x14ac:dyDescent="0.25">
      <c r="A573" t="str">
        <f t="shared" si="80"/>
        <v>M572</v>
      </c>
      <c r="B573" t="str" cm="1">
        <f t="array" aca="1" ref="B573" ca="1">INDEX({"Paracetamol","Amoxicillin","Ibuprofen","Cetirizine","Metformin","Amlodipine","Omeprazole","Azithromycin","Losartan","Vitamin C"}, RANDBETWEEN(1,10))</f>
        <v>Vitamin C</v>
      </c>
      <c r="C573" t="str" cm="1">
        <f t="array" aca="1" ref="C573" ca="1">INDEX({"Painkiller","Antibiotic","Painkiller","Antihistamine","Diabetes","Hypertension","Antacid","Antibiotic","Hypertension","Supplement"},
MATCH(B573,{"Paracetamol","Amoxicillin","Ibuprofen","Cetirizine","Metformin","Amlodipine","Omeprazole","Azithromycin","Losartan","Vitamin C"},0))</f>
        <v>Supplement</v>
      </c>
      <c r="D573" t="str" cm="1">
        <f t="array" aca="1" ref="D573" ca="1">INDEX({"MedSupply Co","HealthCorp","PharmaPlus","GlobalMed"}, RANDBETWEEN(1,4))</f>
        <v>MedSupply Co</v>
      </c>
      <c r="E573">
        <f t="shared" ca="1" si="81"/>
        <v>20</v>
      </c>
      <c r="F573">
        <f t="shared" ca="1" si="82"/>
        <v>88</v>
      </c>
      <c r="G573">
        <f t="shared" ca="1" si="83"/>
        <v>0.66</v>
      </c>
      <c r="H573" s="1">
        <f t="shared" ca="1" si="84"/>
        <v>46308</v>
      </c>
      <c r="I573" s="1">
        <f t="shared" ca="1" si="85"/>
        <v>46062</v>
      </c>
      <c r="J573">
        <f t="shared" ca="1" si="86"/>
        <v>13.200000000000001</v>
      </c>
      <c r="K573" t="str">
        <f t="shared" ca="1" si="87"/>
        <v>Low Stock</v>
      </c>
      <c r="L573" s="2">
        <f t="shared" ca="1" si="88"/>
        <v>189</v>
      </c>
      <c r="M573" t="str">
        <f t="shared" ca="1" si="89"/>
        <v>Safe</v>
      </c>
    </row>
    <row r="574" spans="1:13" x14ac:dyDescent="0.25">
      <c r="A574" t="str">
        <f t="shared" si="80"/>
        <v>M573</v>
      </c>
      <c r="B574" t="str" cm="1">
        <f t="array" aca="1" ref="B574" ca="1">INDEX({"Paracetamol","Amoxicillin","Ibuprofen","Cetirizine","Metformin","Amlodipine","Omeprazole","Azithromycin","Losartan","Vitamin C"}, RANDBETWEEN(1,10))</f>
        <v>Azithromycin</v>
      </c>
      <c r="C574" t="str" cm="1">
        <f t="array" aca="1" ref="C574" ca="1">INDEX({"Painkiller","Antibiotic","Painkiller","Antihistamine","Diabetes","Hypertension","Antacid","Antibiotic","Hypertension","Supplement"},
MATCH(B574,{"Paracetamol","Amoxicillin","Ibuprofen","Cetirizine","Metformin","Amlodipine","Omeprazole","Azithromycin","Losartan","Vitamin C"},0))</f>
        <v>Antibiotic</v>
      </c>
      <c r="D574" t="str" cm="1">
        <f t="array" aca="1" ref="D574" ca="1">INDEX({"MedSupply Co","HealthCorp","PharmaPlus","GlobalMed"}, RANDBETWEEN(1,4))</f>
        <v>MedSupply Co</v>
      </c>
      <c r="E574">
        <f t="shared" ca="1" si="81"/>
        <v>142</v>
      </c>
      <c r="F574">
        <f t="shared" ca="1" si="82"/>
        <v>35</v>
      </c>
      <c r="G574">
        <f t="shared" ca="1" si="83"/>
        <v>1.51</v>
      </c>
      <c r="H574" s="1">
        <f t="shared" ca="1" si="84"/>
        <v>46315</v>
      </c>
      <c r="I574" s="1">
        <f t="shared" ca="1" si="85"/>
        <v>45940</v>
      </c>
      <c r="J574">
        <f t="shared" ca="1" si="86"/>
        <v>214.42</v>
      </c>
      <c r="K574" t="str">
        <f t="shared" ca="1" si="87"/>
        <v>In Stock</v>
      </c>
      <c r="L574" s="2">
        <f t="shared" ca="1" si="88"/>
        <v>196</v>
      </c>
      <c r="M574" t="str">
        <f t="shared" ca="1" si="89"/>
        <v>Safe</v>
      </c>
    </row>
    <row r="575" spans="1:13" x14ac:dyDescent="0.25">
      <c r="A575" t="str">
        <f t="shared" si="80"/>
        <v>M574</v>
      </c>
      <c r="B575" t="str" cm="1">
        <f t="array" aca="1" ref="B575" ca="1">INDEX({"Paracetamol","Amoxicillin","Ibuprofen","Cetirizine","Metformin","Amlodipine","Omeprazole","Azithromycin","Losartan","Vitamin C"}, RANDBETWEEN(1,10))</f>
        <v>Paracetamol</v>
      </c>
      <c r="C575" t="str" cm="1">
        <f t="array" aca="1" ref="C575" ca="1">INDEX({"Painkiller","Antibiotic","Painkiller","Antihistamine","Diabetes","Hypertension","Antacid","Antibiotic","Hypertension","Supplement"},
MATCH(B575,{"Paracetamol","Amoxicillin","Ibuprofen","Cetirizine","Metformin","Amlodipine","Omeprazole","Azithromycin","Losartan","Vitamin C"},0))</f>
        <v>Painkiller</v>
      </c>
      <c r="D575" t="str" cm="1">
        <f t="array" aca="1" ref="D575" ca="1">INDEX({"MedSupply Co","HealthCorp","PharmaPlus","GlobalMed"}, RANDBETWEEN(1,4))</f>
        <v>GlobalMed</v>
      </c>
      <c r="E575">
        <f t="shared" ca="1" si="81"/>
        <v>193</v>
      </c>
      <c r="F575">
        <f t="shared" ca="1" si="82"/>
        <v>67</v>
      </c>
      <c r="G575">
        <f t="shared" ca="1" si="83"/>
        <v>0.5</v>
      </c>
      <c r="H575" s="1">
        <f t="shared" ca="1" si="84"/>
        <v>46379</v>
      </c>
      <c r="I575" s="1">
        <f t="shared" ca="1" si="85"/>
        <v>46085</v>
      </c>
      <c r="J575">
        <f t="shared" ca="1" si="86"/>
        <v>96.5</v>
      </c>
      <c r="K575" t="str">
        <f t="shared" ca="1" si="87"/>
        <v>In Stock</v>
      </c>
      <c r="L575" s="2">
        <f t="shared" ca="1" si="88"/>
        <v>260</v>
      </c>
      <c r="M575" t="str">
        <f t="shared" ca="1" si="89"/>
        <v>Safe</v>
      </c>
    </row>
    <row r="576" spans="1:13" x14ac:dyDescent="0.25">
      <c r="A576" t="str">
        <f t="shared" si="80"/>
        <v>M575</v>
      </c>
      <c r="B576" t="str" cm="1">
        <f t="array" aca="1" ref="B576" ca="1">INDEX({"Paracetamol","Amoxicillin","Ibuprofen","Cetirizine","Metformin","Amlodipine","Omeprazole","Azithromycin","Losartan","Vitamin C"}, RANDBETWEEN(1,10))</f>
        <v>Amoxicillin</v>
      </c>
      <c r="C576" t="str" cm="1">
        <f t="array" aca="1" ref="C576" ca="1">INDEX({"Painkiller","Antibiotic","Painkiller","Antihistamine","Diabetes","Hypertension","Antacid","Antibiotic","Hypertension","Supplement"},
MATCH(B576,{"Paracetamol","Amoxicillin","Ibuprofen","Cetirizine","Metformin","Amlodipine","Omeprazole","Azithromycin","Losartan","Vitamin C"},0))</f>
        <v>Antibiotic</v>
      </c>
      <c r="D576" t="str" cm="1">
        <f t="array" aca="1" ref="D576" ca="1">INDEX({"MedSupply Co","HealthCorp","PharmaPlus","GlobalMed"}, RANDBETWEEN(1,4))</f>
        <v>PharmaPlus</v>
      </c>
      <c r="E576">
        <f t="shared" ca="1" si="81"/>
        <v>170</v>
      </c>
      <c r="F576">
        <f t="shared" ca="1" si="82"/>
        <v>34</v>
      </c>
      <c r="G576">
        <f t="shared" ca="1" si="83"/>
        <v>1.34</v>
      </c>
      <c r="H576" s="1">
        <f t="shared" ca="1" si="84"/>
        <v>46332</v>
      </c>
      <c r="I576" s="1">
        <f t="shared" ca="1" si="85"/>
        <v>46087</v>
      </c>
      <c r="J576">
        <f t="shared" ca="1" si="86"/>
        <v>227.8</v>
      </c>
      <c r="K576" t="str">
        <f t="shared" ca="1" si="87"/>
        <v>In Stock</v>
      </c>
      <c r="L576" s="2">
        <f t="shared" ca="1" si="88"/>
        <v>213</v>
      </c>
      <c r="M576" t="str">
        <f t="shared" ca="1" si="89"/>
        <v>Safe</v>
      </c>
    </row>
    <row r="577" spans="1:13" x14ac:dyDescent="0.25">
      <c r="A577" t="str">
        <f t="shared" si="80"/>
        <v>M576</v>
      </c>
      <c r="B577" t="str" cm="1">
        <f t="array" aca="1" ref="B577" ca="1">INDEX({"Paracetamol","Amoxicillin","Ibuprofen","Cetirizine","Metformin","Amlodipine","Omeprazole","Azithromycin","Losartan","Vitamin C"}, RANDBETWEEN(1,10))</f>
        <v>Losartan</v>
      </c>
      <c r="C577" t="str" cm="1">
        <f t="array" aca="1" ref="C577" ca="1">INDEX({"Painkiller","Antibiotic","Painkiller","Antihistamine","Diabetes","Hypertension","Antacid","Antibiotic","Hypertension","Supplement"},
MATCH(B577,{"Paracetamol","Amoxicillin","Ibuprofen","Cetirizine","Metformin","Amlodipine","Omeprazole","Azithromycin","Losartan","Vitamin C"},0))</f>
        <v>Hypertension</v>
      </c>
      <c r="D577" t="str" cm="1">
        <f t="array" aca="1" ref="D577" ca="1">INDEX({"MedSupply Co","HealthCorp","PharmaPlus","GlobalMed"}, RANDBETWEEN(1,4))</f>
        <v>PharmaPlus</v>
      </c>
      <c r="E577">
        <f t="shared" ca="1" si="81"/>
        <v>83</v>
      </c>
      <c r="F577">
        <f t="shared" ca="1" si="82"/>
        <v>26</v>
      </c>
      <c r="G577">
        <f t="shared" ca="1" si="83"/>
        <v>0.5</v>
      </c>
      <c r="H577" s="1">
        <f t="shared" ca="1" si="84"/>
        <v>46401</v>
      </c>
      <c r="I577" s="1">
        <f t="shared" ca="1" si="85"/>
        <v>46086</v>
      </c>
      <c r="J577">
        <f t="shared" ca="1" si="86"/>
        <v>41.5</v>
      </c>
      <c r="K577" t="str">
        <f t="shared" ca="1" si="87"/>
        <v>In Stock</v>
      </c>
      <c r="L577" s="2">
        <f t="shared" ca="1" si="88"/>
        <v>282</v>
      </c>
      <c r="M577" t="str">
        <f t="shared" ca="1" si="89"/>
        <v>Safe</v>
      </c>
    </row>
    <row r="578" spans="1:13" x14ac:dyDescent="0.25">
      <c r="A578" t="str">
        <f t="shared" si="80"/>
        <v>M577</v>
      </c>
      <c r="B578" t="str" cm="1">
        <f t="array" aca="1" ref="B578" ca="1">INDEX({"Paracetamol","Amoxicillin","Ibuprofen","Cetirizine","Metformin","Amlodipine","Omeprazole","Azithromycin","Losartan","Vitamin C"}, RANDBETWEEN(1,10))</f>
        <v>Amlodipine</v>
      </c>
      <c r="C578" t="str" cm="1">
        <f t="array" aca="1" ref="C578" ca="1">INDEX({"Painkiller","Antibiotic","Painkiller","Antihistamine","Diabetes","Hypertension","Antacid","Antibiotic","Hypertension","Supplement"},
MATCH(B578,{"Paracetamol","Amoxicillin","Ibuprofen","Cetirizine","Metformin","Amlodipine","Omeprazole","Azithromycin","Losartan","Vitamin C"},0))</f>
        <v>Hypertension</v>
      </c>
      <c r="D578" t="str" cm="1">
        <f t="array" aca="1" ref="D578" ca="1">INDEX({"MedSupply Co","HealthCorp","PharmaPlus","GlobalMed"}, RANDBETWEEN(1,4))</f>
        <v>MedSupply Co</v>
      </c>
      <c r="E578">
        <f t="shared" ca="1" si="81"/>
        <v>142</v>
      </c>
      <c r="F578">
        <f t="shared" ca="1" si="82"/>
        <v>95</v>
      </c>
      <c r="G578">
        <f t="shared" ca="1" si="83"/>
        <v>1.1499999999999999</v>
      </c>
      <c r="H578" s="1">
        <f t="shared" ca="1" si="84"/>
        <v>46287</v>
      </c>
      <c r="I578" s="1">
        <f t="shared" ca="1" si="85"/>
        <v>46056</v>
      </c>
      <c r="J578">
        <f t="shared" ca="1" si="86"/>
        <v>163.29999999999998</v>
      </c>
      <c r="K578" t="str">
        <f t="shared" ca="1" si="87"/>
        <v>In Stock</v>
      </c>
      <c r="L578" s="2">
        <f t="shared" ca="1" si="88"/>
        <v>168</v>
      </c>
      <c r="M578" t="str">
        <f t="shared" ca="1" si="89"/>
        <v>Safe</v>
      </c>
    </row>
    <row r="579" spans="1:13" x14ac:dyDescent="0.25">
      <c r="A579" t="str">
        <f t="shared" ref="A579:A642" si="90">"M"&amp;TEXT(ROW(A578),"000")</f>
        <v>M578</v>
      </c>
      <c r="B579" t="str" cm="1">
        <f t="array" aca="1" ref="B579" ca="1">INDEX({"Paracetamol","Amoxicillin","Ibuprofen","Cetirizine","Metformin","Amlodipine","Omeprazole","Azithromycin","Losartan","Vitamin C"}, RANDBETWEEN(1,10))</f>
        <v>Amlodipine</v>
      </c>
      <c r="C579" t="str" cm="1">
        <f t="array" aca="1" ref="C579" ca="1">INDEX({"Painkiller","Antibiotic","Painkiller","Antihistamine","Diabetes","Hypertension","Antacid","Antibiotic","Hypertension","Supplement"},
MATCH(B579,{"Paracetamol","Amoxicillin","Ibuprofen","Cetirizine","Metformin","Amlodipine","Omeprazole","Azithromycin","Losartan","Vitamin C"},0))</f>
        <v>Hypertension</v>
      </c>
      <c r="D579" t="str" cm="1">
        <f t="array" aca="1" ref="D579" ca="1">INDEX({"MedSupply Co","HealthCorp","PharmaPlus","GlobalMed"}, RANDBETWEEN(1,4))</f>
        <v>GlobalMed</v>
      </c>
      <c r="E579">
        <f t="shared" ref="E579:E642" ca="1" si="91">RANDBETWEEN(0,200)</f>
        <v>169</v>
      </c>
      <c r="F579">
        <f t="shared" ref="F579:F642" ca="1" si="92">RANDBETWEEN(20,100)</f>
        <v>52</v>
      </c>
      <c r="G579">
        <f t="shared" ref="G579:G642" ca="1" si="93">ROUND(RANDBETWEEN(50,200)/100,2)</f>
        <v>1.48</v>
      </c>
      <c r="H579" s="1">
        <f t="shared" ref="H579:H642" ca="1" si="94">TODAY()+RANDBETWEEN(30,365)</f>
        <v>46205</v>
      </c>
      <c r="I579" s="1">
        <f t="shared" ref="I579:I642" ca="1" si="95">TODAY()-RANDBETWEEN(1,180)</f>
        <v>45996</v>
      </c>
      <c r="J579">
        <f t="shared" ref="J579:J642" ca="1" si="96">E579*G579</f>
        <v>250.12</v>
      </c>
      <c r="K579" t="str">
        <f t="shared" ref="K579:K642" ca="1" si="97">IF(E579=0,"Out of Stock",IF(E579&lt;F579,"Low Stock","In Stock"))</f>
        <v>In Stock</v>
      </c>
      <c r="L579" s="2">
        <f t="shared" ref="L579:L642" ca="1" si="98">H579-TODAY()</f>
        <v>86</v>
      </c>
      <c r="M579" t="str">
        <f t="shared" ref="M579:M642" ca="1" si="99">IF(H579&lt;=TODAY()+30,"Expiring Soon","Safe")</f>
        <v>Safe</v>
      </c>
    </row>
    <row r="580" spans="1:13" x14ac:dyDescent="0.25">
      <c r="A580" t="str">
        <f t="shared" si="90"/>
        <v>M579</v>
      </c>
      <c r="B580" t="str" cm="1">
        <f t="array" aca="1" ref="B580" ca="1">INDEX({"Paracetamol","Amoxicillin","Ibuprofen","Cetirizine","Metformin","Amlodipine","Omeprazole","Azithromycin","Losartan","Vitamin C"}, RANDBETWEEN(1,10))</f>
        <v>Cetirizine</v>
      </c>
      <c r="C580" t="str" cm="1">
        <f t="array" aca="1" ref="C580" ca="1">INDEX({"Painkiller","Antibiotic","Painkiller","Antihistamine","Diabetes","Hypertension","Antacid","Antibiotic","Hypertension","Supplement"},
MATCH(B580,{"Paracetamol","Amoxicillin","Ibuprofen","Cetirizine","Metformin","Amlodipine","Omeprazole","Azithromycin","Losartan","Vitamin C"},0))</f>
        <v>Antihistamine</v>
      </c>
      <c r="D580" t="str" cm="1">
        <f t="array" aca="1" ref="D580" ca="1">INDEX({"MedSupply Co","HealthCorp","PharmaPlus","GlobalMed"}, RANDBETWEEN(1,4))</f>
        <v>HealthCorp</v>
      </c>
      <c r="E580">
        <f t="shared" ca="1" si="91"/>
        <v>178</v>
      </c>
      <c r="F580">
        <f t="shared" ca="1" si="92"/>
        <v>34</v>
      </c>
      <c r="G580">
        <f t="shared" ca="1" si="93"/>
        <v>1.31</v>
      </c>
      <c r="H580" s="1">
        <f t="shared" ca="1" si="94"/>
        <v>46161</v>
      </c>
      <c r="I580" s="1">
        <f t="shared" ca="1" si="95"/>
        <v>46070</v>
      </c>
      <c r="J580">
        <f t="shared" ca="1" si="96"/>
        <v>233.18</v>
      </c>
      <c r="K580" t="str">
        <f t="shared" ca="1" si="97"/>
        <v>In Stock</v>
      </c>
      <c r="L580" s="2">
        <f t="shared" ca="1" si="98"/>
        <v>42</v>
      </c>
      <c r="M580" t="str">
        <f t="shared" ca="1" si="99"/>
        <v>Safe</v>
      </c>
    </row>
    <row r="581" spans="1:13" x14ac:dyDescent="0.25">
      <c r="A581" t="str">
        <f t="shared" si="90"/>
        <v>M580</v>
      </c>
      <c r="B581" t="str" cm="1">
        <f t="array" aca="1" ref="B581" ca="1">INDEX({"Paracetamol","Amoxicillin","Ibuprofen","Cetirizine","Metformin","Amlodipine","Omeprazole","Azithromycin","Losartan","Vitamin C"}, RANDBETWEEN(1,10))</f>
        <v>Losartan</v>
      </c>
      <c r="C581" t="str" cm="1">
        <f t="array" aca="1" ref="C581" ca="1">INDEX({"Painkiller","Antibiotic","Painkiller","Antihistamine","Diabetes","Hypertension","Antacid","Antibiotic","Hypertension","Supplement"},
MATCH(B581,{"Paracetamol","Amoxicillin","Ibuprofen","Cetirizine","Metformin","Amlodipine","Omeprazole","Azithromycin","Losartan","Vitamin C"},0))</f>
        <v>Hypertension</v>
      </c>
      <c r="D581" t="str" cm="1">
        <f t="array" aca="1" ref="D581" ca="1">INDEX({"MedSupply Co","HealthCorp","PharmaPlus","GlobalMed"}, RANDBETWEEN(1,4))</f>
        <v>HealthCorp</v>
      </c>
      <c r="E581">
        <f t="shared" ca="1" si="91"/>
        <v>104</v>
      </c>
      <c r="F581">
        <f t="shared" ca="1" si="92"/>
        <v>28</v>
      </c>
      <c r="G581">
        <f t="shared" ca="1" si="93"/>
        <v>1.88</v>
      </c>
      <c r="H581" s="1">
        <f t="shared" ca="1" si="94"/>
        <v>46258</v>
      </c>
      <c r="I581" s="1">
        <f t="shared" ca="1" si="95"/>
        <v>46114</v>
      </c>
      <c r="J581">
        <f t="shared" ca="1" si="96"/>
        <v>195.51999999999998</v>
      </c>
      <c r="K581" t="str">
        <f t="shared" ca="1" si="97"/>
        <v>In Stock</v>
      </c>
      <c r="L581" s="2">
        <f t="shared" ca="1" si="98"/>
        <v>139</v>
      </c>
      <c r="M581" t="str">
        <f t="shared" ca="1" si="99"/>
        <v>Safe</v>
      </c>
    </row>
    <row r="582" spans="1:13" x14ac:dyDescent="0.25">
      <c r="A582" t="str">
        <f t="shared" si="90"/>
        <v>M581</v>
      </c>
      <c r="B582" t="str" cm="1">
        <f t="array" aca="1" ref="B582" ca="1">INDEX({"Paracetamol","Amoxicillin","Ibuprofen","Cetirizine","Metformin","Amlodipine","Omeprazole","Azithromycin","Losartan","Vitamin C"}, RANDBETWEEN(1,10))</f>
        <v>Azithromycin</v>
      </c>
      <c r="C582" t="str" cm="1">
        <f t="array" aca="1" ref="C582" ca="1">INDEX({"Painkiller","Antibiotic","Painkiller","Antihistamine","Diabetes","Hypertension","Antacid","Antibiotic","Hypertension","Supplement"},
MATCH(B582,{"Paracetamol","Amoxicillin","Ibuprofen","Cetirizine","Metformin","Amlodipine","Omeprazole","Azithromycin","Losartan","Vitamin C"},0))</f>
        <v>Antibiotic</v>
      </c>
      <c r="D582" t="str" cm="1">
        <f t="array" aca="1" ref="D582" ca="1">INDEX({"MedSupply Co","HealthCorp","PharmaPlus","GlobalMed"}, RANDBETWEEN(1,4))</f>
        <v>HealthCorp</v>
      </c>
      <c r="E582">
        <f t="shared" ca="1" si="91"/>
        <v>10</v>
      </c>
      <c r="F582">
        <f t="shared" ca="1" si="92"/>
        <v>25</v>
      </c>
      <c r="G582">
        <f t="shared" ca="1" si="93"/>
        <v>1.03</v>
      </c>
      <c r="H582" s="1">
        <f t="shared" ca="1" si="94"/>
        <v>46340</v>
      </c>
      <c r="I582" s="1">
        <f t="shared" ca="1" si="95"/>
        <v>46037</v>
      </c>
      <c r="J582">
        <f t="shared" ca="1" si="96"/>
        <v>10.3</v>
      </c>
      <c r="K582" t="str">
        <f t="shared" ca="1" si="97"/>
        <v>Low Stock</v>
      </c>
      <c r="L582" s="2">
        <f t="shared" ca="1" si="98"/>
        <v>221</v>
      </c>
      <c r="M582" t="str">
        <f t="shared" ca="1" si="99"/>
        <v>Safe</v>
      </c>
    </row>
    <row r="583" spans="1:13" x14ac:dyDescent="0.25">
      <c r="A583" t="str">
        <f t="shared" si="90"/>
        <v>M582</v>
      </c>
      <c r="B583" t="str" cm="1">
        <f t="array" aca="1" ref="B583" ca="1">INDEX({"Paracetamol","Amoxicillin","Ibuprofen","Cetirizine","Metformin","Amlodipine","Omeprazole","Azithromycin","Losartan","Vitamin C"}, RANDBETWEEN(1,10))</f>
        <v>Amoxicillin</v>
      </c>
      <c r="C583" t="str" cm="1">
        <f t="array" aca="1" ref="C583" ca="1">INDEX({"Painkiller","Antibiotic","Painkiller","Antihistamine","Diabetes","Hypertension","Antacid","Antibiotic","Hypertension","Supplement"},
MATCH(B583,{"Paracetamol","Amoxicillin","Ibuprofen","Cetirizine","Metformin","Amlodipine","Omeprazole","Azithromycin","Losartan","Vitamin C"},0))</f>
        <v>Antibiotic</v>
      </c>
      <c r="D583" t="str" cm="1">
        <f t="array" aca="1" ref="D583" ca="1">INDEX({"MedSupply Co","HealthCorp","PharmaPlus","GlobalMed"}, RANDBETWEEN(1,4))</f>
        <v>HealthCorp</v>
      </c>
      <c r="E583">
        <f t="shared" ca="1" si="91"/>
        <v>184</v>
      </c>
      <c r="F583">
        <f t="shared" ca="1" si="92"/>
        <v>96</v>
      </c>
      <c r="G583">
        <f t="shared" ca="1" si="93"/>
        <v>1.94</v>
      </c>
      <c r="H583" s="1">
        <f t="shared" ca="1" si="94"/>
        <v>46429</v>
      </c>
      <c r="I583" s="1">
        <f t="shared" ca="1" si="95"/>
        <v>45952</v>
      </c>
      <c r="J583">
        <f t="shared" ca="1" si="96"/>
        <v>356.96</v>
      </c>
      <c r="K583" t="str">
        <f t="shared" ca="1" si="97"/>
        <v>In Stock</v>
      </c>
      <c r="L583" s="2">
        <f t="shared" ca="1" si="98"/>
        <v>310</v>
      </c>
      <c r="M583" t="str">
        <f t="shared" ca="1" si="99"/>
        <v>Safe</v>
      </c>
    </row>
    <row r="584" spans="1:13" x14ac:dyDescent="0.25">
      <c r="A584" t="str">
        <f t="shared" si="90"/>
        <v>M583</v>
      </c>
      <c r="B584" t="str" cm="1">
        <f t="array" aca="1" ref="B584" ca="1">INDEX({"Paracetamol","Amoxicillin","Ibuprofen","Cetirizine","Metformin","Amlodipine","Omeprazole","Azithromycin","Losartan","Vitamin C"}, RANDBETWEEN(1,10))</f>
        <v>Paracetamol</v>
      </c>
      <c r="C584" t="str" cm="1">
        <f t="array" aca="1" ref="C584" ca="1">INDEX({"Painkiller","Antibiotic","Painkiller","Antihistamine","Diabetes","Hypertension","Antacid","Antibiotic","Hypertension","Supplement"},
MATCH(B584,{"Paracetamol","Amoxicillin","Ibuprofen","Cetirizine","Metformin","Amlodipine","Omeprazole","Azithromycin","Losartan","Vitamin C"},0))</f>
        <v>Painkiller</v>
      </c>
      <c r="D584" t="str" cm="1">
        <f t="array" aca="1" ref="D584" ca="1">INDEX({"MedSupply Co","HealthCorp","PharmaPlus","GlobalMed"}, RANDBETWEEN(1,4))</f>
        <v>GlobalMed</v>
      </c>
      <c r="E584">
        <f t="shared" ca="1" si="91"/>
        <v>68</v>
      </c>
      <c r="F584">
        <f t="shared" ca="1" si="92"/>
        <v>71</v>
      </c>
      <c r="G584">
        <f t="shared" ca="1" si="93"/>
        <v>1.64</v>
      </c>
      <c r="H584" s="1">
        <f t="shared" ca="1" si="94"/>
        <v>46456</v>
      </c>
      <c r="I584" s="1">
        <f t="shared" ca="1" si="95"/>
        <v>46041</v>
      </c>
      <c r="J584">
        <f t="shared" ca="1" si="96"/>
        <v>111.52</v>
      </c>
      <c r="K584" t="str">
        <f t="shared" ca="1" si="97"/>
        <v>Low Stock</v>
      </c>
      <c r="L584" s="2">
        <f t="shared" ca="1" si="98"/>
        <v>337</v>
      </c>
      <c r="M584" t="str">
        <f t="shared" ca="1" si="99"/>
        <v>Safe</v>
      </c>
    </row>
    <row r="585" spans="1:13" x14ac:dyDescent="0.25">
      <c r="A585" t="str">
        <f t="shared" si="90"/>
        <v>M584</v>
      </c>
      <c r="B585" t="str" cm="1">
        <f t="array" aca="1" ref="B585" ca="1">INDEX({"Paracetamol","Amoxicillin","Ibuprofen","Cetirizine","Metformin","Amlodipine","Omeprazole","Azithromycin","Losartan","Vitamin C"}, RANDBETWEEN(1,10))</f>
        <v>Cetirizine</v>
      </c>
      <c r="C585" t="str" cm="1">
        <f t="array" aca="1" ref="C585" ca="1">INDEX({"Painkiller","Antibiotic","Painkiller","Antihistamine","Diabetes","Hypertension","Antacid","Antibiotic","Hypertension","Supplement"},
MATCH(B585,{"Paracetamol","Amoxicillin","Ibuprofen","Cetirizine","Metformin","Amlodipine","Omeprazole","Azithromycin","Losartan","Vitamin C"},0))</f>
        <v>Antihistamine</v>
      </c>
      <c r="D585" t="str" cm="1">
        <f t="array" aca="1" ref="D585" ca="1">INDEX({"MedSupply Co","HealthCorp","PharmaPlus","GlobalMed"}, RANDBETWEEN(1,4))</f>
        <v>MedSupply Co</v>
      </c>
      <c r="E585">
        <f t="shared" ca="1" si="91"/>
        <v>55</v>
      </c>
      <c r="F585">
        <f t="shared" ca="1" si="92"/>
        <v>82</v>
      </c>
      <c r="G585">
        <f t="shared" ca="1" si="93"/>
        <v>0.95</v>
      </c>
      <c r="H585" s="1">
        <f t="shared" ca="1" si="94"/>
        <v>46194</v>
      </c>
      <c r="I585" s="1">
        <f t="shared" ca="1" si="95"/>
        <v>46057</v>
      </c>
      <c r="J585">
        <f t="shared" ca="1" si="96"/>
        <v>52.25</v>
      </c>
      <c r="K585" t="str">
        <f t="shared" ca="1" si="97"/>
        <v>Low Stock</v>
      </c>
      <c r="L585" s="2">
        <f t="shared" ca="1" si="98"/>
        <v>75</v>
      </c>
      <c r="M585" t="str">
        <f t="shared" ca="1" si="99"/>
        <v>Safe</v>
      </c>
    </row>
    <row r="586" spans="1:13" x14ac:dyDescent="0.25">
      <c r="A586" t="str">
        <f t="shared" si="90"/>
        <v>M585</v>
      </c>
      <c r="B586" t="str" cm="1">
        <f t="array" aca="1" ref="B586" ca="1">INDEX({"Paracetamol","Amoxicillin","Ibuprofen","Cetirizine","Metformin","Amlodipine","Omeprazole","Azithromycin","Losartan","Vitamin C"}, RANDBETWEEN(1,10))</f>
        <v>Metformin</v>
      </c>
      <c r="C586" t="str" cm="1">
        <f t="array" aca="1" ref="C586" ca="1">INDEX({"Painkiller","Antibiotic","Painkiller","Antihistamine","Diabetes","Hypertension","Antacid","Antibiotic","Hypertension","Supplement"},
MATCH(B586,{"Paracetamol","Amoxicillin","Ibuprofen","Cetirizine","Metformin","Amlodipine","Omeprazole","Azithromycin","Losartan","Vitamin C"},0))</f>
        <v>Diabetes</v>
      </c>
      <c r="D586" t="str" cm="1">
        <f t="array" aca="1" ref="D586" ca="1">INDEX({"MedSupply Co","HealthCorp","PharmaPlus","GlobalMed"}, RANDBETWEEN(1,4))</f>
        <v>MedSupply Co</v>
      </c>
      <c r="E586">
        <f t="shared" ca="1" si="91"/>
        <v>68</v>
      </c>
      <c r="F586">
        <f t="shared" ca="1" si="92"/>
        <v>66</v>
      </c>
      <c r="G586">
        <f t="shared" ca="1" si="93"/>
        <v>1.38</v>
      </c>
      <c r="H586" s="1">
        <f t="shared" ca="1" si="94"/>
        <v>46479</v>
      </c>
      <c r="I586" s="1">
        <f t="shared" ca="1" si="95"/>
        <v>46112</v>
      </c>
      <c r="J586">
        <f t="shared" ca="1" si="96"/>
        <v>93.839999999999989</v>
      </c>
      <c r="K586" t="str">
        <f t="shared" ca="1" si="97"/>
        <v>In Stock</v>
      </c>
      <c r="L586" s="2">
        <f t="shared" ca="1" si="98"/>
        <v>360</v>
      </c>
      <c r="M586" t="str">
        <f t="shared" ca="1" si="99"/>
        <v>Safe</v>
      </c>
    </row>
    <row r="587" spans="1:13" x14ac:dyDescent="0.25">
      <c r="A587" t="str">
        <f t="shared" si="90"/>
        <v>M586</v>
      </c>
      <c r="B587" t="str" cm="1">
        <f t="array" aca="1" ref="B587" ca="1">INDEX({"Paracetamol","Amoxicillin","Ibuprofen","Cetirizine","Metformin","Amlodipine","Omeprazole","Azithromycin","Losartan","Vitamin C"}, RANDBETWEEN(1,10))</f>
        <v>Ibuprofen</v>
      </c>
      <c r="C587" t="str" cm="1">
        <f t="array" aca="1" ref="C587" ca="1">INDEX({"Painkiller","Antibiotic","Painkiller","Antihistamine","Diabetes","Hypertension","Antacid","Antibiotic","Hypertension","Supplement"},
MATCH(B587,{"Paracetamol","Amoxicillin","Ibuprofen","Cetirizine","Metformin","Amlodipine","Omeprazole","Azithromycin","Losartan","Vitamin C"},0))</f>
        <v>Painkiller</v>
      </c>
      <c r="D587" t="str" cm="1">
        <f t="array" aca="1" ref="D587" ca="1">INDEX({"MedSupply Co","HealthCorp","PharmaPlus","GlobalMed"}, RANDBETWEEN(1,4))</f>
        <v>MedSupply Co</v>
      </c>
      <c r="E587">
        <f t="shared" ca="1" si="91"/>
        <v>109</v>
      </c>
      <c r="F587">
        <f t="shared" ca="1" si="92"/>
        <v>27</v>
      </c>
      <c r="G587">
        <f t="shared" ca="1" si="93"/>
        <v>1.1399999999999999</v>
      </c>
      <c r="H587" s="1">
        <f t="shared" ca="1" si="94"/>
        <v>46458</v>
      </c>
      <c r="I587" s="1">
        <f t="shared" ca="1" si="95"/>
        <v>45982</v>
      </c>
      <c r="J587">
        <f t="shared" ca="1" si="96"/>
        <v>124.25999999999999</v>
      </c>
      <c r="K587" t="str">
        <f t="shared" ca="1" si="97"/>
        <v>In Stock</v>
      </c>
      <c r="L587" s="2">
        <f t="shared" ca="1" si="98"/>
        <v>339</v>
      </c>
      <c r="M587" t="str">
        <f t="shared" ca="1" si="99"/>
        <v>Safe</v>
      </c>
    </row>
    <row r="588" spans="1:13" x14ac:dyDescent="0.25">
      <c r="A588" t="str">
        <f t="shared" si="90"/>
        <v>M587</v>
      </c>
      <c r="B588" t="str" cm="1">
        <f t="array" aca="1" ref="B588" ca="1">INDEX({"Paracetamol","Amoxicillin","Ibuprofen","Cetirizine","Metformin","Amlodipine","Omeprazole","Azithromycin","Losartan","Vitamin C"}, RANDBETWEEN(1,10))</f>
        <v>Amoxicillin</v>
      </c>
      <c r="C588" t="str" cm="1">
        <f t="array" aca="1" ref="C588" ca="1">INDEX({"Painkiller","Antibiotic","Painkiller","Antihistamine","Diabetes","Hypertension","Antacid","Antibiotic","Hypertension","Supplement"},
MATCH(B588,{"Paracetamol","Amoxicillin","Ibuprofen","Cetirizine","Metformin","Amlodipine","Omeprazole","Azithromycin","Losartan","Vitamin C"},0))</f>
        <v>Antibiotic</v>
      </c>
      <c r="D588" t="str" cm="1">
        <f t="array" aca="1" ref="D588" ca="1">INDEX({"MedSupply Co","HealthCorp","PharmaPlus","GlobalMed"}, RANDBETWEEN(1,4))</f>
        <v>HealthCorp</v>
      </c>
      <c r="E588">
        <f t="shared" ca="1" si="91"/>
        <v>66</v>
      </c>
      <c r="F588">
        <f t="shared" ca="1" si="92"/>
        <v>88</v>
      </c>
      <c r="G588">
        <f t="shared" ca="1" si="93"/>
        <v>0.63</v>
      </c>
      <c r="H588" s="1">
        <f t="shared" ca="1" si="94"/>
        <v>46289</v>
      </c>
      <c r="I588" s="1">
        <f t="shared" ca="1" si="95"/>
        <v>45996</v>
      </c>
      <c r="J588">
        <f t="shared" ca="1" si="96"/>
        <v>41.58</v>
      </c>
      <c r="K588" t="str">
        <f t="shared" ca="1" si="97"/>
        <v>Low Stock</v>
      </c>
      <c r="L588" s="2">
        <f t="shared" ca="1" si="98"/>
        <v>170</v>
      </c>
      <c r="M588" t="str">
        <f t="shared" ca="1" si="99"/>
        <v>Safe</v>
      </c>
    </row>
    <row r="589" spans="1:13" x14ac:dyDescent="0.25">
      <c r="A589" t="str">
        <f t="shared" si="90"/>
        <v>M588</v>
      </c>
      <c r="B589" t="str" cm="1">
        <f t="array" aca="1" ref="B589" ca="1">INDEX({"Paracetamol","Amoxicillin","Ibuprofen","Cetirizine","Metformin","Amlodipine","Omeprazole","Azithromycin","Losartan","Vitamin C"}, RANDBETWEEN(1,10))</f>
        <v>Paracetamol</v>
      </c>
      <c r="C589" t="str" cm="1">
        <f t="array" aca="1" ref="C589" ca="1">INDEX({"Painkiller","Antibiotic","Painkiller","Antihistamine","Diabetes","Hypertension","Antacid","Antibiotic","Hypertension","Supplement"},
MATCH(B589,{"Paracetamol","Amoxicillin","Ibuprofen","Cetirizine","Metformin","Amlodipine","Omeprazole","Azithromycin","Losartan","Vitamin C"},0))</f>
        <v>Painkiller</v>
      </c>
      <c r="D589" t="str" cm="1">
        <f t="array" aca="1" ref="D589" ca="1">INDEX({"MedSupply Co","HealthCorp","PharmaPlus","GlobalMed"}, RANDBETWEEN(1,4))</f>
        <v>MedSupply Co</v>
      </c>
      <c r="E589">
        <f t="shared" ca="1" si="91"/>
        <v>187</v>
      </c>
      <c r="F589">
        <f t="shared" ca="1" si="92"/>
        <v>67</v>
      </c>
      <c r="G589">
        <f t="shared" ca="1" si="93"/>
        <v>0.79</v>
      </c>
      <c r="H589" s="1">
        <f t="shared" ca="1" si="94"/>
        <v>46199</v>
      </c>
      <c r="I589" s="1">
        <f t="shared" ca="1" si="95"/>
        <v>46108</v>
      </c>
      <c r="J589">
        <f t="shared" ca="1" si="96"/>
        <v>147.73000000000002</v>
      </c>
      <c r="K589" t="str">
        <f t="shared" ca="1" si="97"/>
        <v>In Stock</v>
      </c>
      <c r="L589" s="2">
        <f t="shared" ca="1" si="98"/>
        <v>80</v>
      </c>
      <c r="M589" t="str">
        <f t="shared" ca="1" si="99"/>
        <v>Safe</v>
      </c>
    </row>
    <row r="590" spans="1:13" x14ac:dyDescent="0.25">
      <c r="A590" t="str">
        <f t="shared" si="90"/>
        <v>M589</v>
      </c>
      <c r="B590" t="str" cm="1">
        <f t="array" aca="1" ref="B590" ca="1">INDEX({"Paracetamol","Amoxicillin","Ibuprofen","Cetirizine","Metformin","Amlodipine","Omeprazole","Azithromycin","Losartan","Vitamin C"}, RANDBETWEEN(1,10))</f>
        <v>Metformin</v>
      </c>
      <c r="C590" t="str" cm="1">
        <f t="array" aca="1" ref="C590" ca="1">INDEX({"Painkiller","Antibiotic","Painkiller","Antihistamine","Diabetes","Hypertension","Antacid","Antibiotic","Hypertension","Supplement"},
MATCH(B590,{"Paracetamol","Amoxicillin","Ibuprofen","Cetirizine","Metformin","Amlodipine","Omeprazole","Azithromycin","Losartan","Vitamin C"},0))</f>
        <v>Diabetes</v>
      </c>
      <c r="D590" t="str" cm="1">
        <f t="array" aca="1" ref="D590" ca="1">INDEX({"MedSupply Co","HealthCorp","PharmaPlus","GlobalMed"}, RANDBETWEEN(1,4))</f>
        <v>HealthCorp</v>
      </c>
      <c r="E590">
        <f t="shared" ca="1" si="91"/>
        <v>47</v>
      </c>
      <c r="F590">
        <f t="shared" ca="1" si="92"/>
        <v>26</v>
      </c>
      <c r="G590">
        <f t="shared" ca="1" si="93"/>
        <v>1.45</v>
      </c>
      <c r="H590" s="1">
        <f t="shared" ca="1" si="94"/>
        <v>46228</v>
      </c>
      <c r="I590" s="1">
        <f t="shared" ca="1" si="95"/>
        <v>46020</v>
      </c>
      <c r="J590">
        <f t="shared" ca="1" si="96"/>
        <v>68.149999999999991</v>
      </c>
      <c r="K590" t="str">
        <f t="shared" ca="1" si="97"/>
        <v>In Stock</v>
      </c>
      <c r="L590" s="2">
        <f t="shared" ca="1" si="98"/>
        <v>109</v>
      </c>
      <c r="M590" t="str">
        <f t="shared" ca="1" si="99"/>
        <v>Safe</v>
      </c>
    </row>
    <row r="591" spans="1:13" x14ac:dyDescent="0.25">
      <c r="A591" t="str">
        <f t="shared" si="90"/>
        <v>M590</v>
      </c>
      <c r="B591" t="str" cm="1">
        <f t="array" aca="1" ref="B591" ca="1">INDEX({"Paracetamol","Amoxicillin","Ibuprofen","Cetirizine","Metformin","Amlodipine","Omeprazole","Azithromycin","Losartan","Vitamin C"}, RANDBETWEEN(1,10))</f>
        <v>Azithromycin</v>
      </c>
      <c r="C591" t="str" cm="1">
        <f t="array" aca="1" ref="C591" ca="1">INDEX({"Painkiller","Antibiotic","Painkiller","Antihistamine","Diabetes","Hypertension","Antacid","Antibiotic","Hypertension","Supplement"},
MATCH(B591,{"Paracetamol","Amoxicillin","Ibuprofen","Cetirizine","Metformin","Amlodipine","Omeprazole","Azithromycin","Losartan","Vitamin C"},0))</f>
        <v>Antibiotic</v>
      </c>
      <c r="D591" t="str" cm="1">
        <f t="array" aca="1" ref="D591" ca="1">INDEX({"MedSupply Co","HealthCorp","PharmaPlus","GlobalMed"}, RANDBETWEEN(1,4))</f>
        <v>GlobalMed</v>
      </c>
      <c r="E591">
        <f t="shared" ca="1" si="91"/>
        <v>162</v>
      </c>
      <c r="F591">
        <f t="shared" ca="1" si="92"/>
        <v>58</v>
      </c>
      <c r="G591">
        <f t="shared" ca="1" si="93"/>
        <v>1.32</v>
      </c>
      <c r="H591" s="1">
        <f t="shared" ca="1" si="94"/>
        <v>46159</v>
      </c>
      <c r="I591" s="1">
        <f t="shared" ca="1" si="95"/>
        <v>45997</v>
      </c>
      <c r="J591">
        <f t="shared" ca="1" si="96"/>
        <v>213.84</v>
      </c>
      <c r="K591" t="str">
        <f t="shared" ca="1" si="97"/>
        <v>In Stock</v>
      </c>
      <c r="L591" s="2">
        <f t="shared" ca="1" si="98"/>
        <v>40</v>
      </c>
      <c r="M591" t="str">
        <f t="shared" ca="1" si="99"/>
        <v>Safe</v>
      </c>
    </row>
    <row r="592" spans="1:13" x14ac:dyDescent="0.25">
      <c r="A592" t="str">
        <f t="shared" si="90"/>
        <v>M591</v>
      </c>
      <c r="B592" t="str" cm="1">
        <f t="array" aca="1" ref="B592" ca="1">INDEX({"Paracetamol","Amoxicillin","Ibuprofen","Cetirizine","Metformin","Amlodipine","Omeprazole","Azithromycin","Losartan","Vitamin C"}, RANDBETWEEN(1,10))</f>
        <v>Azithromycin</v>
      </c>
      <c r="C592" t="str" cm="1">
        <f t="array" aca="1" ref="C592" ca="1">INDEX({"Painkiller","Antibiotic","Painkiller","Antihistamine","Diabetes","Hypertension","Antacid","Antibiotic","Hypertension","Supplement"},
MATCH(B592,{"Paracetamol","Amoxicillin","Ibuprofen","Cetirizine","Metformin","Amlodipine","Omeprazole","Azithromycin","Losartan","Vitamin C"},0))</f>
        <v>Antibiotic</v>
      </c>
      <c r="D592" t="str" cm="1">
        <f t="array" aca="1" ref="D592" ca="1">INDEX({"MedSupply Co","HealthCorp","PharmaPlus","GlobalMed"}, RANDBETWEEN(1,4))</f>
        <v>PharmaPlus</v>
      </c>
      <c r="E592">
        <f t="shared" ca="1" si="91"/>
        <v>43</v>
      </c>
      <c r="F592">
        <f t="shared" ca="1" si="92"/>
        <v>54</v>
      </c>
      <c r="G592">
        <f t="shared" ca="1" si="93"/>
        <v>0.54</v>
      </c>
      <c r="H592" s="1">
        <f t="shared" ca="1" si="94"/>
        <v>46172</v>
      </c>
      <c r="I592" s="1">
        <f t="shared" ca="1" si="95"/>
        <v>46076</v>
      </c>
      <c r="J592">
        <f t="shared" ca="1" si="96"/>
        <v>23.220000000000002</v>
      </c>
      <c r="K592" t="str">
        <f t="shared" ca="1" si="97"/>
        <v>Low Stock</v>
      </c>
      <c r="L592" s="2">
        <f t="shared" ca="1" si="98"/>
        <v>53</v>
      </c>
      <c r="M592" t="str">
        <f t="shared" ca="1" si="99"/>
        <v>Safe</v>
      </c>
    </row>
    <row r="593" spans="1:13" x14ac:dyDescent="0.25">
      <c r="A593" t="str">
        <f t="shared" si="90"/>
        <v>M592</v>
      </c>
      <c r="B593" t="str" cm="1">
        <f t="array" aca="1" ref="B593" ca="1">INDEX({"Paracetamol","Amoxicillin","Ibuprofen","Cetirizine","Metformin","Amlodipine","Omeprazole","Azithromycin","Losartan","Vitamin C"}, RANDBETWEEN(1,10))</f>
        <v>Omeprazole</v>
      </c>
      <c r="C593" t="str" cm="1">
        <f t="array" aca="1" ref="C593" ca="1">INDEX({"Painkiller","Antibiotic","Painkiller","Antihistamine","Diabetes","Hypertension","Antacid","Antibiotic","Hypertension","Supplement"},
MATCH(B593,{"Paracetamol","Amoxicillin","Ibuprofen","Cetirizine","Metformin","Amlodipine","Omeprazole","Azithromycin","Losartan","Vitamin C"},0))</f>
        <v>Antacid</v>
      </c>
      <c r="D593" t="str" cm="1">
        <f t="array" aca="1" ref="D593" ca="1">INDEX({"MedSupply Co","HealthCorp","PharmaPlus","GlobalMed"}, RANDBETWEEN(1,4))</f>
        <v>GlobalMed</v>
      </c>
      <c r="E593">
        <f t="shared" ca="1" si="91"/>
        <v>193</v>
      </c>
      <c r="F593">
        <f t="shared" ca="1" si="92"/>
        <v>96</v>
      </c>
      <c r="G593">
        <f t="shared" ca="1" si="93"/>
        <v>1.61</v>
      </c>
      <c r="H593" s="1">
        <f t="shared" ca="1" si="94"/>
        <v>46236</v>
      </c>
      <c r="I593" s="1">
        <f t="shared" ca="1" si="95"/>
        <v>45942</v>
      </c>
      <c r="J593">
        <f t="shared" ca="1" si="96"/>
        <v>310.73</v>
      </c>
      <c r="K593" t="str">
        <f t="shared" ca="1" si="97"/>
        <v>In Stock</v>
      </c>
      <c r="L593" s="2">
        <f t="shared" ca="1" si="98"/>
        <v>117</v>
      </c>
      <c r="M593" t="str">
        <f t="shared" ca="1" si="99"/>
        <v>Safe</v>
      </c>
    </row>
    <row r="594" spans="1:13" x14ac:dyDescent="0.25">
      <c r="A594" t="str">
        <f t="shared" si="90"/>
        <v>M593</v>
      </c>
      <c r="B594" t="str" cm="1">
        <f t="array" aca="1" ref="B594" ca="1">INDEX({"Paracetamol","Amoxicillin","Ibuprofen","Cetirizine","Metformin","Amlodipine","Omeprazole","Azithromycin","Losartan","Vitamin C"}, RANDBETWEEN(1,10))</f>
        <v>Omeprazole</v>
      </c>
      <c r="C594" t="str" cm="1">
        <f t="array" aca="1" ref="C594" ca="1">INDEX({"Painkiller","Antibiotic","Painkiller","Antihistamine","Diabetes","Hypertension","Antacid","Antibiotic","Hypertension","Supplement"},
MATCH(B594,{"Paracetamol","Amoxicillin","Ibuprofen","Cetirizine","Metformin","Amlodipine","Omeprazole","Azithromycin","Losartan","Vitamin C"},0))</f>
        <v>Antacid</v>
      </c>
      <c r="D594" t="str" cm="1">
        <f t="array" aca="1" ref="D594" ca="1">INDEX({"MedSupply Co","HealthCorp","PharmaPlus","GlobalMed"}, RANDBETWEEN(1,4))</f>
        <v>MedSupply Co</v>
      </c>
      <c r="E594">
        <f t="shared" ca="1" si="91"/>
        <v>16</v>
      </c>
      <c r="F594">
        <f t="shared" ca="1" si="92"/>
        <v>93</v>
      </c>
      <c r="G594">
        <f t="shared" ca="1" si="93"/>
        <v>1.77</v>
      </c>
      <c r="H594" s="1">
        <f t="shared" ca="1" si="94"/>
        <v>46302</v>
      </c>
      <c r="I594" s="1">
        <f t="shared" ca="1" si="95"/>
        <v>46058</v>
      </c>
      <c r="J594">
        <f t="shared" ca="1" si="96"/>
        <v>28.32</v>
      </c>
      <c r="K594" t="str">
        <f t="shared" ca="1" si="97"/>
        <v>Low Stock</v>
      </c>
      <c r="L594" s="2">
        <f t="shared" ca="1" si="98"/>
        <v>183</v>
      </c>
      <c r="M594" t="str">
        <f t="shared" ca="1" si="99"/>
        <v>Safe</v>
      </c>
    </row>
    <row r="595" spans="1:13" x14ac:dyDescent="0.25">
      <c r="A595" t="str">
        <f t="shared" si="90"/>
        <v>M594</v>
      </c>
      <c r="B595" t="str" cm="1">
        <f t="array" aca="1" ref="B595" ca="1">INDEX({"Paracetamol","Amoxicillin","Ibuprofen","Cetirizine","Metformin","Amlodipine","Omeprazole","Azithromycin","Losartan","Vitamin C"}, RANDBETWEEN(1,10))</f>
        <v>Paracetamol</v>
      </c>
      <c r="C595" t="str" cm="1">
        <f t="array" aca="1" ref="C595" ca="1">INDEX({"Painkiller","Antibiotic","Painkiller","Antihistamine","Diabetes","Hypertension","Antacid","Antibiotic","Hypertension","Supplement"},
MATCH(B595,{"Paracetamol","Amoxicillin","Ibuprofen","Cetirizine","Metformin","Amlodipine","Omeprazole","Azithromycin","Losartan","Vitamin C"},0))</f>
        <v>Painkiller</v>
      </c>
      <c r="D595" t="str" cm="1">
        <f t="array" aca="1" ref="D595" ca="1">INDEX({"MedSupply Co","HealthCorp","PharmaPlus","GlobalMed"}, RANDBETWEEN(1,4))</f>
        <v>MedSupply Co</v>
      </c>
      <c r="E595">
        <f t="shared" ca="1" si="91"/>
        <v>166</v>
      </c>
      <c r="F595">
        <f t="shared" ca="1" si="92"/>
        <v>96</v>
      </c>
      <c r="G595">
        <f t="shared" ca="1" si="93"/>
        <v>1.44</v>
      </c>
      <c r="H595" s="1">
        <f t="shared" ca="1" si="94"/>
        <v>46258</v>
      </c>
      <c r="I595" s="1">
        <f t="shared" ca="1" si="95"/>
        <v>45964</v>
      </c>
      <c r="J595">
        <f t="shared" ca="1" si="96"/>
        <v>239.04</v>
      </c>
      <c r="K595" t="str">
        <f t="shared" ca="1" si="97"/>
        <v>In Stock</v>
      </c>
      <c r="L595" s="2">
        <f t="shared" ca="1" si="98"/>
        <v>139</v>
      </c>
      <c r="M595" t="str">
        <f t="shared" ca="1" si="99"/>
        <v>Safe</v>
      </c>
    </row>
    <row r="596" spans="1:13" x14ac:dyDescent="0.25">
      <c r="A596" t="str">
        <f t="shared" si="90"/>
        <v>M595</v>
      </c>
      <c r="B596" t="str" cm="1">
        <f t="array" aca="1" ref="B596" ca="1">INDEX({"Paracetamol","Amoxicillin","Ibuprofen","Cetirizine","Metformin","Amlodipine","Omeprazole","Azithromycin","Losartan","Vitamin C"}, RANDBETWEEN(1,10))</f>
        <v>Losartan</v>
      </c>
      <c r="C596" t="str" cm="1">
        <f t="array" aca="1" ref="C596" ca="1">INDEX({"Painkiller","Antibiotic","Painkiller","Antihistamine","Diabetes","Hypertension","Antacid","Antibiotic","Hypertension","Supplement"},
MATCH(B596,{"Paracetamol","Amoxicillin","Ibuprofen","Cetirizine","Metformin","Amlodipine","Omeprazole","Azithromycin","Losartan","Vitamin C"},0))</f>
        <v>Hypertension</v>
      </c>
      <c r="D596" t="str" cm="1">
        <f t="array" aca="1" ref="D596" ca="1">INDEX({"MedSupply Co","HealthCorp","PharmaPlus","GlobalMed"}, RANDBETWEEN(1,4))</f>
        <v>PharmaPlus</v>
      </c>
      <c r="E596">
        <f t="shared" ca="1" si="91"/>
        <v>72</v>
      </c>
      <c r="F596">
        <f t="shared" ca="1" si="92"/>
        <v>96</v>
      </c>
      <c r="G596">
        <f t="shared" ca="1" si="93"/>
        <v>1.47</v>
      </c>
      <c r="H596" s="1">
        <f t="shared" ca="1" si="94"/>
        <v>46479</v>
      </c>
      <c r="I596" s="1">
        <f t="shared" ca="1" si="95"/>
        <v>45962</v>
      </c>
      <c r="J596">
        <f t="shared" ca="1" si="96"/>
        <v>105.84</v>
      </c>
      <c r="K596" t="str">
        <f t="shared" ca="1" si="97"/>
        <v>Low Stock</v>
      </c>
      <c r="L596" s="2">
        <f t="shared" ca="1" si="98"/>
        <v>360</v>
      </c>
      <c r="M596" t="str">
        <f t="shared" ca="1" si="99"/>
        <v>Safe</v>
      </c>
    </row>
    <row r="597" spans="1:13" x14ac:dyDescent="0.25">
      <c r="A597" t="str">
        <f t="shared" si="90"/>
        <v>M596</v>
      </c>
      <c r="B597" t="str" cm="1">
        <f t="array" aca="1" ref="B597" ca="1">INDEX({"Paracetamol","Amoxicillin","Ibuprofen","Cetirizine","Metformin","Amlodipine","Omeprazole","Azithromycin","Losartan","Vitamin C"}, RANDBETWEEN(1,10))</f>
        <v>Losartan</v>
      </c>
      <c r="C597" t="str" cm="1">
        <f t="array" aca="1" ref="C597" ca="1">INDEX({"Painkiller","Antibiotic","Painkiller","Antihistamine","Diabetes","Hypertension","Antacid","Antibiotic","Hypertension","Supplement"},
MATCH(B597,{"Paracetamol","Amoxicillin","Ibuprofen","Cetirizine","Metformin","Amlodipine","Omeprazole","Azithromycin","Losartan","Vitamin C"},0))</f>
        <v>Hypertension</v>
      </c>
      <c r="D597" t="str" cm="1">
        <f t="array" aca="1" ref="D597" ca="1">INDEX({"MedSupply Co","HealthCorp","PharmaPlus","GlobalMed"}, RANDBETWEEN(1,4))</f>
        <v>MedSupply Co</v>
      </c>
      <c r="E597">
        <f t="shared" ca="1" si="91"/>
        <v>14</v>
      </c>
      <c r="F597">
        <f t="shared" ca="1" si="92"/>
        <v>95</v>
      </c>
      <c r="G597">
        <f t="shared" ca="1" si="93"/>
        <v>1.55</v>
      </c>
      <c r="H597" s="1">
        <f t="shared" ca="1" si="94"/>
        <v>46261</v>
      </c>
      <c r="I597" s="1">
        <f t="shared" ca="1" si="95"/>
        <v>46009</v>
      </c>
      <c r="J597">
        <f t="shared" ca="1" si="96"/>
        <v>21.7</v>
      </c>
      <c r="K597" t="str">
        <f t="shared" ca="1" si="97"/>
        <v>Low Stock</v>
      </c>
      <c r="L597" s="2">
        <f t="shared" ca="1" si="98"/>
        <v>142</v>
      </c>
      <c r="M597" t="str">
        <f t="shared" ca="1" si="99"/>
        <v>Safe</v>
      </c>
    </row>
    <row r="598" spans="1:13" x14ac:dyDescent="0.25">
      <c r="A598" t="str">
        <f t="shared" si="90"/>
        <v>M597</v>
      </c>
      <c r="B598" t="str" cm="1">
        <f t="array" aca="1" ref="B598" ca="1">INDEX({"Paracetamol","Amoxicillin","Ibuprofen","Cetirizine","Metformin","Amlodipine","Omeprazole","Azithromycin","Losartan","Vitamin C"}, RANDBETWEEN(1,10))</f>
        <v>Paracetamol</v>
      </c>
      <c r="C598" t="str" cm="1">
        <f t="array" aca="1" ref="C598" ca="1">INDEX({"Painkiller","Antibiotic","Painkiller","Antihistamine","Diabetes","Hypertension","Antacid","Antibiotic","Hypertension","Supplement"},
MATCH(B598,{"Paracetamol","Amoxicillin","Ibuprofen","Cetirizine","Metformin","Amlodipine","Omeprazole","Azithromycin","Losartan","Vitamin C"},0))</f>
        <v>Painkiller</v>
      </c>
      <c r="D598" t="str" cm="1">
        <f t="array" aca="1" ref="D598" ca="1">INDEX({"MedSupply Co","HealthCorp","PharmaPlus","GlobalMed"}, RANDBETWEEN(1,4))</f>
        <v>MedSupply Co</v>
      </c>
      <c r="E598">
        <f t="shared" ca="1" si="91"/>
        <v>190</v>
      </c>
      <c r="F598">
        <f t="shared" ca="1" si="92"/>
        <v>74</v>
      </c>
      <c r="G598">
        <f t="shared" ca="1" si="93"/>
        <v>1.23</v>
      </c>
      <c r="H598" s="1">
        <f t="shared" ca="1" si="94"/>
        <v>46455</v>
      </c>
      <c r="I598" s="1">
        <f t="shared" ca="1" si="95"/>
        <v>45955</v>
      </c>
      <c r="J598">
        <f t="shared" ca="1" si="96"/>
        <v>233.7</v>
      </c>
      <c r="K598" t="str">
        <f t="shared" ca="1" si="97"/>
        <v>In Stock</v>
      </c>
      <c r="L598" s="2">
        <f t="shared" ca="1" si="98"/>
        <v>336</v>
      </c>
      <c r="M598" t="str">
        <f t="shared" ca="1" si="99"/>
        <v>Safe</v>
      </c>
    </row>
    <row r="599" spans="1:13" x14ac:dyDescent="0.25">
      <c r="A599" t="str">
        <f t="shared" si="90"/>
        <v>M598</v>
      </c>
      <c r="B599" t="str" cm="1">
        <f t="array" aca="1" ref="B599" ca="1">INDEX({"Paracetamol","Amoxicillin","Ibuprofen","Cetirizine","Metformin","Amlodipine","Omeprazole","Azithromycin","Losartan","Vitamin C"}, RANDBETWEEN(1,10))</f>
        <v>Amlodipine</v>
      </c>
      <c r="C599" t="str" cm="1">
        <f t="array" aca="1" ref="C599" ca="1">INDEX({"Painkiller","Antibiotic","Painkiller","Antihistamine","Diabetes","Hypertension","Antacid","Antibiotic","Hypertension","Supplement"},
MATCH(B599,{"Paracetamol","Amoxicillin","Ibuprofen","Cetirizine","Metformin","Amlodipine","Omeprazole","Azithromycin","Losartan","Vitamin C"},0))</f>
        <v>Hypertension</v>
      </c>
      <c r="D599" t="str" cm="1">
        <f t="array" aca="1" ref="D599" ca="1">INDEX({"MedSupply Co","HealthCorp","PharmaPlus","GlobalMed"}, RANDBETWEEN(1,4))</f>
        <v>GlobalMed</v>
      </c>
      <c r="E599">
        <f t="shared" ca="1" si="91"/>
        <v>161</v>
      </c>
      <c r="F599">
        <f t="shared" ca="1" si="92"/>
        <v>84</v>
      </c>
      <c r="G599">
        <f t="shared" ca="1" si="93"/>
        <v>0.74</v>
      </c>
      <c r="H599" s="1">
        <f t="shared" ca="1" si="94"/>
        <v>46387</v>
      </c>
      <c r="I599" s="1">
        <f t="shared" ca="1" si="95"/>
        <v>46087</v>
      </c>
      <c r="J599">
        <f t="shared" ca="1" si="96"/>
        <v>119.14</v>
      </c>
      <c r="K599" t="str">
        <f t="shared" ca="1" si="97"/>
        <v>In Stock</v>
      </c>
      <c r="L599" s="2">
        <f t="shared" ca="1" si="98"/>
        <v>268</v>
      </c>
      <c r="M599" t="str">
        <f t="shared" ca="1" si="99"/>
        <v>Safe</v>
      </c>
    </row>
    <row r="600" spans="1:13" x14ac:dyDescent="0.25">
      <c r="A600" t="str">
        <f t="shared" si="90"/>
        <v>M599</v>
      </c>
      <c r="B600" t="str" cm="1">
        <f t="array" aca="1" ref="B600" ca="1">INDEX({"Paracetamol","Amoxicillin","Ibuprofen","Cetirizine","Metformin","Amlodipine","Omeprazole","Azithromycin","Losartan","Vitamin C"}, RANDBETWEEN(1,10))</f>
        <v>Vitamin C</v>
      </c>
      <c r="C600" t="str" cm="1">
        <f t="array" aca="1" ref="C600" ca="1">INDEX({"Painkiller","Antibiotic","Painkiller","Antihistamine","Diabetes","Hypertension","Antacid","Antibiotic","Hypertension","Supplement"},
MATCH(B600,{"Paracetamol","Amoxicillin","Ibuprofen","Cetirizine","Metformin","Amlodipine","Omeprazole","Azithromycin","Losartan","Vitamin C"},0))</f>
        <v>Supplement</v>
      </c>
      <c r="D600" t="str" cm="1">
        <f t="array" aca="1" ref="D600" ca="1">INDEX({"MedSupply Co","HealthCorp","PharmaPlus","GlobalMed"}, RANDBETWEEN(1,4))</f>
        <v>GlobalMed</v>
      </c>
      <c r="E600">
        <f t="shared" ca="1" si="91"/>
        <v>134</v>
      </c>
      <c r="F600">
        <f t="shared" ca="1" si="92"/>
        <v>30</v>
      </c>
      <c r="G600">
        <f t="shared" ca="1" si="93"/>
        <v>1.65</v>
      </c>
      <c r="H600" s="1">
        <f t="shared" ca="1" si="94"/>
        <v>46398</v>
      </c>
      <c r="I600" s="1">
        <f t="shared" ca="1" si="95"/>
        <v>46005</v>
      </c>
      <c r="J600">
        <f t="shared" ca="1" si="96"/>
        <v>221.1</v>
      </c>
      <c r="K600" t="str">
        <f t="shared" ca="1" si="97"/>
        <v>In Stock</v>
      </c>
      <c r="L600" s="2">
        <f t="shared" ca="1" si="98"/>
        <v>279</v>
      </c>
      <c r="M600" t="str">
        <f t="shared" ca="1" si="99"/>
        <v>Safe</v>
      </c>
    </row>
    <row r="601" spans="1:13" x14ac:dyDescent="0.25">
      <c r="A601" t="str">
        <f t="shared" si="90"/>
        <v>M600</v>
      </c>
      <c r="B601" t="str" cm="1">
        <f t="array" aca="1" ref="B601" ca="1">INDEX({"Paracetamol","Amoxicillin","Ibuprofen","Cetirizine","Metformin","Amlodipine","Omeprazole","Azithromycin","Losartan","Vitamin C"}, RANDBETWEEN(1,10))</f>
        <v>Ibuprofen</v>
      </c>
      <c r="C601" t="str" cm="1">
        <f t="array" aca="1" ref="C601" ca="1">INDEX({"Painkiller","Antibiotic","Painkiller","Antihistamine","Diabetes","Hypertension","Antacid","Antibiotic","Hypertension","Supplement"},
MATCH(B601,{"Paracetamol","Amoxicillin","Ibuprofen","Cetirizine","Metformin","Amlodipine","Omeprazole","Azithromycin","Losartan","Vitamin C"},0))</f>
        <v>Painkiller</v>
      </c>
      <c r="D601" t="str" cm="1">
        <f t="array" aca="1" ref="D601" ca="1">INDEX({"MedSupply Co","HealthCorp","PharmaPlus","GlobalMed"}, RANDBETWEEN(1,4))</f>
        <v>HealthCorp</v>
      </c>
      <c r="E601">
        <f t="shared" ca="1" si="91"/>
        <v>165</v>
      </c>
      <c r="F601">
        <f t="shared" ca="1" si="92"/>
        <v>82</v>
      </c>
      <c r="G601">
        <f t="shared" ca="1" si="93"/>
        <v>0.77</v>
      </c>
      <c r="H601" s="1">
        <f t="shared" ca="1" si="94"/>
        <v>46368</v>
      </c>
      <c r="I601" s="1">
        <f t="shared" ca="1" si="95"/>
        <v>45978</v>
      </c>
      <c r="J601">
        <f t="shared" ca="1" si="96"/>
        <v>127.05</v>
      </c>
      <c r="K601" t="str">
        <f t="shared" ca="1" si="97"/>
        <v>In Stock</v>
      </c>
      <c r="L601" s="2">
        <f t="shared" ca="1" si="98"/>
        <v>249</v>
      </c>
      <c r="M601" t="str">
        <f t="shared" ca="1" si="99"/>
        <v>Safe</v>
      </c>
    </row>
    <row r="602" spans="1:13" x14ac:dyDescent="0.25">
      <c r="A602" t="str">
        <f t="shared" si="90"/>
        <v>M601</v>
      </c>
      <c r="B602" t="str" cm="1">
        <f t="array" aca="1" ref="B602" ca="1">INDEX({"Paracetamol","Amoxicillin","Ibuprofen","Cetirizine","Metformin","Amlodipine","Omeprazole","Azithromycin","Losartan","Vitamin C"}, RANDBETWEEN(1,10))</f>
        <v>Losartan</v>
      </c>
      <c r="C602" t="str" cm="1">
        <f t="array" aca="1" ref="C602" ca="1">INDEX({"Painkiller","Antibiotic","Painkiller","Antihistamine","Diabetes","Hypertension","Antacid","Antibiotic","Hypertension","Supplement"},
MATCH(B602,{"Paracetamol","Amoxicillin","Ibuprofen","Cetirizine","Metformin","Amlodipine","Omeprazole","Azithromycin","Losartan","Vitamin C"},0))</f>
        <v>Hypertension</v>
      </c>
      <c r="D602" t="str" cm="1">
        <f t="array" aca="1" ref="D602" ca="1">INDEX({"MedSupply Co","HealthCorp","PharmaPlus","GlobalMed"}, RANDBETWEEN(1,4))</f>
        <v>MedSupply Co</v>
      </c>
      <c r="E602">
        <f t="shared" ca="1" si="91"/>
        <v>107</v>
      </c>
      <c r="F602">
        <f t="shared" ca="1" si="92"/>
        <v>65</v>
      </c>
      <c r="G602">
        <f t="shared" ca="1" si="93"/>
        <v>1.23</v>
      </c>
      <c r="H602" s="1">
        <f t="shared" ca="1" si="94"/>
        <v>46482</v>
      </c>
      <c r="I602" s="1">
        <f t="shared" ca="1" si="95"/>
        <v>46100</v>
      </c>
      <c r="J602">
        <f t="shared" ca="1" si="96"/>
        <v>131.60999999999999</v>
      </c>
      <c r="K602" t="str">
        <f t="shared" ca="1" si="97"/>
        <v>In Stock</v>
      </c>
      <c r="L602" s="2">
        <f t="shared" ca="1" si="98"/>
        <v>363</v>
      </c>
      <c r="M602" t="str">
        <f t="shared" ca="1" si="99"/>
        <v>Safe</v>
      </c>
    </row>
    <row r="603" spans="1:13" x14ac:dyDescent="0.25">
      <c r="A603" t="str">
        <f t="shared" si="90"/>
        <v>M602</v>
      </c>
      <c r="B603" t="str" cm="1">
        <f t="array" aca="1" ref="B603" ca="1">INDEX({"Paracetamol","Amoxicillin","Ibuprofen","Cetirizine","Metformin","Amlodipine","Omeprazole","Azithromycin","Losartan","Vitamin C"}, RANDBETWEEN(1,10))</f>
        <v>Vitamin C</v>
      </c>
      <c r="C603" t="str" cm="1">
        <f t="array" aca="1" ref="C603" ca="1">INDEX({"Painkiller","Antibiotic","Painkiller","Antihistamine","Diabetes","Hypertension","Antacid","Antibiotic","Hypertension","Supplement"},
MATCH(B603,{"Paracetamol","Amoxicillin","Ibuprofen","Cetirizine","Metformin","Amlodipine","Omeprazole","Azithromycin","Losartan","Vitamin C"},0))</f>
        <v>Supplement</v>
      </c>
      <c r="D603" t="str" cm="1">
        <f t="array" aca="1" ref="D603" ca="1">INDEX({"MedSupply Co","HealthCorp","PharmaPlus","GlobalMed"}, RANDBETWEEN(1,4))</f>
        <v>PharmaPlus</v>
      </c>
      <c r="E603">
        <f t="shared" ca="1" si="91"/>
        <v>151</v>
      </c>
      <c r="F603">
        <f t="shared" ca="1" si="92"/>
        <v>37</v>
      </c>
      <c r="G603">
        <f t="shared" ca="1" si="93"/>
        <v>1.29</v>
      </c>
      <c r="H603" s="1">
        <f t="shared" ca="1" si="94"/>
        <v>46259</v>
      </c>
      <c r="I603" s="1">
        <f t="shared" ca="1" si="95"/>
        <v>45956</v>
      </c>
      <c r="J603">
        <f t="shared" ca="1" si="96"/>
        <v>194.79</v>
      </c>
      <c r="K603" t="str">
        <f t="shared" ca="1" si="97"/>
        <v>In Stock</v>
      </c>
      <c r="L603" s="2">
        <f t="shared" ca="1" si="98"/>
        <v>140</v>
      </c>
      <c r="M603" t="str">
        <f t="shared" ca="1" si="99"/>
        <v>Safe</v>
      </c>
    </row>
    <row r="604" spans="1:13" x14ac:dyDescent="0.25">
      <c r="A604" t="str">
        <f t="shared" si="90"/>
        <v>M603</v>
      </c>
      <c r="B604" t="str" cm="1">
        <f t="array" aca="1" ref="B604" ca="1">INDEX({"Paracetamol","Amoxicillin","Ibuprofen","Cetirizine","Metformin","Amlodipine","Omeprazole","Azithromycin","Losartan","Vitamin C"}, RANDBETWEEN(1,10))</f>
        <v>Omeprazole</v>
      </c>
      <c r="C604" t="str" cm="1">
        <f t="array" aca="1" ref="C604" ca="1">INDEX({"Painkiller","Antibiotic","Painkiller","Antihistamine","Diabetes","Hypertension","Antacid","Antibiotic","Hypertension","Supplement"},
MATCH(B604,{"Paracetamol","Amoxicillin","Ibuprofen","Cetirizine","Metformin","Amlodipine","Omeprazole","Azithromycin","Losartan","Vitamin C"},0))</f>
        <v>Antacid</v>
      </c>
      <c r="D604" t="str" cm="1">
        <f t="array" aca="1" ref="D604" ca="1">INDEX({"MedSupply Co","HealthCorp","PharmaPlus","GlobalMed"}, RANDBETWEEN(1,4))</f>
        <v>HealthCorp</v>
      </c>
      <c r="E604">
        <f t="shared" ca="1" si="91"/>
        <v>10</v>
      </c>
      <c r="F604">
        <f t="shared" ca="1" si="92"/>
        <v>66</v>
      </c>
      <c r="G604">
        <f t="shared" ca="1" si="93"/>
        <v>1.1100000000000001</v>
      </c>
      <c r="H604" s="1">
        <f t="shared" ca="1" si="94"/>
        <v>46249</v>
      </c>
      <c r="I604" s="1">
        <f t="shared" ca="1" si="95"/>
        <v>46062</v>
      </c>
      <c r="J604">
        <f t="shared" ca="1" si="96"/>
        <v>11.100000000000001</v>
      </c>
      <c r="K604" t="str">
        <f t="shared" ca="1" si="97"/>
        <v>Low Stock</v>
      </c>
      <c r="L604" s="2">
        <f t="shared" ca="1" si="98"/>
        <v>130</v>
      </c>
      <c r="M604" t="str">
        <f t="shared" ca="1" si="99"/>
        <v>Safe</v>
      </c>
    </row>
    <row r="605" spans="1:13" x14ac:dyDescent="0.25">
      <c r="A605" t="str">
        <f t="shared" si="90"/>
        <v>M604</v>
      </c>
      <c r="B605" t="str" cm="1">
        <f t="array" aca="1" ref="B605" ca="1">INDEX({"Paracetamol","Amoxicillin","Ibuprofen","Cetirizine","Metformin","Amlodipine","Omeprazole","Azithromycin","Losartan","Vitamin C"}, RANDBETWEEN(1,10))</f>
        <v>Amlodipine</v>
      </c>
      <c r="C605" t="str" cm="1">
        <f t="array" aca="1" ref="C605" ca="1">INDEX({"Painkiller","Antibiotic","Painkiller","Antihistamine","Diabetes","Hypertension","Antacid","Antibiotic","Hypertension","Supplement"},
MATCH(B605,{"Paracetamol","Amoxicillin","Ibuprofen","Cetirizine","Metformin","Amlodipine","Omeprazole","Azithromycin","Losartan","Vitamin C"},0))</f>
        <v>Hypertension</v>
      </c>
      <c r="D605" t="str" cm="1">
        <f t="array" aca="1" ref="D605" ca="1">INDEX({"MedSupply Co","HealthCorp","PharmaPlus","GlobalMed"}, RANDBETWEEN(1,4))</f>
        <v>MedSupply Co</v>
      </c>
      <c r="E605">
        <f t="shared" ca="1" si="91"/>
        <v>10</v>
      </c>
      <c r="F605">
        <f t="shared" ca="1" si="92"/>
        <v>36</v>
      </c>
      <c r="G605">
        <f t="shared" ca="1" si="93"/>
        <v>1.2</v>
      </c>
      <c r="H605" s="1">
        <f t="shared" ca="1" si="94"/>
        <v>46227</v>
      </c>
      <c r="I605" s="1">
        <f t="shared" ca="1" si="95"/>
        <v>46083</v>
      </c>
      <c r="J605">
        <f t="shared" ca="1" si="96"/>
        <v>12</v>
      </c>
      <c r="K605" t="str">
        <f t="shared" ca="1" si="97"/>
        <v>Low Stock</v>
      </c>
      <c r="L605" s="2">
        <f t="shared" ca="1" si="98"/>
        <v>108</v>
      </c>
      <c r="M605" t="str">
        <f t="shared" ca="1" si="99"/>
        <v>Safe</v>
      </c>
    </row>
    <row r="606" spans="1:13" x14ac:dyDescent="0.25">
      <c r="A606" t="str">
        <f t="shared" si="90"/>
        <v>M605</v>
      </c>
      <c r="B606" t="str" cm="1">
        <f t="array" aca="1" ref="B606" ca="1">INDEX({"Paracetamol","Amoxicillin","Ibuprofen","Cetirizine","Metformin","Amlodipine","Omeprazole","Azithromycin","Losartan","Vitamin C"}, RANDBETWEEN(1,10))</f>
        <v>Amlodipine</v>
      </c>
      <c r="C606" t="str" cm="1">
        <f t="array" aca="1" ref="C606" ca="1">INDEX({"Painkiller","Antibiotic","Painkiller","Antihistamine","Diabetes","Hypertension","Antacid","Antibiotic","Hypertension","Supplement"},
MATCH(B606,{"Paracetamol","Amoxicillin","Ibuprofen","Cetirizine","Metformin","Amlodipine","Omeprazole","Azithromycin","Losartan","Vitamin C"},0))</f>
        <v>Hypertension</v>
      </c>
      <c r="D606" t="str" cm="1">
        <f t="array" aca="1" ref="D606" ca="1">INDEX({"MedSupply Co","HealthCorp","PharmaPlus","GlobalMed"}, RANDBETWEEN(1,4))</f>
        <v>HealthCorp</v>
      </c>
      <c r="E606">
        <f t="shared" ca="1" si="91"/>
        <v>26</v>
      </c>
      <c r="F606">
        <f t="shared" ca="1" si="92"/>
        <v>24</v>
      </c>
      <c r="G606">
        <f t="shared" ca="1" si="93"/>
        <v>1.53</v>
      </c>
      <c r="H606" s="1">
        <f t="shared" ca="1" si="94"/>
        <v>46365</v>
      </c>
      <c r="I606" s="1">
        <f t="shared" ca="1" si="95"/>
        <v>45942</v>
      </c>
      <c r="J606">
        <f t="shared" ca="1" si="96"/>
        <v>39.78</v>
      </c>
      <c r="K606" t="str">
        <f t="shared" ca="1" si="97"/>
        <v>In Stock</v>
      </c>
      <c r="L606" s="2">
        <f t="shared" ca="1" si="98"/>
        <v>246</v>
      </c>
      <c r="M606" t="str">
        <f t="shared" ca="1" si="99"/>
        <v>Safe</v>
      </c>
    </row>
    <row r="607" spans="1:13" x14ac:dyDescent="0.25">
      <c r="A607" t="str">
        <f t="shared" si="90"/>
        <v>M606</v>
      </c>
      <c r="B607" t="str" cm="1">
        <f t="array" aca="1" ref="B607" ca="1">INDEX({"Paracetamol","Amoxicillin","Ibuprofen","Cetirizine","Metformin","Amlodipine","Omeprazole","Azithromycin","Losartan","Vitamin C"}, RANDBETWEEN(1,10))</f>
        <v>Omeprazole</v>
      </c>
      <c r="C607" t="str" cm="1">
        <f t="array" aca="1" ref="C607" ca="1">INDEX({"Painkiller","Antibiotic","Painkiller","Antihistamine","Diabetes","Hypertension","Antacid","Antibiotic","Hypertension","Supplement"},
MATCH(B607,{"Paracetamol","Amoxicillin","Ibuprofen","Cetirizine","Metformin","Amlodipine","Omeprazole","Azithromycin","Losartan","Vitamin C"},0))</f>
        <v>Antacid</v>
      </c>
      <c r="D607" t="str" cm="1">
        <f t="array" aca="1" ref="D607" ca="1">INDEX({"MedSupply Co","HealthCorp","PharmaPlus","GlobalMed"}, RANDBETWEEN(1,4))</f>
        <v>MedSupply Co</v>
      </c>
      <c r="E607">
        <f t="shared" ca="1" si="91"/>
        <v>25</v>
      </c>
      <c r="F607">
        <f t="shared" ca="1" si="92"/>
        <v>47</v>
      </c>
      <c r="G607">
        <f t="shared" ca="1" si="93"/>
        <v>1.07</v>
      </c>
      <c r="H607" s="1">
        <f t="shared" ca="1" si="94"/>
        <v>46330</v>
      </c>
      <c r="I607" s="1">
        <f t="shared" ca="1" si="95"/>
        <v>46096</v>
      </c>
      <c r="J607">
        <f t="shared" ca="1" si="96"/>
        <v>26.75</v>
      </c>
      <c r="K607" t="str">
        <f t="shared" ca="1" si="97"/>
        <v>Low Stock</v>
      </c>
      <c r="L607" s="2">
        <f t="shared" ca="1" si="98"/>
        <v>211</v>
      </c>
      <c r="M607" t="str">
        <f t="shared" ca="1" si="99"/>
        <v>Safe</v>
      </c>
    </row>
    <row r="608" spans="1:13" x14ac:dyDescent="0.25">
      <c r="A608" t="str">
        <f t="shared" si="90"/>
        <v>M607</v>
      </c>
      <c r="B608" t="str" cm="1">
        <f t="array" aca="1" ref="B608" ca="1">INDEX({"Paracetamol","Amoxicillin","Ibuprofen","Cetirizine","Metformin","Amlodipine","Omeprazole","Azithromycin","Losartan","Vitamin C"}, RANDBETWEEN(1,10))</f>
        <v>Vitamin C</v>
      </c>
      <c r="C608" t="str" cm="1">
        <f t="array" aca="1" ref="C608" ca="1">INDEX({"Painkiller","Antibiotic","Painkiller","Antihistamine","Diabetes","Hypertension","Antacid","Antibiotic","Hypertension","Supplement"},
MATCH(B608,{"Paracetamol","Amoxicillin","Ibuprofen","Cetirizine","Metformin","Amlodipine","Omeprazole","Azithromycin","Losartan","Vitamin C"},0))</f>
        <v>Supplement</v>
      </c>
      <c r="D608" t="str" cm="1">
        <f t="array" aca="1" ref="D608" ca="1">INDEX({"MedSupply Co","HealthCorp","PharmaPlus","GlobalMed"}, RANDBETWEEN(1,4))</f>
        <v>PharmaPlus</v>
      </c>
      <c r="E608">
        <f t="shared" ca="1" si="91"/>
        <v>64</v>
      </c>
      <c r="F608">
        <f t="shared" ca="1" si="92"/>
        <v>70</v>
      </c>
      <c r="G608">
        <f t="shared" ca="1" si="93"/>
        <v>0.99</v>
      </c>
      <c r="H608" s="1">
        <f t="shared" ca="1" si="94"/>
        <v>46235</v>
      </c>
      <c r="I608" s="1">
        <f t="shared" ca="1" si="95"/>
        <v>45951</v>
      </c>
      <c r="J608">
        <f t="shared" ca="1" si="96"/>
        <v>63.36</v>
      </c>
      <c r="K608" t="str">
        <f t="shared" ca="1" si="97"/>
        <v>Low Stock</v>
      </c>
      <c r="L608" s="2">
        <f t="shared" ca="1" si="98"/>
        <v>116</v>
      </c>
      <c r="M608" t="str">
        <f t="shared" ca="1" si="99"/>
        <v>Safe</v>
      </c>
    </row>
    <row r="609" spans="1:13" x14ac:dyDescent="0.25">
      <c r="A609" t="str">
        <f t="shared" si="90"/>
        <v>M608</v>
      </c>
      <c r="B609" t="str" cm="1">
        <f t="array" aca="1" ref="B609" ca="1">INDEX({"Paracetamol","Amoxicillin","Ibuprofen","Cetirizine","Metformin","Amlodipine","Omeprazole","Azithromycin","Losartan","Vitamin C"}, RANDBETWEEN(1,10))</f>
        <v>Azithromycin</v>
      </c>
      <c r="C609" t="str" cm="1">
        <f t="array" aca="1" ref="C609" ca="1">INDEX({"Painkiller","Antibiotic","Painkiller","Antihistamine","Diabetes","Hypertension","Antacid","Antibiotic","Hypertension","Supplement"},
MATCH(B609,{"Paracetamol","Amoxicillin","Ibuprofen","Cetirizine","Metformin","Amlodipine","Omeprazole","Azithromycin","Losartan","Vitamin C"},0))</f>
        <v>Antibiotic</v>
      </c>
      <c r="D609" t="str" cm="1">
        <f t="array" aca="1" ref="D609" ca="1">INDEX({"MedSupply Co","HealthCorp","PharmaPlus","GlobalMed"}, RANDBETWEEN(1,4))</f>
        <v>MedSupply Co</v>
      </c>
      <c r="E609">
        <f t="shared" ca="1" si="91"/>
        <v>43</v>
      </c>
      <c r="F609">
        <f t="shared" ca="1" si="92"/>
        <v>73</v>
      </c>
      <c r="G609">
        <f t="shared" ca="1" si="93"/>
        <v>1.81</v>
      </c>
      <c r="H609" s="1">
        <f t="shared" ca="1" si="94"/>
        <v>46391</v>
      </c>
      <c r="I609" s="1">
        <f t="shared" ca="1" si="95"/>
        <v>45957</v>
      </c>
      <c r="J609">
        <f t="shared" ca="1" si="96"/>
        <v>77.83</v>
      </c>
      <c r="K609" t="str">
        <f t="shared" ca="1" si="97"/>
        <v>Low Stock</v>
      </c>
      <c r="L609" s="2">
        <f t="shared" ca="1" si="98"/>
        <v>272</v>
      </c>
      <c r="M609" t="str">
        <f t="shared" ca="1" si="99"/>
        <v>Safe</v>
      </c>
    </row>
    <row r="610" spans="1:13" x14ac:dyDescent="0.25">
      <c r="A610" t="str">
        <f t="shared" si="90"/>
        <v>M609</v>
      </c>
      <c r="B610" t="str" cm="1">
        <f t="array" aca="1" ref="B610" ca="1">INDEX({"Paracetamol","Amoxicillin","Ibuprofen","Cetirizine","Metformin","Amlodipine","Omeprazole","Azithromycin","Losartan","Vitamin C"}, RANDBETWEEN(1,10))</f>
        <v>Cetirizine</v>
      </c>
      <c r="C610" t="str" cm="1">
        <f t="array" aca="1" ref="C610" ca="1">INDEX({"Painkiller","Antibiotic","Painkiller","Antihistamine","Diabetes","Hypertension","Antacid","Antibiotic","Hypertension","Supplement"},
MATCH(B610,{"Paracetamol","Amoxicillin","Ibuprofen","Cetirizine","Metformin","Amlodipine","Omeprazole","Azithromycin","Losartan","Vitamin C"},0))</f>
        <v>Antihistamine</v>
      </c>
      <c r="D610" t="str" cm="1">
        <f t="array" aca="1" ref="D610" ca="1">INDEX({"MedSupply Co","HealthCorp","PharmaPlus","GlobalMed"}, RANDBETWEEN(1,4))</f>
        <v>MedSupply Co</v>
      </c>
      <c r="E610">
        <f t="shared" ca="1" si="91"/>
        <v>29</v>
      </c>
      <c r="F610">
        <f t="shared" ca="1" si="92"/>
        <v>49</v>
      </c>
      <c r="G610">
        <f t="shared" ca="1" si="93"/>
        <v>0.76</v>
      </c>
      <c r="H610" s="1">
        <f t="shared" ca="1" si="94"/>
        <v>46372</v>
      </c>
      <c r="I610" s="1">
        <f t="shared" ca="1" si="95"/>
        <v>46054</v>
      </c>
      <c r="J610">
        <f t="shared" ca="1" si="96"/>
        <v>22.04</v>
      </c>
      <c r="K610" t="str">
        <f t="shared" ca="1" si="97"/>
        <v>Low Stock</v>
      </c>
      <c r="L610" s="2">
        <f t="shared" ca="1" si="98"/>
        <v>253</v>
      </c>
      <c r="M610" t="str">
        <f t="shared" ca="1" si="99"/>
        <v>Safe</v>
      </c>
    </row>
    <row r="611" spans="1:13" x14ac:dyDescent="0.25">
      <c r="A611" t="str">
        <f t="shared" si="90"/>
        <v>M610</v>
      </c>
      <c r="B611" t="str" cm="1">
        <f t="array" aca="1" ref="B611" ca="1">INDEX({"Paracetamol","Amoxicillin","Ibuprofen","Cetirizine","Metformin","Amlodipine","Omeprazole","Azithromycin","Losartan","Vitamin C"}, RANDBETWEEN(1,10))</f>
        <v>Omeprazole</v>
      </c>
      <c r="C611" t="str" cm="1">
        <f t="array" aca="1" ref="C611" ca="1">INDEX({"Painkiller","Antibiotic","Painkiller","Antihistamine","Diabetes","Hypertension","Antacid","Antibiotic","Hypertension","Supplement"},
MATCH(B611,{"Paracetamol","Amoxicillin","Ibuprofen","Cetirizine","Metformin","Amlodipine","Omeprazole","Azithromycin","Losartan","Vitamin C"},0))</f>
        <v>Antacid</v>
      </c>
      <c r="D611" t="str" cm="1">
        <f t="array" aca="1" ref="D611" ca="1">INDEX({"MedSupply Co","HealthCorp","PharmaPlus","GlobalMed"}, RANDBETWEEN(1,4))</f>
        <v>GlobalMed</v>
      </c>
      <c r="E611">
        <f t="shared" ca="1" si="91"/>
        <v>28</v>
      </c>
      <c r="F611">
        <f t="shared" ca="1" si="92"/>
        <v>90</v>
      </c>
      <c r="G611">
        <f t="shared" ca="1" si="93"/>
        <v>0.54</v>
      </c>
      <c r="H611" s="1">
        <f t="shared" ca="1" si="94"/>
        <v>46409</v>
      </c>
      <c r="I611" s="1">
        <f t="shared" ca="1" si="95"/>
        <v>46035</v>
      </c>
      <c r="J611">
        <f t="shared" ca="1" si="96"/>
        <v>15.120000000000001</v>
      </c>
      <c r="K611" t="str">
        <f t="shared" ca="1" si="97"/>
        <v>Low Stock</v>
      </c>
      <c r="L611" s="2">
        <f t="shared" ca="1" si="98"/>
        <v>290</v>
      </c>
      <c r="M611" t="str">
        <f t="shared" ca="1" si="99"/>
        <v>Safe</v>
      </c>
    </row>
    <row r="612" spans="1:13" x14ac:dyDescent="0.25">
      <c r="A612" t="str">
        <f t="shared" si="90"/>
        <v>M611</v>
      </c>
      <c r="B612" t="str" cm="1">
        <f t="array" aca="1" ref="B612" ca="1">INDEX({"Paracetamol","Amoxicillin","Ibuprofen","Cetirizine","Metformin","Amlodipine","Omeprazole","Azithromycin","Losartan","Vitamin C"}, RANDBETWEEN(1,10))</f>
        <v>Azithromycin</v>
      </c>
      <c r="C612" t="str" cm="1">
        <f t="array" aca="1" ref="C612" ca="1">INDEX({"Painkiller","Antibiotic","Painkiller","Antihistamine","Diabetes","Hypertension","Antacid","Antibiotic","Hypertension","Supplement"},
MATCH(B612,{"Paracetamol","Amoxicillin","Ibuprofen","Cetirizine","Metformin","Amlodipine","Omeprazole","Azithromycin","Losartan","Vitamin C"},0))</f>
        <v>Antibiotic</v>
      </c>
      <c r="D612" t="str" cm="1">
        <f t="array" aca="1" ref="D612" ca="1">INDEX({"MedSupply Co","HealthCorp","PharmaPlus","GlobalMed"}, RANDBETWEEN(1,4))</f>
        <v>MedSupply Co</v>
      </c>
      <c r="E612">
        <f t="shared" ca="1" si="91"/>
        <v>186</v>
      </c>
      <c r="F612">
        <f t="shared" ca="1" si="92"/>
        <v>51</v>
      </c>
      <c r="G612">
        <f t="shared" ca="1" si="93"/>
        <v>0.99</v>
      </c>
      <c r="H612" s="1">
        <f t="shared" ca="1" si="94"/>
        <v>46185</v>
      </c>
      <c r="I612" s="1">
        <f t="shared" ca="1" si="95"/>
        <v>46079</v>
      </c>
      <c r="J612">
        <f t="shared" ca="1" si="96"/>
        <v>184.14</v>
      </c>
      <c r="K612" t="str">
        <f t="shared" ca="1" si="97"/>
        <v>In Stock</v>
      </c>
      <c r="L612" s="2">
        <f t="shared" ca="1" si="98"/>
        <v>66</v>
      </c>
      <c r="M612" t="str">
        <f t="shared" ca="1" si="99"/>
        <v>Safe</v>
      </c>
    </row>
    <row r="613" spans="1:13" x14ac:dyDescent="0.25">
      <c r="A613" t="str">
        <f t="shared" si="90"/>
        <v>M612</v>
      </c>
      <c r="B613" t="str" cm="1">
        <f t="array" aca="1" ref="B613" ca="1">INDEX({"Paracetamol","Amoxicillin","Ibuprofen","Cetirizine","Metformin","Amlodipine","Omeprazole","Azithromycin","Losartan","Vitamin C"}, RANDBETWEEN(1,10))</f>
        <v>Cetirizine</v>
      </c>
      <c r="C613" t="str" cm="1">
        <f t="array" aca="1" ref="C613" ca="1">INDEX({"Painkiller","Antibiotic","Painkiller","Antihistamine","Diabetes","Hypertension","Antacid","Antibiotic","Hypertension","Supplement"},
MATCH(B613,{"Paracetamol","Amoxicillin","Ibuprofen","Cetirizine","Metformin","Amlodipine","Omeprazole","Azithromycin","Losartan","Vitamin C"},0))</f>
        <v>Antihistamine</v>
      </c>
      <c r="D613" t="str" cm="1">
        <f t="array" aca="1" ref="D613" ca="1">INDEX({"MedSupply Co","HealthCorp","PharmaPlus","GlobalMed"}, RANDBETWEEN(1,4))</f>
        <v>MedSupply Co</v>
      </c>
      <c r="E613">
        <f t="shared" ca="1" si="91"/>
        <v>133</v>
      </c>
      <c r="F613">
        <f t="shared" ca="1" si="92"/>
        <v>61</v>
      </c>
      <c r="G613">
        <f t="shared" ca="1" si="93"/>
        <v>1.03</v>
      </c>
      <c r="H613" s="1">
        <f t="shared" ca="1" si="94"/>
        <v>46336</v>
      </c>
      <c r="I613" s="1">
        <f t="shared" ca="1" si="95"/>
        <v>46053</v>
      </c>
      <c r="J613">
        <f t="shared" ca="1" si="96"/>
        <v>136.99</v>
      </c>
      <c r="K613" t="str">
        <f t="shared" ca="1" si="97"/>
        <v>In Stock</v>
      </c>
      <c r="L613" s="2">
        <f t="shared" ca="1" si="98"/>
        <v>217</v>
      </c>
      <c r="M613" t="str">
        <f t="shared" ca="1" si="99"/>
        <v>Safe</v>
      </c>
    </row>
    <row r="614" spans="1:13" x14ac:dyDescent="0.25">
      <c r="A614" t="str">
        <f t="shared" si="90"/>
        <v>M613</v>
      </c>
      <c r="B614" t="str" cm="1">
        <f t="array" aca="1" ref="B614" ca="1">INDEX({"Paracetamol","Amoxicillin","Ibuprofen","Cetirizine","Metformin","Amlodipine","Omeprazole","Azithromycin","Losartan","Vitamin C"}, RANDBETWEEN(1,10))</f>
        <v>Amoxicillin</v>
      </c>
      <c r="C614" t="str" cm="1">
        <f t="array" aca="1" ref="C614" ca="1">INDEX({"Painkiller","Antibiotic","Painkiller","Antihistamine","Diabetes","Hypertension","Antacid","Antibiotic","Hypertension","Supplement"},
MATCH(B614,{"Paracetamol","Amoxicillin","Ibuprofen","Cetirizine","Metformin","Amlodipine","Omeprazole","Azithromycin","Losartan","Vitamin C"},0))</f>
        <v>Antibiotic</v>
      </c>
      <c r="D614" t="str" cm="1">
        <f t="array" aca="1" ref="D614" ca="1">INDEX({"MedSupply Co","HealthCorp","PharmaPlus","GlobalMed"}, RANDBETWEEN(1,4))</f>
        <v>MedSupply Co</v>
      </c>
      <c r="E614">
        <f t="shared" ca="1" si="91"/>
        <v>50</v>
      </c>
      <c r="F614">
        <f t="shared" ca="1" si="92"/>
        <v>20</v>
      </c>
      <c r="G614">
        <f t="shared" ca="1" si="93"/>
        <v>1.08</v>
      </c>
      <c r="H614" s="1">
        <f t="shared" ca="1" si="94"/>
        <v>46193</v>
      </c>
      <c r="I614" s="1">
        <f t="shared" ca="1" si="95"/>
        <v>45991</v>
      </c>
      <c r="J614">
        <f t="shared" ca="1" si="96"/>
        <v>54</v>
      </c>
      <c r="K614" t="str">
        <f t="shared" ca="1" si="97"/>
        <v>In Stock</v>
      </c>
      <c r="L614" s="2">
        <f t="shared" ca="1" si="98"/>
        <v>74</v>
      </c>
      <c r="M614" t="str">
        <f t="shared" ca="1" si="99"/>
        <v>Safe</v>
      </c>
    </row>
    <row r="615" spans="1:13" x14ac:dyDescent="0.25">
      <c r="A615" t="str">
        <f t="shared" si="90"/>
        <v>M614</v>
      </c>
      <c r="B615" t="str" cm="1">
        <f t="array" aca="1" ref="B615" ca="1">INDEX({"Paracetamol","Amoxicillin","Ibuprofen","Cetirizine","Metformin","Amlodipine","Omeprazole","Azithromycin","Losartan","Vitamin C"}, RANDBETWEEN(1,10))</f>
        <v>Paracetamol</v>
      </c>
      <c r="C615" t="str" cm="1">
        <f t="array" aca="1" ref="C615" ca="1">INDEX({"Painkiller","Antibiotic","Painkiller","Antihistamine","Diabetes","Hypertension","Antacid","Antibiotic","Hypertension","Supplement"},
MATCH(B615,{"Paracetamol","Amoxicillin","Ibuprofen","Cetirizine","Metformin","Amlodipine","Omeprazole","Azithromycin","Losartan","Vitamin C"},0))</f>
        <v>Painkiller</v>
      </c>
      <c r="D615" t="str" cm="1">
        <f t="array" aca="1" ref="D615" ca="1">INDEX({"MedSupply Co","HealthCorp","PharmaPlus","GlobalMed"}, RANDBETWEEN(1,4))</f>
        <v>MedSupply Co</v>
      </c>
      <c r="E615">
        <f t="shared" ca="1" si="91"/>
        <v>112</v>
      </c>
      <c r="F615">
        <f t="shared" ca="1" si="92"/>
        <v>24</v>
      </c>
      <c r="G615">
        <f t="shared" ca="1" si="93"/>
        <v>1.05</v>
      </c>
      <c r="H615" s="1">
        <f t="shared" ca="1" si="94"/>
        <v>46219</v>
      </c>
      <c r="I615" s="1">
        <f t="shared" ca="1" si="95"/>
        <v>45946</v>
      </c>
      <c r="J615">
        <f t="shared" ca="1" si="96"/>
        <v>117.60000000000001</v>
      </c>
      <c r="K615" t="str">
        <f t="shared" ca="1" si="97"/>
        <v>In Stock</v>
      </c>
      <c r="L615" s="2">
        <f t="shared" ca="1" si="98"/>
        <v>100</v>
      </c>
      <c r="M615" t="str">
        <f t="shared" ca="1" si="99"/>
        <v>Safe</v>
      </c>
    </row>
    <row r="616" spans="1:13" x14ac:dyDescent="0.25">
      <c r="A616" t="str">
        <f t="shared" si="90"/>
        <v>M615</v>
      </c>
      <c r="B616" t="str" cm="1">
        <f t="array" aca="1" ref="B616" ca="1">INDEX({"Paracetamol","Amoxicillin","Ibuprofen","Cetirizine","Metformin","Amlodipine","Omeprazole","Azithromycin","Losartan","Vitamin C"}, RANDBETWEEN(1,10))</f>
        <v>Amlodipine</v>
      </c>
      <c r="C616" t="str" cm="1">
        <f t="array" aca="1" ref="C616" ca="1">INDEX({"Painkiller","Antibiotic","Painkiller","Antihistamine","Diabetes","Hypertension","Antacid","Antibiotic","Hypertension","Supplement"},
MATCH(B616,{"Paracetamol","Amoxicillin","Ibuprofen","Cetirizine","Metformin","Amlodipine","Omeprazole","Azithromycin","Losartan","Vitamin C"},0))</f>
        <v>Hypertension</v>
      </c>
      <c r="D616" t="str" cm="1">
        <f t="array" aca="1" ref="D616" ca="1">INDEX({"MedSupply Co","HealthCorp","PharmaPlus","GlobalMed"}, RANDBETWEEN(1,4))</f>
        <v>GlobalMed</v>
      </c>
      <c r="E616">
        <f t="shared" ca="1" si="91"/>
        <v>26</v>
      </c>
      <c r="F616">
        <f t="shared" ca="1" si="92"/>
        <v>59</v>
      </c>
      <c r="G616">
        <f t="shared" ca="1" si="93"/>
        <v>1.78</v>
      </c>
      <c r="H616" s="1">
        <f t="shared" ca="1" si="94"/>
        <v>46354</v>
      </c>
      <c r="I616" s="1">
        <f t="shared" ca="1" si="95"/>
        <v>45990</v>
      </c>
      <c r="J616">
        <f t="shared" ca="1" si="96"/>
        <v>46.28</v>
      </c>
      <c r="K616" t="str">
        <f t="shared" ca="1" si="97"/>
        <v>Low Stock</v>
      </c>
      <c r="L616" s="2">
        <f t="shared" ca="1" si="98"/>
        <v>235</v>
      </c>
      <c r="M616" t="str">
        <f t="shared" ca="1" si="99"/>
        <v>Safe</v>
      </c>
    </row>
    <row r="617" spans="1:13" x14ac:dyDescent="0.25">
      <c r="A617" t="str">
        <f t="shared" si="90"/>
        <v>M616</v>
      </c>
      <c r="B617" t="str" cm="1">
        <f t="array" aca="1" ref="B617" ca="1">INDEX({"Paracetamol","Amoxicillin","Ibuprofen","Cetirizine","Metformin","Amlodipine","Omeprazole","Azithromycin","Losartan","Vitamin C"}, RANDBETWEEN(1,10))</f>
        <v>Losartan</v>
      </c>
      <c r="C617" t="str" cm="1">
        <f t="array" aca="1" ref="C617" ca="1">INDEX({"Painkiller","Antibiotic","Painkiller","Antihistamine","Diabetes","Hypertension","Antacid","Antibiotic","Hypertension","Supplement"},
MATCH(B617,{"Paracetamol","Amoxicillin","Ibuprofen","Cetirizine","Metformin","Amlodipine","Omeprazole","Azithromycin","Losartan","Vitamin C"},0))</f>
        <v>Hypertension</v>
      </c>
      <c r="D617" t="str" cm="1">
        <f t="array" aca="1" ref="D617" ca="1">INDEX({"MedSupply Co","HealthCorp","PharmaPlus","GlobalMed"}, RANDBETWEEN(1,4))</f>
        <v>PharmaPlus</v>
      </c>
      <c r="E617">
        <f t="shared" ca="1" si="91"/>
        <v>123</v>
      </c>
      <c r="F617">
        <f t="shared" ca="1" si="92"/>
        <v>42</v>
      </c>
      <c r="G617">
        <f t="shared" ca="1" si="93"/>
        <v>1.25</v>
      </c>
      <c r="H617" s="1">
        <f t="shared" ca="1" si="94"/>
        <v>46385</v>
      </c>
      <c r="I617" s="1">
        <f t="shared" ca="1" si="95"/>
        <v>45962</v>
      </c>
      <c r="J617">
        <f t="shared" ca="1" si="96"/>
        <v>153.75</v>
      </c>
      <c r="K617" t="str">
        <f t="shared" ca="1" si="97"/>
        <v>In Stock</v>
      </c>
      <c r="L617" s="2">
        <f t="shared" ca="1" si="98"/>
        <v>266</v>
      </c>
      <c r="M617" t="str">
        <f t="shared" ca="1" si="99"/>
        <v>Safe</v>
      </c>
    </row>
    <row r="618" spans="1:13" x14ac:dyDescent="0.25">
      <c r="A618" t="str">
        <f t="shared" si="90"/>
        <v>M617</v>
      </c>
      <c r="B618" t="str" cm="1">
        <f t="array" aca="1" ref="B618" ca="1">INDEX({"Paracetamol","Amoxicillin","Ibuprofen","Cetirizine","Metformin","Amlodipine","Omeprazole","Azithromycin","Losartan","Vitamin C"}, RANDBETWEEN(1,10))</f>
        <v>Amlodipine</v>
      </c>
      <c r="C618" t="str" cm="1">
        <f t="array" aca="1" ref="C618" ca="1">INDEX({"Painkiller","Antibiotic","Painkiller","Antihistamine","Diabetes","Hypertension","Antacid","Antibiotic","Hypertension","Supplement"},
MATCH(B618,{"Paracetamol","Amoxicillin","Ibuprofen","Cetirizine","Metformin","Amlodipine","Omeprazole","Azithromycin","Losartan","Vitamin C"},0))</f>
        <v>Hypertension</v>
      </c>
      <c r="D618" t="str" cm="1">
        <f t="array" aca="1" ref="D618" ca="1">INDEX({"MedSupply Co","HealthCorp","PharmaPlus","GlobalMed"}, RANDBETWEEN(1,4))</f>
        <v>GlobalMed</v>
      </c>
      <c r="E618">
        <f t="shared" ca="1" si="91"/>
        <v>135</v>
      </c>
      <c r="F618">
        <f t="shared" ca="1" si="92"/>
        <v>96</v>
      </c>
      <c r="G618">
        <f t="shared" ca="1" si="93"/>
        <v>0.83</v>
      </c>
      <c r="H618" s="1">
        <f t="shared" ca="1" si="94"/>
        <v>46463</v>
      </c>
      <c r="I618" s="1">
        <f t="shared" ca="1" si="95"/>
        <v>46064</v>
      </c>
      <c r="J618">
        <f t="shared" ca="1" si="96"/>
        <v>112.05</v>
      </c>
      <c r="K618" t="str">
        <f t="shared" ca="1" si="97"/>
        <v>In Stock</v>
      </c>
      <c r="L618" s="2">
        <f t="shared" ca="1" si="98"/>
        <v>344</v>
      </c>
      <c r="M618" t="str">
        <f t="shared" ca="1" si="99"/>
        <v>Safe</v>
      </c>
    </row>
    <row r="619" spans="1:13" x14ac:dyDescent="0.25">
      <c r="A619" t="str">
        <f t="shared" si="90"/>
        <v>M618</v>
      </c>
      <c r="B619" t="str" cm="1">
        <f t="array" aca="1" ref="B619" ca="1">INDEX({"Paracetamol","Amoxicillin","Ibuprofen","Cetirizine","Metformin","Amlodipine","Omeprazole","Azithromycin","Losartan","Vitamin C"}, RANDBETWEEN(1,10))</f>
        <v>Amoxicillin</v>
      </c>
      <c r="C619" t="str" cm="1">
        <f t="array" aca="1" ref="C619" ca="1">INDEX({"Painkiller","Antibiotic","Painkiller","Antihistamine","Diabetes","Hypertension","Antacid","Antibiotic","Hypertension","Supplement"},
MATCH(B619,{"Paracetamol","Amoxicillin","Ibuprofen","Cetirizine","Metformin","Amlodipine","Omeprazole","Azithromycin","Losartan","Vitamin C"},0))</f>
        <v>Antibiotic</v>
      </c>
      <c r="D619" t="str" cm="1">
        <f t="array" aca="1" ref="D619" ca="1">INDEX({"MedSupply Co","HealthCorp","PharmaPlus","GlobalMed"}, RANDBETWEEN(1,4))</f>
        <v>GlobalMed</v>
      </c>
      <c r="E619">
        <f t="shared" ca="1" si="91"/>
        <v>154</v>
      </c>
      <c r="F619">
        <f t="shared" ca="1" si="92"/>
        <v>23</v>
      </c>
      <c r="G619">
        <f t="shared" ca="1" si="93"/>
        <v>1.8</v>
      </c>
      <c r="H619" s="1">
        <f t="shared" ca="1" si="94"/>
        <v>46460</v>
      </c>
      <c r="I619" s="1">
        <f t="shared" ca="1" si="95"/>
        <v>45961</v>
      </c>
      <c r="J619">
        <f t="shared" ca="1" si="96"/>
        <v>277.2</v>
      </c>
      <c r="K619" t="str">
        <f t="shared" ca="1" si="97"/>
        <v>In Stock</v>
      </c>
      <c r="L619" s="2">
        <f t="shared" ca="1" si="98"/>
        <v>341</v>
      </c>
      <c r="M619" t="str">
        <f t="shared" ca="1" si="99"/>
        <v>Safe</v>
      </c>
    </row>
    <row r="620" spans="1:13" x14ac:dyDescent="0.25">
      <c r="A620" t="str">
        <f t="shared" si="90"/>
        <v>M619</v>
      </c>
      <c r="B620" t="str" cm="1">
        <f t="array" aca="1" ref="B620" ca="1">INDEX({"Paracetamol","Amoxicillin","Ibuprofen","Cetirizine","Metformin","Amlodipine","Omeprazole","Azithromycin","Losartan","Vitamin C"}, RANDBETWEEN(1,10))</f>
        <v>Cetirizine</v>
      </c>
      <c r="C620" t="str" cm="1">
        <f t="array" aca="1" ref="C620" ca="1">INDEX({"Painkiller","Antibiotic","Painkiller","Antihistamine","Diabetes","Hypertension","Antacid","Antibiotic","Hypertension","Supplement"},
MATCH(B620,{"Paracetamol","Amoxicillin","Ibuprofen","Cetirizine","Metformin","Amlodipine","Omeprazole","Azithromycin","Losartan","Vitamin C"},0))</f>
        <v>Antihistamine</v>
      </c>
      <c r="D620" t="str" cm="1">
        <f t="array" aca="1" ref="D620" ca="1">INDEX({"MedSupply Co","HealthCorp","PharmaPlus","GlobalMed"}, RANDBETWEEN(1,4))</f>
        <v>HealthCorp</v>
      </c>
      <c r="E620">
        <f t="shared" ca="1" si="91"/>
        <v>80</v>
      </c>
      <c r="F620">
        <f t="shared" ca="1" si="92"/>
        <v>99</v>
      </c>
      <c r="G620">
        <f t="shared" ca="1" si="93"/>
        <v>0.97</v>
      </c>
      <c r="H620" s="1">
        <f t="shared" ca="1" si="94"/>
        <v>46325</v>
      </c>
      <c r="I620" s="1">
        <f t="shared" ca="1" si="95"/>
        <v>46030</v>
      </c>
      <c r="J620">
        <f t="shared" ca="1" si="96"/>
        <v>77.599999999999994</v>
      </c>
      <c r="K620" t="str">
        <f t="shared" ca="1" si="97"/>
        <v>Low Stock</v>
      </c>
      <c r="L620" s="2">
        <f t="shared" ca="1" si="98"/>
        <v>206</v>
      </c>
      <c r="M620" t="str">
        <f t="shared" ca="1" si="99"/>
        <v>Safe</v>
      </c>
    </row>
    <row r="621" spans="1:13" x14ac:dyDescent="0.25">
      <c r="A621" t="str">
        <f t="shared" si="90"/>
        <v>M620</v>
      </c>
      <c r="B621" t="str" cm="1">
        <f t="array" aca="1" ref="B621" ca="1">INDEX({"Paracetamol","Amoxicillin","Ibuprofen","Cetirizine","Metformin","Amlodipine","Omeprazole","Azithromycin","Losartan","Vitamin C"}, RANDBETWEEN(1,10))</f>
        <v>Azithromycin</v>
      </c>
      <c r="C621" t="str" cm="1">
        <f t="array" aca="1" ref="C621" ca="1">INDEX({"Painkiller","Antibiotic","Painkiller","Antihistamine","Diabetes","Hypertension","Antacid","Antibiotic","Hypertension","Supplement"},
MATCH(B621,{"Paracetamol","Amoxicillin","Ibuprofen","Cetirizine","Metformin","Amlodipine","Omeprazole","Azithromycin","Losartan","Vitamin C"},0))</f>
        <v>Antibiotic</v>
      </c>
      <c r="D621" t="str" cm="1">
        <f t="array" aca="1" ref="D621" ca="1">INDEX({"MedSupply Co","HealthCorp","PharmaPlus","GlobalMed"}, RANDBETWEEN(1,4))</f>
        <v>HealthCorp</v>
      </c>
      <c r="E621">
        <f t="shared" ca="1" si="91"/>
        <v>155</v>
      </c>
      <c r="F621">
        <f t="shared" ca="1" si="92"/>
        <v>63</v>
      </c>
      <c r="G621">
        <f t="shared" ca="1" si="93"/>
        <v>0.89</v>
      </c>
      <c r="H621" s="1">
        <f t="shared" ca="1" si="94"/>
        <v>46349</v>
      </c>
      <c r="I621" s="1">
        <f t="shared" ca="1" si="95"/>
        <v>46075</v>
      </c>
      <c r="J621">
        <f t="shared" ca="1" si="96"/>
        <v>137.94999999999999</v>
      </c>
      <c r="K621" t="str">
        <f t="shared" ca="1" si="97"/>
        <v>In Stock</v>
      </c>
      <c r="L621" s="2">
        <f t="shared" ca="1" si="98"/>
        <v>230</v>
      </c>
      <c r="M621" t="str">
        <f t="shared" ca="1" si="99"/>
        <v>Safe</v>
      </c>
    </row>
    <row r="622" spans="1:13" x14ac:dyDescent="0.25">
      <c r="A622" t="str">
        <f t="shared" si="90"/>
        <v>M621</v>
      </c>
      <c r="B622" t="str" cm="1">
        <f t="array" aca="1" ref="B622" ca="1">INDEX({"Paracetamol","Amoxicillin","Ibuprofen","Cetirizine","Metformin","Amlodipine","Omeprazole","Azithromycin","Losartan","Vitamin C"}, RANDBETWEEN(1,10))</f>
        <v>Omeprazole</v>
      </c>
      <c r="C622" t="str" cm="1">
        <f t="array" aca="1" ref="C622" ca="1">INDEX({"Painkiller","Antibiotic","Painkiller","Antihistamine","Diabetes","Hypertension","Antacid","Antibiotic","Hypertension","Supplement"},
MATCH(B622,{"Paracetamol","Amoxicillin","Ibuprofen","Cetirizine","Metformin","Amlodipine","Omeprazole","Azithromycin","Losartan","Vitamin C"},0))</f>
        <v>Antacid</v>
      </c>
      <c r="D622" t="str" cm="1">
        <f t="array" aca="1" ref="D622" ca="1">INDEX({"MedSupply Co","HealthCorp","PharmaPlus","GlobalMed"}, RANDBETWEEN(1,4))</f>
        <v>HealthCorp</v>
      </c>
      <c r="E622">
        <f t="shared" ca="1" si="91"/>
        <v>170</v>
      </c>
      <c r="F622">
        <f t="shared" ca="1" si="92"/>
        <v>31</v>
      </c>
      <c r="G622">
        <f t="shared" ca="1" si="93"/>
        <v>0.97</v>
      </c>
      <c r="H622" s="1">
        <f t="shared" ca="1" si="94"/>
        <v>46307</v>
      </c>
      <c r="I622" s="1">
        <f t="shared" ca="1" si="95"/>
        <v>46112</v>
      </c>
      <c r="J622">
        <f t="shared" ca="1" si="96"/>
        <v>164.9</v>
      </c>
      <c r="K622" t="str">
        <f t="shared" ca="1" si="97"/>
        <v>In Stock</v>
      </c>
      <c r="L622" s="2">
        <f t="shared" ca="1" si="98"/>
        <v>188</v>
      </c>
      <c r="M622" t="str">
        <f t="shared" ca="1" si="99"/>
        <v>Safe</v>
      </c>
    </row>
    <row r="623" spans="1:13" x14ac:dyDescent="0.25">
      <c r="A623" t="str">
        <f t="shared" si="90"/>
        <v>M622</v>
      </c>
      <c r="B623" t="str" cm="1">
        <f t="array" aca="1" ref="B623" ca="1">INDEX({"Paracetamol","Amoxicillin","Ibuprofen","Cetirizine","Metformin","Amlodipine","Omeprazole","Azithromycin","Losartan","Vitamin C"}, RANDBETWEEN(1,10))</f>
        <v>Azithromycin</v>
      </c>
      <c r="C623" t="str" cm="1">
        <f t="array" aca="1" ref="C623" ca="1">INDEX({"Painkiller","Antibiotic","Painkiller","Antihistamine","Diabetes","Hypertension","Antacid","Antibiotic","Hypertension","Supplement"},
MATCH(B623,{"Paracetamol","Amoxicillin","Ibuprofen","Cetirizine","Metformin","Amlodipine","Omeprazole","Azithromycin","Losartan","Vitamin C"},0))</f>
        <v>Antibiotic</v>
      </c>
      <c r="D623" t="str" cm="1">
        <f t="array" aca="1" ref="D623" ca="1">INDEX({"MedSupply Co","HealthCorp","PharmaPlus","GlobalMed"}, RANDBETWEEN(1,4))</f>
        <v>GlobalMed</v>
      </c>
      <c r="E623">
        <f t="shared" ca="1" si="91"/>
        <v>85</v>
      </c>
      <c r="F623">
        <f t="shared" ca="1" si="92"/>
        <v>77</v>
      </c>
      <c r="G623">
        <f t="shared" ca="1" si="93"/>
        <v>1.82</v>
      </c>
      <c r="H623" s="1">
        <f t="shared" ca="1" si="94"/>
        <v>46342</v>
      </c>
      <c r="I623" s="1">
        <f t="shared" ca="1" si="95"/>
        <v>46115</v>
      </c>
      <c r="J623">
        <f t="shared" ca="1" si="96"/>
        <v>154.70000000000002</v>
      </c>
      <c r="K623" t="str">
        <f t="shared" ca="1" si="97"/>
        <v>In Stock</v>
      </c>
      <c r="L623" s="2">
        <f t="shared" ca="1" si="98"/>
        <v>223</v>
      </c>
      <c r="M623" t="str">
        <f t="shared" ca="1" si="99"/>
        <v>Safe</v>
      </c>
    </row>
    <row r="624" spans="1:13" x14ac:dyDescent="0.25">
      <c r="A624" t="str">
        <f t="shared" si="90"/>
        <v>M623</v>
      </c>
      <c r="B624" t="str" cm="1">
        <f t="array" aca="1" ref="B624" ca="1">INDEX({"Paracetamol","Amoxicillin","Ibuprofen","Cetirizine","Metformin","Amlodipine","Omeprazole","Azithromycin","Losartan","Vitamin C"}, RANDBETWEEN(1,10))</f>
        <v>Amoxicillin</v>
      </c>
      <c r="C624" t="str" cm="1">
        <f t="array" aca="1" ref="C624" ca="1">INDEX({"Painkiller","Antibiotic","Painkiller","Antihistamine","Diabetes","Hypertension","Antacid","Antibiotic","Hypertension","Supplement"},
MATCH(B624,{"Paracetamol","Amoxicillin","Ibuprofen","Cetirizine","Metformin","Amlodipine","Omeprazole","Azithromycin","Losartan","Vitamin C"},0))</f>
        <v>Antibiotic</v>
      </c>
      <c r="D624" t="str" cm="1">
        <f t="array" aca="1" ref="D624" ca="1">INDEX({"MedSupply Co","HealthCorp","PharmaPlus","GlobalMed"}, RANDBETWEEN(1,4))</f>
        <v>MedSupply Co</v>
      </c>
      <c r="E624">
        <f t="shared" ca="1" si="91"/>
        <v>153</v>
      </c>
      <c r="F624">
        <f t="shared" ca="1" si="92"/>
        <v>87</v>
      </c>
      <c r="G624">
        <f t="shared" ca="1" si="93"/>
        <v>1.31</v>
      </c>
      <c r="H624" s="1">
        <f t="shared" ca="1" si="94"/>
        <v>46274</v>
      </c>
      <c r="I624" s="1">
        <f t="shared" ca="1" si="95"/>
        <v>45994</v>
      </c>
      <c r="J624">
        <f t="shared" ca="1" si="96"/>
        <v>200.43</v>
      </c>
      <c r="K624" t="str">
        <f t="shared" ca="1" si="97"/>
        <v>In Stock</v>
      </c>
      <c r="L624" s="2">
        <f t="shared" ca="1" si="98"/>
        <v>155</v>
      </c>
      <c r="M624" t="str">
        <f t="shared" ca="1" si="99"/>
        <v>Safe</v>
      </c>
    </row>
    <row r="625" spans="1:13" x14ac:dyDescent="0.25">
      <c r="A625" t="str">
        <f t="shared" si="90"/>
        <v>M624</v>
      </c>
      <c r="B625" t="str" cm="1">
        <f t="array" aca="1" ref="B625" ca="1">INDEX({"Paracetamol","Amoxicillin","Ibuprofen","Cetirizine","Metformin","Amlodipine","Omeprazole","Azithromycin","Losartan","Vitamin C"}, RANDBETWEEN(1,10))</f>
        <v>Ibuprofen</v>
      </c>
      <c r="C625" t="str" cm="1">
        <f t="array" aca="1" ref="C625" ca="1">INDEX({"Painkiller","Antibiotic","Painkiller","Antihistamine","Diabetes","Hypertension","Antacid","Antibiotic","Hypertension","Supplement"},
MATCH(B625,{"Paracetamol","Amoxicillin","Ibuprofen","Cetirizine","Metformin","Amlodipine","Omeprazole","Azithromycin","Losartan","Vitamin C"},0))</f>
        <v>Painkiller</v>
      </c>
      <c r="D625" t="str" cm="1">
        <f t="array" aca="1" ref="D625" ca="1">INDEX({"MedSupply Co","HealthCorp","PharmaPlus","GlobalMed"}, RANDBETWEEN(1,4))</f>
        <v>HealthCorp</v>
      </c>
      <c r="E625">
        <f t="shared" ca="1" si="91"/>
        <v>6</v>
      </c>
      <c r="F625">
        <f t="shared" ca="1" si="92"/>
        <v>80</v>
      </c>
      <c r="G625">
        <f t="shared" ca="1" si="93"/>
        <v>0.87</v>
      </c>
      <c r="H625" s="1">
        <f t="shared" ca="1" si="94"/>
        <v>46154</v>
      </c>
      <c r="I625" s="1">
        <f t="shared" ca="1" si="95"/>
        <v>46025</v>
      </c>
      <c r="J625">
        <f t="shared" ca="1" si="96"/>
        <v>5.22</v>
      </c>
      <c r="K625" t="str">
        <f t="shared" ca="1" si="97"/>
        <v>Low Stock</v>
      </c>
      <c r="L625" s="2">
        <f t="shared" ca="1" si="98"/>
        <v>35</v>
      </c>
      <c r="M625" t="str">
        <f t="shared" ca="1" si="99"/>
        <v>Safe</v>
      </c>
    </row>
    <row r="626" spans="1:13" x14ac:dyDescent="0.25">
      <c r="A626" t="str">
        <f t="shared" si="90"/>
        <v>M625</v>
      </c>
      <c r="B626" t="str" cm="1">
        <f t="array" aca="1" ref="B626" ca="1">INDEX({"Paracetamol","Amoxicillin","Ibuprofen","Cetirizine","Metformin","Amlodipine","Omeprazole","Azithromycin","Losartan","Vitamin C"}, RANDBETWEEN(1,10))</f>
        <v>Amoxicillin</v>
      </c>
      <c r="C626" t="str" cm="1">
        <f t="array" aca="1" ref="C626" ca="1">INDEX({"Painkiller","Antibiotic","Painkiller","Antihistamine","Diabetes","Hypertension","Antacid","Antibiotic","Hypertension","Supplement"},
MATCH(B626,{"Paracetamol","Amoxicillin","Ibuprofen","Cetirizine","Metformin","Amlodipine","Omeprazole","Azithromycin","Losartan","Vitamin C"},0))</f>
        <v>Antibiotic</v>
      </c>
      <c r="D626" t="str" cm="1">
        <f t="array" aca="1" ref="D626" ca="1">INDEX({"MedSupply Co","HealthCorp","PharmaPlus","GlobalMed"}, RANDBETWEEN(1,4))</f>
        <v>MedSupply Co</v>
      </c>
      <c r="E626">
        <f t="shared" ca="1" si="91"/>
        <v>56</v>
      </c>
      <c r="F626">
        <f t="shared" ca="1" si="92"/>
        <v>94</v>
      </c>
      <c r="G626">
        <f t="shared" ca="1" si="93"/>
        <v>0.95</v>
      </c>
      <c r="H626" s="1">
        <f t="shared" ca="1" si="94"/>
        <v>46291</v>
      </c>
      <c r="I626" s="1">
        <f t="shared" ca="1" si="95"/>
        <v>46028</v>
      </c>
      <c r="J626">
        <f t="shared" ca="1" si="96"/>
        <v>53.199999999999996</v>
      </c>
      <c r="K626" t="str">
        <f t="shared" ca="1" si="97"/>
        <v>Low Stock</v>
      </c>
      <c r="L626" s="2">
        <f t="shared" ca="1" si="98"/>
        <v>172</v>
      </c>
      <c r="M626" t="str">
        <f t="shared" ca="1" si="99"/>
        <v>Safe</v>
      </c>
    </row>
    <row r="627" spans="1:13" x14ac:dyDescent="0.25">
      <c r="A627" t="str">
        <f t="shared" si="90"/>
        <v>M626</v>
      </c>
      <c r="B627" t="str" cm="1">
        <f t="array" aca="1" ref="B627" ca="1">INDEX({"Paracetamol","Amoxicillin","Ibuprofen","Cetirizine","Metformin","Amlodipine","Omeprazole","Azithromycin","Losartan","Vitamin C"}, RANDBETWEEN(1,10))</f>
        <v>Ibuprofen</v>
      </c>
      <c r="C627" t="str" cm="1">
        <f t="array" aca="1" ref="C627" ca="1">INDEX({"Painkiller","Antibiotic","Painkiller","Antihistamine","Diabetes","Hypertension","Antacid","Antibiotic","Hypertension","Supplement"},
MATCH(B627,{"Paracetamol","Amoxicillin","Ibuprofen","Cetirizine","Metformin","Amlodipine","Omeprazole","Azithromycin","Losartan","Vitamin C"},0))</f>
        <v>Painkiller</v>
      </c>
      <c r="D627" t="str" cm="1">
        <f t="array" aca="1" ref="D627" ca="1">INDEX({"MedSupply Co","HealthCorp","PharmaPlus","GlobalMed"}, RANDBETWEEN(1,4))</f>
        <v>PharmaPlus</v>
      </c>
      <c r="E627">
        <f t="shared" ca="1" si="91"/>
        <v>83</v>
      </c>
      <c r="F627">
        <f t="shared" ca="1" si="92"/>
        <v>26</v>
      </c>
      <c r="G627">
        <f t="shared" ca="1" si="93"/>
        <v>1.91</v>
      </c>
      <c r="H627" s="1">
        <f t="shared" ca="1" si="94"/>
        <v>46327</v>
      </c>
      <c r="I627" s="1">
        <f t="shared" ca="1" si="95"/>
        <v>45949</v>
      </c>
      <c r="J627">
        <f t="shared" ca="1" si="96"/>
        <v>158.53</v>
      </c>
      <c r="K627" t="str">
        <f t="shared" ca="1" si="97"/>
        <v>In Stock</v>
      </c>
      <c r="L627" s="2">
        <f t="shared" ca="1" si="98"/>
        <v>208</v>
      </c>
      <c r="M627" t="str">
        <f t="shared" ca="1" si="99"/>
        <v>Safe</v>
      </c>
    </row>
    <row r="628" spans="1:13" x14ac:dyDescent="0.25">
      <c r="A628" t="str">
        <f t="shared" si="90"/>
        <v>M627</v>
      </c>
      <c r="B628" t="str" cm="1">
        <f t="array" aca="1" ref="B628" ca="1">INDEX({"Paracetamol","Amoxicillin","Ibuprofen","Cetirizine","Metformin","Amlodipine","Omeprazole","Azithromycin","Losartan","Vitamin C"}, RANDBETWEEN(1,10))</f>
        <v>Amoxicillin</v>
      </c>
      <c r="C628" t="str" cm="1">
        <f t="array" aca="1" ref="C628" ca="1">INDEX({"Painkiller","Antibiotic","Painkiller","Antihistamine","Diabetes","Hypertension","Antacid","Antibiotic","Hypertension","Supplement"},
MATCH(B628,{"Paracetamol","Amoxicillin","Ibuprofen","Cetirizine","Metformin","Amlodipine","Omeprazole","Azithromycin","Losartan","Vitamin C"},0))</f>
        <v>Antibiotic</v>
      </c>
      <c r="D628" t="str" cm="1">
        <f t="array" aca="1" ref="D628" ca="1">INDEX({"MedSupply Co","HealthCorp","PharmaPlus","GlobalMed"}, RANDBETWEEN(1,4))</f>
        <v>PharmaPlus</v>
      </c>
      <c r="E628">
        <f t="shared" ca="1" si="91"/>
        <v>147</v>
      </c>
      <c r="F628">
        <f t="shared" ca="1" si="92"/>
        <v>89</v>
      </c>
      <c r="G628">
        <f t="shared" ca="1" si="93"/>
        <v>1.39</v>
      </c>
      <c r="H628" s="1">
        <f t="shared" ca="1" si="94"/>
        <v>46160</v>
      </c>
      <c r="I628" s="1">
        <f t="shared" ca="1" si="95"/>
        <v>46026</v>
      </c>
      <c r="J628">
        <f t="shared" ca="1" si="96"/>
        <v>204.32999999999998</v>
      </c>
      <c r="K628" t="str">
        <f t="shared" ca="1" si="97"/>
        <v>In Stock</v>
      </c>
      <c r="L628" s="2">
        <f t="shared" ca="1" si="98"/>
        <v>41</v>
      </c>
      <c r="M628" t="str">
        <f t="shared" ca="1" si="99"/>
        <v>Safe</v>
      </c>
    </row>
    <row r="629" spans="1:13" x14ac:dyDescent="0.25">
      <c r="A629" t="str">
        <f t="shared" si="90"/>
        <v>M628</v>
      </c>
      <c r="B629" t="str" cm="1">
        <f t="array" aca="1" ref="B629" ca="1">INDEX({"Paracetamol","Amoxicillin","Ibuprofen","Cetirizine","Metformin","Amlodipine","Omeprazole","Azithromycin","Losartan","Vitamin C"}, RANDBETWEEN(1,10))</f>
        <v>Azithromycin</v>
      </c>
      <c r="C629" t="str" cm="1">
        <f t="array" aca="1" ref="C629" ca="1">INDEX({"Painkiller","Antibiotic","Painkiller","Antihistamine","Diabetes","Hypertension","Antacid","Antibiotic","Hypertension","Supplement"},
MATCH(B629,{"Paracetamol","Amoxicillin","Ibuprofen","Cetirizine","Metformin","Amlodipine","Omeprazole","Azithromycin","Losartan","Vitamin C"},0))</f>
        <v>Antibiotic</v>
      </c>
      <c r="D629" t="str" cm="1">
        <f t="array" aca="1" ref="D629" ca="1">INDEX({"MedSupply Co","HealthCorp","PharmaPlus","GlobalMed"}, RANDBETWEEN(1,4))</f>
        <v>HealthCorp</v>
      </c>
      <c r="E629">
        <f t="shared" ca="1" si="91"/>
        <v>55</v>
      </c>
      <c r="F629">
        <f t="shared" ca="1" si="92"/>
        <v>94</v>
      </c>
      <c r="G629">
        <f t="shared" ca="1" si="93"/>
        <v>1.7</v>
      </c>
      <c r="H629" s="1">
        <f t="shared" ca="1" si="94"/>
        <v>46170</v>
      </c>
      <c r="I629" s="1">
        <f t="shared" ca="1" si="95"/>
        <v>46008</v>
      </c>
      <c r="J629">
        <f t="shared" ca="1" si="96"/>
        <v>93.5</v>
      </c>
      <c r="K629" t="str">
        <f t="shared" ca="1" si="97"/>
        <v>Low Stock</v>
      </c>
      <c r="L629" s="2">
        <f t="shared" ca="1" si="98"/>
        <v>51</v>
      </c>
      <c r="M629" t="str">
        <f t="shared" ca="1" si="99"/>
        <v>Safe</v>
      </c>
    </row>
    <row r="630" spans="1:13" x14ac:dyDescent="0.25">
      <c r="A630" t="str">
        <f t="shared" si="90"/>
        <v>M629</v>
      </c>
      <c r="B630" t="str" cm="1">
        <f t="array" aca="1" ref="B630" ca="1">INDEX({"Paracetamol","Amoxicillin","Ibuprofen","Cetirizine","Metformin","Amlodipine","Omeprazole","Azithromycin","Losartan","Vitamin C"}, RANDBETWEEN(1,10))</f>
        <v>Amlodipine</v>
      </c>
      <c r="C630" t="str" cm="1">
        <f t="array" aca="1" ref="C630" ca="1">INDEX({"Painkiller","Antibiotic","Painkiller","Antihistamine","Diabetes","Hypertension","Antacid","Antibiotic","Hypertension","Supplement"},
MATCH(B630,{"Paracetamol","Amoxicillin","Ibuprofen","Cetirizine","Metformin","Amlodipine","Omeprazole","Azithromycin","Losartan","Vitamin C"},0))</f>
        <v>Hypertension</v>
      </c>
      <c r="D630" t="str" cm="1">
        <f t="array" aca="1" ref="D630" ca="1">INDEX({"MedSupply Co","HealthCorp","PharmaPlus","GlobalMed"}, RANDBETWEEN(1,4))</f>
        <v>GlobalMed</v>
      </c>
      <c r="E630">
        <f t="shared" ca="1" si="91"/>
        <v>130</v>
      </c>
      <c r="F630">
        <f t="shared" ca="1" si="92"/>
        <v>20</v>
      </c>
      <c r="G630">
        <f t="shared" ca="1" si="93"/>
        <v>1.38</v>
      </c>
      <c r="H630" s="1">
        <f t="shared" ca="1" si="94"/>
        <v>46483</v>
      </c>
      <c r="I630" s="1">
        <f t="shared" ca="1" si="95"/>
        <v>46073</v>
      </c>
      <c r="J630">
        <f t="shared" ca="1" si="96"/>
        <v>179.39999999999998</v>
      </c>
      <c r="K630" t="str">
        <f t="shared" ca="1" si="97"/>
        <v>In Stock</v>
      </c>
      <c r="L630" s="2">
        <f t="shared" ca="1" si="98"/>
        <v>364</v>
      </c>
      <c r="M630" t="str">
        <f t="shared" ca="1" si="99"/>
        <v>Safe</v>
      </c>
    </row>
    <row r="631" spans="1:13" x14ac:dyDescent="0.25">
      <c r="A631" t="str">
        <f t="shared" si="90"/>
        <v>M630</v>
      </c>
      <c r="B631" t="str" cm="1">
        <f t="array" aca="1" ref="B631" ca="1">INDEX({"Paracetamol","Amoxicillin","Ibuprofen","Cetirizine","Metformin","Amlodipine","Omeprazole","Azithromycin","Losartan","Vitamin C"}, RANDBETWEEN(1,10))</f>
        <v>Losartan</v>
      </c>
      <c r="C631" t="str" cm="1">
        <f t="array" aca="1" ref="C631" ca="1">INDEX({"Painkiller","Antibiotic","Painkiller","Antihistamine","Diabetes","Hypertension","Antacid","Antibiotic","Hypertension","Supplement"},
MATCH(B631,{"Paracetamol","Amoxicillin","Ibuprofen","Cetirizine","Metformin","Amlodipine","Omeprazole","Azithromycin","Losartan","Vitamin C"},0))</f>
        <v>Hypertension</v>
      </c>
      <c r="D631" t="str" cm="1">
        <f t="array" aca="1" ref="D631" ca="1">INDEX({"MedSupply Co","HealthCorp","PharmaPlus","GlobalMed"}, RANDBETWEEN(1,4))</f>
        <v>PharmaPlus</v>
      </c>
      <c r="E631">
        <f t="shared" ca="1" si="91"/>
        <v>108</v>
      </c>
      <c r="F631">
        <f t="shared" ca="1" si="92"/>
        <v>95</v>
      </c>
      <c r="G631">
        <f t="shared" ca="1" si="93"/>
        <v>1.2</v>
      </c>
      <c r="H631" s="1">
        <f t="shared" ca="1" si="94"/>
        <v>46221</v>
      </c>
      <c r="I631" s="1">
        <f t="shared" ca="1" si="95"/>
        <v>45946</v>
      </c>
      <c r="J631">
        <f t="shared" ca="1" si="96"/>
        <v>129.6</v>
      </c>
      <c r="K631" t="str">
        <f t="shared" ca="1" si="97"/>
        <v>In Stock</v>
      </c>
      <c r="L631" s="2">
        <f t="shared" ca="1" si="98"/>
        <v>102</v>
      </c>
      <c r="M631" t="str">
        <f t="shared" ca="1" si="99"/>
        <v>Safe</v>
      </c>
    </row>
    <row r="632" spans="1:13" x14ac:dyDescent="0.25">
      <c r="A632" t="str">
        <f t="shared" si="90"/>
        <v>M631</v>
      </c>
      <c r="B632" t="str" cm="1">
        <f t="array" aca="1" ref="B632" ca="1">INDEX({"Paracetamol","Amoxicillin","Ibuprofen","Cetirizine","Metformin","Amlodipine","Omeprazole","Azithromycin","Losartan","Vitamin C"}, RANDBETWEEN(1,10))</f>
        <v>Ibuprofen</v>
      </c>
      <c r="C632" t="str" cm="1">
        <f t="array" aca="1" ref="C632" ca="1">INDEX({"Painkiller","Antibiotic","Painkiller","Antihistamine","Diabetes","Hypertension","Antacid","Antibiotic","Hypertension","Supplement"},
MATCH(B632,{"Paracetamol","Amoxicillin","Ibuprofen","Cetirizine","Metformin","Amlodipine","Omeprazole","Azithromycin","Losartan","Vitamin C"},0))</f>
        <v>Painkiller</v>
      </c>
      <c r="D632" t="str" cm="1">
        <f t="array" aca="1" ref="D632" ca="1">INDEX({"MedSupply Co","HealthCorp","PharmaPlus","GlobalMed"}, RANDBETWEEN(1,4))</f>
        <v>MedSupply Co</v>
      </c>
      <c r="E632">
        <f t="shared" ca="1" si="91"/>
        <v>68</v>
      </c>
      <c r="F632">
        <f t="shared" ca="1" si="92"/>
        <v>24</v>
      </c>
      <c r="G632">
        <f t="shared" ca="1" si="93"/>
        <v>1.78</v>
      </c>
      <c r="H632" s="1">
        <f t="shared" ca="1" si="94"/>
        <v>46469</v>
      </c>
      <c r="I632" s="1">
        <f t="shared" ca="1" si="95"/>
        <v>46078</v>
      </c>
      <c r="J632">
        <f t="shared" ca="1" si="96"/>
        <v>121.04</v>
      </c>
      <c r="K632" t="str">
        <f t="shared" ca="1" si="97"/>
        <v>In Stock</v>
      </c>
      <c r="L632" s="2">
        <f t="shared" ca="1" si="98"/>
        <v>350</v>
      </c>
      <c r="M632" t="str">
        <f t="shared" ca="1" si="99"/>
        <v>Safe</v>
      </c>
    </row>
    <row r="633" spans="1:13" x14ac:dyDescent="0.25">
      <c r="A633" t="str">
        <f t="shared" si="90"/>
        <v>M632</v>
      </c>
      <c r="B633" t="str" cm="1">
        <f t="array" aca="1" ref="B633" ca="1">INDEX({"Paracetamol","Amoxicillin","Ibuprofen","Cetirizine","Metformin","Amlodipine","Omeprazole","Azithromycin","Losartan","Vitamin C"}, RANDBETWEEN(1,10))</f>
        <v>Paracetamol</v>
      </c>
      <c r="C633" t="str" cm="1">
        <f t="array" aca="1" ref="C633" ca="1">INDEX({"Painkiller","Antibiotic","Painkiller","Antihistamine","Diabetes","Hypertension","Antacid","Antibiotic","Hypertension","Supplement"},
MATCH(B633,{"Paracetamol","Amoxicillin","Ibuprofen","Cetirizine","Metformin","Amlodipine","Omeprazole","Azithromycin","Losartan","Vitamin C"},0))</f>
        <v>Painkiller</v>
      </c>
      <c r="D633" t="str" cm="1">
        <f t="array" aca="1" ref="D633" ca="1">INDEX({"MedSupply Co","HealthCorp","PharmaPlus","GlobalMed"}, RANDBETWEEN(1,4))</f>
        <v>PharmaPlus</v>
      </c>
      <c r="E633">
        <f t="shared" ca="1" si="91"/>
        <v>101</v>
      </c>
      <c r="F633">
        <f t="shared" ca="1" si="92"/>
        <v>87</v>
      </c>
      <c r="G633">
        <f t="shared" ca="1" si="93"/>
        <v>1.92</v>
      </c>
      <c r="H633" s="1">
        <f t="shared" ca="1" si="94"/>
        <v>46325</v>
      </c>
      <c r="I633" s="1">
        <f t="shared" ca="1" si="95"/>
        <v>46116</v>
      </c>
      <c r="J633">
        <f t="shared" ca="1" si="96"/>
        <v>193.92</v>
      </c>
      <c r="K633" t="str">
        <f t="shared" ca="1" si="97"/>
        <v>In Stock</v>
      </c>
      <c r="L633" s="2">
        <f t="shared" ca="1" si="98"/>
        <v>206</v>
      </c>
      <c r="M633" t="str">
        <f t="shared" ca="1" si="99"/>
        <v>Safe</v>
      </c>
    </row>
    <row r="634" spans="1:13" x14ac:dyDescent="0.25">
      <c r="A634" t="str">
        <f t="shared" si="90"/>
        <v>M633</v>
      </c>
      <c r="B634" t="str" cm="1">
        <f t="array" aca="1" ref="B634" ca="1">INDEX({"Paracetamol","Amoxicillin","Ibuprofen","Cetirizine","Metformin","Amlodipine","Omeprazole","Azithromycin","Losartan","Vitamin C"}, RANDBETWEEN(1,10))</f>
        <v>Losartan</v>
      </c>
      <c r="C634" t="str" cm="1">
        <f t="array" aca="1" ref="C634" ca="1">INDEX({"Painkiller","Antibiotic","Painkiller","Antihistamine","Diabetes","Hypertension","Antacid","Antibiotic","Hypertension","Supplement"},
MATCH(B634,{"Paracetamol","Amoxicillin","Ibuprofen","Cetirizine","Metformin","Amlodipine","Omeprazole","Azithromycin","Losartan","Vitamin C"},0))</f>
        <v>Hypertension</v>
      </c>
      <c r="D634" t="str" cm="1">
        <f t="array" aca="1" ref="D634" ca="1">INDEX({"MedSupply Co","HealthCorp","PharmaPlus","GlobalMed"}, RANDBETWEEN(1,4))</f>
        <v>MedSupply Co</v>
      </c>
      <c r="E634">
        <f t="shared" ca="1" si="91"/>
        <v>132</v>
      </c>
      <c r="F634">
        <f t="shared" ca="1" si="92"/>
        <v>37</v>
      </c>
      <c r="G634">
        <f t="shared" ca="1" si="93"/>
        <v>1.45</v>
      </c>
      <c r="H634" s="1">
        <f t="shared" ca="1" si="94"/>
        <v>46188</v>
      </c>
      <c r="I634" s="1">
        <f t="shared" ca="1" si="95"/>
        <v>45952</v>
      </c>
      <c r="J634">
        <f t="shared" ca="1" si="96"/>
        <v>191.4</v>
      </c>
      <c r="K634" t="str">
        <f t="shared" ca="1" si="97"/>
        <v>In Stock</v>
      </c>
      <c r="L634" s="2">
        <f t="shared" ca="1" si="98"/>
        <v>69</v>
      </c>
      <c r="M634" t="str">
        <f t="shared" ca="1" si="99"/>
        <v>Safe</v>
      </c>
    </row>
    <row r="635" spans="1:13" x14ac:dyDescent="0.25">
      <c r="A635" t="str">
        <f t="shared" si="90"/>
        <v>M634</v>
      </c>
      <c r="B635" t="str" cm="1">
        <f t="array" aca="1" ref="B635" ca="1">INDEX({"Paracetamol","Amoxicillin","Ibuprofen","Cetirizine","Metformin","Amlodipine","Omeprazole","Azithromycin","Losartan","Vitamin C"}, RANDBETWEEN(1,10))</f>
        <v>Omeprazole</v>
      </c>
      <c r="C635" t="str" cm="1">
        <f t="array" aca="1" ref="C635" ca="1">INDEX({"Painkiller","Antibiotic","Painkiller","Antihistamine","Diabetes","Hypertension","Antacid","Antibiotic","Hypertension","Supplement"},
MATCH(B635,{"Paracetamol","Amoxicillin","Ibuprofen","Cetirizine","Metformin","Amlodipine","Omeprazole","Azithromycin","Losartan","Vitamin C"},0))</f>
        <v>Antacid</v>
      </c>
      <c r="D635" t="str" cm="1">
        <f t="array" aca="1" ref="D635" ca="1">INDEX({"MedSupply Co","HealthCorp","PharmaPlus","GlobalMed"}, RANDBETWEEN(1,4))</f>
        <v>MedSupply Co</v>
      </c>
      <c r="E635">
        <f t="shared" ca="1" si="91"/>
        <v>35</v>
      </c>
      <c r="F635">
        <f t="shared" ca="1" si="92"/>
        <v>99</v>
      </c>
      <c r="G635">
        <f t="shared" ca="1" si="93"/>
        <v>1.21</v>
      </c>
      <c r="H635" s="1">
        <f t="shared" ca="1" si="94"/>
        <v>46304</v>
      </c>
      <c r="I635" s="1">
        <f t="shared" ca="1" si="95"/>
        <v>46111</v>
      </c>
      <c r="J635">
        <f t="shared" ca="1" si="96"/>
        <v>42.35</v>
      </c>
      <c r="K635" t="str">
        <f t="shared" ca="1" si="97"/>
        <v>Low Stock</v>
      </c>
      <c r="L635" s="2">
        <f t="shared" ca="1" si="98"/>
        <v>185</v>
      </c>
      <c r="M635" t="str">
        <f t="shared" ca="1" si="99"/>
        <v>Safe</v>
      </c>
    </row>
    <row r="636" spans="1:13" x14ac:dyDescent="0.25">
      <c r="A636" t="str">
        <f t="shared" si="90"/>
        <v>M635</v>
      </c>
      <c r="B636" t="str" cm="1">
        <f t="array" aca="1" ref="B636" ca="1">INDEX({"Paracetamol","Amoxicillin","Ibuprofen","Cetirizine","Metformin","Amlodipine","Omeprazole","Azithromycin","Losartan","Vitamin C"}, RANDBETWEEN(1,10))</f>
        <v>Vitamin C</v>
      </c>
      <c r="C636" t="str" cm="1">
        <f t="array" aca="1" ref="C636" ca="1">INDEX({"Painkiller","Antibiotic","Painkiller","Antihistamine","Diabetes","Hypertension","Antacid","Antibiotic","Hypertension","Supplement"},
MATCH(B636,{"Paracetamol","Amoxicillin","Ibuprofen","Cetirizine","Metformin","Amlodipine","Omeprazole","Azithromycin","Losartan","Vitamin C"},0))</f>
        <v>Supplement</v>
      </c>
      <c r="D636" t="str" cm="1">
        <f t="array" aca="1" ref="D636" ca="1">INDEX({"MedSupply Co","HealthCorp","PharmaPlus","GlobalMed"}, RANDBETWEEN(1,4))</f>
        <v>PharmaPlus</v>
      </c>
      <c r="E636">
        <f t="shared" ca="1" si="91"/>
        <v>143</v>
      </c>
      <c r="F636">
        <f t="shared" ca="1" si="92"/>
        <v>53</v>
      </c>
      <c r="G636">
        <f t="shared" ca="1" si="93"/>
        <v>0.83</v>
      </c>
      <c r="H636" s="1">
        <f t="shared" ca="1" si="94"/>
        <v>46380</v>
      </c>
      <c r="I636" s="1">
        <f t="shared" ca="1" si="95"/>
        <v>46060</v>
      </c>
      <c r="J636">
        <f t="shared" ca="1" si="96"/>
        <v>118.69</v>
      </c>
      <c r="K636" t="str">
        <f t="shared" ca="1" si="97"/>
        <v>In Stock</v>
      </c>
      <c r="L636" s="2">
        <f t="shared" ca="1" si="98"/>
        <v>261</v>
      </c>
      <c r="M636" t="str">
        <f t="shared" ca="1" si="99"/>
        <v>Safe</v>
      </c>
    </row>
    <row r="637" spans="1:13" x14ac:dyDescent="0.25">
      <c r="A637" t="str">
        <f t="shared" si="90"/>
        <v>M636</v>
      </c>
      <c r="B637" t="str" cm="1">
        <f t="array" aca="1" ref="B637" ca="1">INDEX({"Paracetamol","Amoxicillin","Ibuprofen","Cetirizine","Metformin","Amlodipine","Omeprazole","Azithromycin","Losartan","Vitamin C"}, RANDBETWEEN(1,10))</f>
        <v>Omeprazole</v>
      </c>
      <c r="C637" t="str" cm="1">
        <f t="array" aca="1" ref="C637" ca="1">INDEX({"Painkiller","Antibiotic","Painkiller","Antihistamine","Diabetes","Hypertension","Antacid","Antibiotic","Hypertension","Supplement"},
MATCH(B637,{"Paracetamol","Amoxicillin","Ibuprofen","Cetirizine","Metformin","Amlodipine","Omeprazole","Azithromycin","Losartan","Vitamin C"},0))</f>
        <v>Antacid</v>
      </c>
      <c r="D637" t="str" cm="1">
        <f t="array" aca="1" ref="D637" ca="1">INDEX({"MedSupply Co","HealthCorp","PharmaPlus","GlobalMed"}, RANDBETWEEN(1,4))</f>
        <v>MedSupply Co</v>
      </c>
      <c r="E637">
        <f t="shared" ca="1" si="91"/>
        <v>88</v>
      </c>
      <c r="F637">
        <f t="shared" ca="1" si="92"/>
        <v>65</v>
      </c>
      <c r="G637">
        <f t="shared" ca="1" si="93"/>
        <v>0.98</v>
      </c>
      <c r="H637" s="1">
        <f t="shared" ca="1" si="94"/>
        <v>46362</v>
      </c>
      <c r="I637" s="1">
        <f t="shared" ca="1" si="95"/>
        <v>45981</v>
      </c>
      <c r="J637">
        <f t="shared" ca="1" si="96"/>
        <v>86.24</v>
      </c>
      <c r="K637" t="str">
        <f t="shared" ca="1" si="97"/>
        <v>In Stock</v>
      </c>
      <c r="L637" s="2">
        <f t="shared" ca="1" si="98"/>
        <v>243</v>
      </c>
      <c r="M637" t="str">
        <f t="shared" ca="1" si="99"/>
        <v>Safe</v>
      </c>
    </row>
    <row r="638" spans="1:13" x14ac:dyDescent="0.25">
      <c r="A638" t="str">
        <f t="shared" si="90"/>
        <v>M637</v>
      </c>
      <c r="B638" t="str" cm="1">
        <f t="array" aca="1" ref="B638" ca="1">INDEX({"Paracetamol","Amoxicillin","Ibuprofen","Cetirizine","Metformin","Amlodipine","Omeprazole","Azithromycin","Losartan","Vitamin C"}, RANDBETWEEN(1,10))</f>
        <v>Omeprazole</v>
      </c>
      <c r="C638" t="str" cm="1">
        <f t="array" aca="1" ref="C638" ca="1">INDEX({"Painkiller","Antibiotic","Painkiller","Antihistamine","Diabetes","Hypertension","Antacid","Antibiotic","Hypertension","Supplement"},
MATCH(B638,{"Paracetamol","Amoxicillin","Ibuprofen","Cetirizine","Metformin","Amlodipine","Omeprazole","Azithromycin","Losartan","Vitamin C"},0))</f>
        <v>Antacid</v>
      </c>
      <c r="D638" t="str" cm="1">
        <f t="array" aca="1" ref="D638" ca="1">INDEX({"MedSupply Co","HealthCorp","PharmaPlus","GlobalMed"}, RANDBETWEEN(1,4))</f>
        <v>GlobalMed</v>
      </c>
      <c r="E638">
        <f t="shared" ca="1" si="91"/>
        <v>53</v>
      </c>
      <c r="F638">
        <f t="shared" ca="1" si="92"/>
        <v>62</v>
      </c>
      <c r="G638">
        <f t="shared" ca="1" si="93"/>
        <v>0.89</v>
      </c>
      <c r="H638" s="1">
        <f t="shared" ca="1" si="94"/>
        <v>46469</v>
      </c>
      <c r="I638" s="1">
        <f t="shared" ca="1" si="95"/>
        <v>46011</v>
      </c>
      <c r="J638">
        <f t="shared" ca="1" si="96"/>
        <v>47.17</v>
      </c>
      <c r="K638" t="str">
        <f t="shared" ca="1" si="97"/>
        <v>Low Stock</v>
      </c>
      <c r="L638" s="2">
        <f t="shared" ca="1" si="98"/>
        <v>350</v>
      </c>
      <c r="M638" t="str">
        <f t="shared" ca="1" si="99"/>
        <v>Safe</v>
      </c>
    </row>
    <row r="639" spans="1:13" x14ac:dyDescent="0.25">
      <c r="A639" t="str">
        <f t="shared" si="90"/>
        <v>M638</v>
      </c>
      <c r="B639" t="str" cm="1">
        <f t="array" aca="1" ref="B639" ca="1">INDEX({"Paracetamol","Amoxicillin","Ibuprofen","Cetirizine","Metformin","Amlodipine","Omeprazole","Azithromycin","Losartan","Vitamin C"}, RANDBETWEEN(1,10))</f>
        <v>Paracetamol</v>
      </c>
      <c r="C639" t="str" cm="1">
        <f t="array" aca="1" ref="C639" ca="1">INDEX({"Painkiller","Antibiotic","Painkiller","Antihistamine","Diabetes","Hypertension","Antacid","Antibiotic","Hypertension","Supplement"},
MATCH(B639,{"Paracetamol","Amoxicillin","Ibuprofen","Cetirizine","Metformin","Amlodipine","Omeprazole","Azithromycin","Losartan","Vitamin C"},0))</f>
        <v>Painkiller</v>
      </c>
      <c r="D639" t="str" cm="1">
        <f t="array" aca="1" ref="D639" ca="1">INDEX({"MedSupply Co","HealthCorp","PharmaPlus","GlobalMed"}, RANDBETWEEN(1,4))</f>
        <v>GlobalMed</v>
      </c>
      <c r="E639">
        <f t="shared" ca="1" si="91"/>
        <v>51</v>
      </c>
      <c r="F639">
        <f t="shared" ca="1" si="92"/>
        <v>47</v>
      </c>
      <c r="G639">
        <f t="shared" ca="1" si="93"/>
        <v>1.45</v>
      </c>
      <c r="H639" s="1">
        <f t="shared" ca="1" si="94"/>
        <v>46401</v>
      </c>
      <c r="I639" s="1">
        <f t="shared" ca="1" si="95"/>
        <v>46051</v>
      </c>
      <c r="J639">
        <f t="shared" ca="1" si="96"/>
        <v>73.95</v>
      </c>
      <c r="K639" t="str">
        <f t="shared" ca="1" si="97"/>
        <v>In Stock</v>
      </c>
      <c r="L639" s="2">
        <f t="shared" ca="1" si="98"/>
        <v>282</v>
      </c>
      <c r="M639" t="str">
        <f t="shared" ca="1" si="99"/>
        <v>Safe</v>
      </c>
    </row>
    <row r="640" spans="1:13" x14ac:dyDescent="0.25">
      <c r="A640" t="str">
        <f t="shared" si="90"/>
        <v>M639</v>
      </c>
      <c r="B640" t="str" cm="1">
        <f t="array" aca="1" ref="B640" ca="1">INDEX({"Paracetamol","Amoxicillin","Ibuprofen","Cetirizine","Metformin","Amlodipine","Omeprazole","Azithromycin","Losartan","Vitamin C"}, RANDBETWEEN(1,10))</f>
        <v>Amoxicillin</v>
      </c>
      <c r="C640" t="str" cm="1">
        <f t="array" aca="1" ref="C640" ca="1">INDEX({"Painkiller","Antibiotic","Painkiller","Antihistamine","Diabetes","Hypertension","Antacid","Antibiotic","Hypertension","Supplement"},
MATCH(B640,{"Paracetamol","Amoxicillin","Ibuprofen","Cetirizine","Metformin","Amlodipine","Omeprazole","Azithromycin","Losartan","Vitamin C"},0))</f>
        <v>Antibiotic</v>
      </c>
      <c r="D640" t="str" cm="1">
        <f t="array" aca="1" ref="D640" ca="1">INDEX({"MedSupply Co","HealthCorp","PharmaPlus","GlobalMed"}, RANDBETWEEN(1,4))</f>
        <v>MedSupply Co</v>
      </c>
      <c r="E640">
        <f t="shared" ca="1" si="91"/>
        <v>111</v>
      </c>
      <c r="F640">
        <f t="shared" ca="1" si="92"/>
        <v>20</v>
      </c>
      <c r="G640">
        <f t="shared" ca="1" si="93"/>
        <v>1.35</v>
      </c>
      <c r="H640" s="1">
        <f t="shared" ca="1" si="94"/>
        <v>46337</v>
      </c>
      <c r="I640" s="1">
        <f t="shared" ca="1" si="95"/>
        <v>46108</v>
      </c>
      <c r="J640">
        <f t="shared" ca="1" si="96"/>
        <v>149.85000000000002</v>
      </c>
      <c r="K640" t="str">
        <f t="shared" ca="1" si="97"/>
        <v>In Stock</v>
      </c>
      <c r="L640" s="2">
        <f t="shared" ca="1" si="98"/>
        <v>218</v>
      </c>
      <c r="M640" t="str">
        <f t="shared" ca="1" si="99"/>
        <v>Safe</v>
      </c>
    </row>
    <row r="641" spans="1:13" x14ac:dyDescent="0.25">
      <c r="A641" t="str">
        <f t="shared" si="90"/>
        <v>M640</v>
      </c>
      <c r="B641" t="str" cm="1">
        <f t="array" aca="1" ref="B641" ca="1">INDEX({"Paracetamol","Amoxicillin","Ibuprofen","Cetirizine","Metformin","Amlodipine","Omeprazole","Azithromycin","Losartan","Vitamin C"}, RANDBETWEEN(1,10))</f>
        <v>Amlodipine</v>
      </c>
      <c r="C641" t="str" cm="1">
        <f t="array" aca="1" ref="C641" ca="1">INDEX({"Painkiller","Antibiotic","Painkiller","Antihistamine","Diabetes","Hypertension","Antacid","Antibiotic","Hypertension","Supplement"},
MATCH(B641,{"Paracetamol","Amoxicillin","Ibuprofen","Cetirizine","Metformin","Amlodipine","Omeprazole","Azithromycin","Losartan","Vitamin C"},0))</f>
        <v>Hypertension</v>
      </c>
      <c r="D641" t="str" cm="1">
        <f t="array" aca="1" ref="D641" ca="1">INDEX({"MedSupply Co","HealthCorp","PharmaPlus","GlobalMed"}, RANDBETWEEN(1,4))</f>
        <v>MedSupply Co</v>
      </c>
      <c r="E641">
        <f t="shared" ca="1" si="91"/>
        <v>29</v>
      </c>
      <c r="F641">
        <f t="shared" ca="1" si="92"/>
        <v>69</v>
      </c>
      <c r="G641">
        <f t="shared" ca="1" si="93"/>
        <v>1.1000000000000001</v>
      </c>
      <c r="H641" s="1">
        <f t="shared" ca="1" si="94"/>
        <v>46174</v>
      </c>
      <c r="I641" s="1">
        <f t="shared" ca="1" si="95"/>
        <v>45999</v>
      </c>
      <c r="J641">
        <f t="shared" ca="1" si="96"/>
        <v>31.900000000000002</v>
      </c>
      <c r="K641" t="str">
        <f t="shared" ca="1" si="97"/>
        <v>Low Stock</v>
      </c>
      <c r="L641" s="2">
        <f t="shared" ca="1" si="98"/>
        <v>55</v>
      </c>
      <c r="M641" t="str">
        <f t="shared" ca="1" si="99"/>
        <v>Safe</v>
      </c>
    </row>
    <row r="642" spans="1:13" x14ac:dyDescent="0.25">
      <c r="A642" t="str">
        <f t="shared" si="90"/>
        <v>M641</v>
      </c>
      <c r="B642" t="str" cm="1">
        <f t="array" aca="1" ref="B642" ca="1">INDEX({"Paracetamol","Amoxicillin","Ibuprofen","Cetirizine","Metformin","Amlodipine","Omeprazole","Azithromycin","Losartan","Vitamin C"}, RANDBETWEEN(1,10))</f>
        <v>Vitamin C</v>
      </c>
      <c r="C642" t="str" cm="1">
        <f t="array" aca="1" ref="C642" ca="1">INDEX({"Painkiller","Antibiotic","Painkiller","Antihistamine","Diabetes","Hypertension","Antacid","Antibiotic","Hypertension","Supplement"},
MATCH(B642,{"Paracetamol","Amoxicillin","Ibuprofen","Cetirizine","Metformin","Amlodipine","Omeprazole","Azithromycin","Losartan","Vitamin C"},0))</f>
        <v>Supplement</v>
      </c>
      <c r="D642" t="str" cm="1">
        <f t="array" aca="1" ref="D642" ca="1">INDEX({"MedSupply Co","HealthCorp","PharmaPlus","GlobalMed"}, RANDBETWEEN(1,4))</f>
        <v>PharmaPlus</v>
      </c>
      <c r="E642">
        <f t="shared" ca="1" si="91"/>
        <v>55</v>
      </c>
      <c r="F642">
        <f t="shared" ca="1" si="92"/>
        <v>38</v>
      </c>
      <c r="G642">
        <f t="shared" ca="1" si="93"/>
        <v>0.53</v>
      </c>
      <c r="H642" s="1">
        <f t="shared" ca="1" si="94"/>
        <v>46425</v>
      </c>
      <c r="I642" s="1">
        <f t="shared" ca="1" si="95"/>
        <v>46060</v>
      </c>
      <c r="J642">
        <f t="shared" ca="1" si="96"/>
        <v>29.150000000000002</v>
      </c>
      <c r="K642" t="str">
        <f t="shared" ca="1" si="97"/>
        <v>In Stock</v>
      </c>
      <c r="L642" s="2">
        <f t="shared" ca="1" si="98"/>
        <v>306</v>
      </c>
      <c r="M642" t="str">
        <f t="shared" ca="1" si="99"/>
        <v>Safe</v>
      </c>
    </row>
    <row r="643" spans="1:13" x14ac:dyDescent="0.25">
      <c r="A643" t="str">
        <f t="shared" ref="A643:A706" si="100">"M"&amp;TEXT(ROW(A642),"000")</f>
        <v>M642</v>
      </c>
      <c r="B643" t="str" cm="1">
        <f t="array" aca="1" ref="B643" ca="1">INDEX({"Paracetamol","Amoxicillin","Ibuprofen","Cetirizine","Metformin","Amlodipine","Omeprazole","Azithromycin","Losartan","Vitamin C"}, RANDBETWEEN(1,10))</f>
        <v>Metformin</v>
      </c>
      <c r="C643" t="str" cm="1">
        <f t="array" aca="1" ref="C643" ca="1">INDEX({"Painkiller","Antibiotic","Painkiller","Antihistamine","Diabetes","Hypertension","Antacid","Antibiotic","Hypertension","Supplement"},
MATCH(B643,{"Paracetamol","Amoxicillin","Ibuprofen","Cetirizine","Metformin","Amlodipine","Omeprazole","Azithromycin","Losartan","Vitamin C"},0))</f>
        <v>Diabetes</v>
      </c>
      <c r="D643" t="str" cm="1">
        <f t="array" aca="1" ref="D643" ca="1">INDEX({"MedSupply Co","HealthCorp","PharmaPlus","GlobalMed"}, RANDBETWEEN(1,4))</f>
        <v>PharmaPlus</v>
      </c>
      <c r="E643">
        <f t="shared" ref="E643:E706" ca="1" si="101">RANDBETWEEN(0,200)</f>
        <v>194</v>
      </c>
      <c r="F643">
        <f t="shared" ref="F643:F706" ca="1" si="102">RANDBETWEEN(20,100)</f>
        <v>90</v>
      </c>
      <c r="G643">
        <f t="shared" ref="G643:G706" ca="1" si="103">ROUND(RANDBETWEEN(50,200)/100,2)</f>
        <v>1.4</v>
      </c>
      <c r="H643" s="1">
        <f t="shared" ref="H643:H706" ca="1" si="104">TODAY()+RANDBETWEEN(30,365)</f>
        <v>46458</v>
      </c>
      <c r="I643" s="1">
        <f t="shared" ref="I643:I706" ca="1" si="105">TODAY()-RANDBETWEEN(1,180)</f>
        <v>46060</v>
      </c>
      <c r="J643">
        <f t="shared" ref="J643:J706" ca="1" si="106">E643*G643</f>
        <v>271.59999999999997</v>
      </c>
      <c r="K643" t="str">
        <f t="shared" ref="K643:K706" ca="1" si="107">IF(E643=0,"Out of Stock",IF(E643&lt;F643,"Low Stock","In Stock"))</f>
        <v>In Stock</v>
      </c>
      <c r="L643" s="2">
        <f t="shared" ref="L643:L706" ca="1" si="108">H643-TODAY()</f>
        <v>339</v>
      </c>
      <c r="M643" t="str">
        <f t="shared" ref="M643:M706" ca="1" si="109">IF(H643&lt;=TODAY()+30,"Expiring Soon","Safe")</f>
        <v>Safe</v>
      </c>
    </row>
    <row r="644" spans="1:13" x14ac:dyDescent="0.25">
      <c r="A644" t="str">
        <f t="shared" si="100"/>
        <v>M643</v>
      </c>
      <c r="B644" t="str" cm="1">
        <f t="array" aca="1" ref="B644" ca="1">INDEX({"Paracetamol","Amoxicillin","Ibuprofen","Cetirizine","Metformin","Amlodipine","Omeprazole","Azithromycin","Losartan","Vitamin C"}, RANDBETWEEN(1,10))</f>
        <v>Losartan</v>
      </c>
      <c r="C644" t="str" cm="1">
        <f t="array" aca="1" ref="C644" ca="1">INDEX({"Painkiller","Antibiotic","Painkiller","Antihistamine","Diabetes","Hypertension","Antacid","Antibiotic","Hypertension","Supplement"},
MATCH(B644,{"Paracetamol","Amoxicillin","Ibuprofen","Cetirizine","Metformin","Amlodipine","Omeprazole","Azithromycin","Losartan","Vitamin C"},0))</f>
        <v>Hypertension</v>
      </c>
      <c r="D644" t="str" cm="1">
        <f t="array" aca="1" ref="D644" ca="1">INDEX({"MedSupply Co","HealthCorp","PharmaPlus","GlobalMed"}, RANDBETWEEN(1,4))</f>
        <v>GlobalMed</v>
      </c>
      <c r="E644">
        <f t="shared" ca="1" si="101"/>
        <v>119</v>
      </c>
      <c r="F644">
        <f t="shared" ca="1" si="102"/>
        <v>63</v>
      </c>
      <c r="G644">
        <f t="shared" ca="1" si="103"/>
        <v>0.95</v>
      </c>
      <c r="H644" s="1">
        <f t="shared" ca="1" si="104"/>
        <v>46253</v>
      </c>
      <c r="I644" s="1">
        <f t="shared" ca="1" si="105"/>
        <v>46026</v>
      </c>
      <c r="J644">
        <f t="shared" ca="1" si="106"/>
        <v>113.05</v>
      </c>
      <c r="K644" t="str">
        <f t="shared" ca="1" si="107"/>
        <v>In Stock</v>
      </c>
      <c r="L644" s="2">
        <f t="shared" ca="1" si="108"/>
        <v>134</v>
      </c>
      <c r="M644" t="str">
        <f t="shared" ca="1" si="109"/>
        <v>Safe</v>
      </c>
    </row>
    <row r="645" spans="1:13" x14ac:dyDescent="0.25">
      <c r="A645" t="str">
        <f t="shared" si="100"/>
        <v>M644</v>
      </c>
      <c r="B645" t="str" cm="1">
        <f t="array" aca="1" ref="B645" ca="1">INDEX({"Paracetamol","Amoxicillin","Ibuprofen","Cetirizine","Metformin","Amlodipine","Omeprazole","Azithromycin","Losartan","Vitamin C"}, RANDBETWEEN(1,10))</f>
        <v>Losartan</v>
      </c>
      <c r="C645" t="str" cm="1">
        <f t="array" aca="1" ref="C645" ca="1">INDEX({"Painkiller","Antibiotic","Painkiller","Antihistamine","Diabetes","Hypertension","Antacid","Antibiotic","Hypertension","Supplement"},
MATCH(B645,{"Paracetamol","Amoxicillin","Ibuprofen","Cetirizine","Metformin","Amlodipine","Omeprazole","Azithromycin","Losartan","Vitamin C"},0))</f>
        <v>Hypertension</v>
      </c>
      <c r="D645" t="str" cm="1">
        <f t="array" aca="1" ref="D645" ca="1">INDEX({"MedSupply Co","HealthCorp","PharmaPlus","GlobalMed"}, RANDBETWEEN(1,4))</f>
        <v>HealthCorp</v>
      </c>
      <c r="E645">
        <f t="shared" ca="1" si="101"/>
        <v>52</v>
      </c>
      <c r="F645">
        <f t="shared" ca="1" si="102"/>
        <v>96</v>
      </c>
      <c r="G645">
        <f t="shared" ca="1" si="103"/>
        <v>1.18</v>
      </c>
      <c r="H645" s="1">
        <f t="shared" ca="1" si="104"/>
        <v>46429</v>
      </c>
      <c r="I645" s="1">
        <f t="shared" ca="1" si="105"/>
        <v>45965</v>
      </c>
      <c r="J645">
        <f t="shared" ca="1" si="106"/>
        <v>61.36</v>
      </c>
      <c r="K645" t="str">
        <f t="shared" ca="1" si="107"/>
        <v>Low Stock</v>
      </c>
      <c r="L645" s="2">
        <f t="shared" ca="1" si="108"/>
        <v>310</v>
      </c>
      <c r="M645" t="str">
        <f t="shared" ca="1" si="109"/>
        <v>Safe</v>
      </c>
    </row>
    <row r="646" spans="1:13" x14ac:dyDescent="0.25">
      <c r="A646" t="str">
        <f t="shared" si="100"/>
        <v>M645</v>
      </c>
      <c r="B646" t="str" cm="1">
        <f t="array" aca="1" ref="B646" ca="1">INDEX({"Paracetamol","Amoxicillin","Ibuprofen","Cetirizine","Metformin","Amlodipine","Omeprazole","Azithromycin","Losartan","Vitamin C"}, RANDBETWEEN(1,10))</f>
        <v>Vitamin C</v>
      </c>
      <c r="C646" t="str" cm="1">
        <f t="array" aca="1" ref="C646" ca="1">INDEX({"Painkiller","Antibiotic","Painkiller","Antihistamine","Diabetes","Hypertension","Antacid","Antibiotic","Hypertension","Supplement"},
MATCH(B646,{"Paracetamol","Amoxicillin","Ibuprofen","Cetirizine","Metformin","Amlodipine","Omeprazole","Azithromycin","Losartan","Vitamin C"},0))</f>
        <v>Supplement</v>
      </c>
      <c r="D646" t="str" cm="1">
        <f t="array" aca="1" ref="D646" ca="1">INDEX({"MedSupply Co","HealthCorp","PharmaPlus","GlobalMed"}, RANDBETWEEN(1,4))</f>
        <v>HealthCorp</v>
      </c>
      <c r="E646">
        <f t="shared" ca="1" si="101"/>
        <v>163</v>
      </c>
      <c r="F646">
        <f t="shared" ca="1" si="102"/>
        <v>78</v>
      </c>
      <c r="G646">
        <f t="shared" ca="1" si="103"/>
        <v>0.94</v>
      </c>
      <c r="H646" s="1">
        <f t="shared" ca="1" si="104"/>
        <v>46405</v>
      </c>
      <c r="I646" s="1">
        <f t="shared" ca="1" si="105"/>
        <v>46010</v>
      </c>
      <c r="J646">
        <f t="shared" ca="1" si="106"/>
        <v>153.22</v>
      </c>
      <c r="K646" t="str">
        <f t="shared" ca="1" si="107"/>
        <v>In Stock</v>
      </c>
      <c r="L646" s="2">
        <f t="shared" ca="1" si="108"/>
        <v>286</v>
      </c>
      <c r="M646" t="str">
        <f t="shared" ca="1" si="109"/>
        <v>Safe</v>
      </c>
    </row>
    <row r="647" spans="1:13" x14ac:dyDescent="0.25">
      <c r="A647" t="str">
        <f t="shared" si="100"/>
        <v>M646</v>
      </c>
      <c r="B647" t="str" cm="1">
        <f t="array" aca="1" ref="B647" ca="1">INDEX({"Paracetamol","Amoxicillin","Ibuprofen","Cetirizine","Metformin","Amlodipine","Omeprazole","Azithromycin","Losartan","Vitamin C"}, RANDBETWEEN(1,10))</f>
        <v>Paracetamol</v>
      </c>
      <c r="C647" t="str" cm="1">
        <f t="array" aca="1" ref="C647" ca="1">INDEX({"Painkiller","Antibiotic","Painkiller","Antihistamine","Diabetes","Hypertension","Antacid","Antibiotic","Hypertension","Supplement"},
MATCH(B647,{"Paracetamol","Amoxicillin","Ibuprofen","Cetirizine","Metformin","Amlodipine","Omeprazole","Azithromycin","Losartan","Vitamin C"},0))</f>
        <v>Painkiller</v>
      </c>
      <c r="D647" t="str" cm="1">
        <f t="array" aca="1" ref="D647" ca="1">INDEX({"MedSupply Co","HealthCorp","PharmaPlus","GlobalMed"}, RANDBETWEEN(1,4))</f>
        <v>GlobalMed</v>
      </c>
      <c r="E647">
        <f t="shared" ca="1" si="101"/>
        <v>34</v>
      </c>
      <c r="F647">
        <f t="shared" ca="1" si="102"/>
        <v>63</v>
      </c>
      <c r="G647">
        <f t="shared" ca="1" si="103"/>
        <v>1.72</v>
      </c>
      <c r="H647" s="1">
        <f t="shared" ca="1" si="104"/>
        <v>46213</v>
      </c>
      <c r="I647" s="1">
        <f t="shared" ca="1" si="105"/>
        <v>46075</v>
      </c>
      <c r="J647">
        <f t="shared" ca="1" si="106"/>
        <v>58.48</v>
      </c>
      <c r="K647" t="str">
        <f t="shared" ca="1" si="107"/>
        <v>Low Stock</v>
      </c>
      <c r="L647" s="2">
        <f t="shared" ca="1" si="108"/>
        <v>94</v>
      </c>
      <c r="M647" t="str">
        <f t="shared" ca="1" si="109"/>
        <v>Safe</v>
      </c>
    </row>
    <row r="648" spans="1:13" x14ac:dyDescent="0.25">
      <c r="A648" t="str">
        <f t="shared" si="100"/>
        <v>M647</v>
      </c>
      <c r="B648" t="str" cm="1">
        <f t="array" aca="1" ref="B648" ca="1">INDEX({"Paracetamol","Amoxicillin","Ibuprofen","Cetirizine","Metformin","Amlodipine","Omeprazole","Azithromycin","Losartan","Vitamin C"}, RANDBETWEEN(1,10))</f>
        <v>Paracetamol</v>
      </c>
      <c r="C648" t="str" cm="1">
        <f t="array" aca="1" ref="C648" ca="1">INDEX({"Painkiller","Antibiotic","Painkiller","Antihistamine","Diabetes","Hypertension","Antacid","Antibiotic","Hypertension","Supplement"},
MATCH(B648,{"Paracetamol","Amoxicillin","Ibuprofen","Cetirizine","Metformin","Amlodipine","Omeprazole","Azithromycin","Losartan","Vitamin C"},0))</f>
        <v>Painkiller</v>
      </c>
      <c r="D648" t="str" cm="1">
        <f t="array" aca="1" ref="D648" ca="1">INDEX({"MedSupply Co","HealthCorp","PharmaPlus","GlobalMed"}, RANDBETWEEN(1,4))</f>
        <v>PharmaPlus</v>
      </c>
      <c r="E648">
        <f t="shared" ca="1" si="101"/>
        <v>124</v>
      </c>
      <c r="F648">
        <f t="shared" ca="1" si="102"/>
        <v>54</v>
      </c>
      <c r="G648">
        <f t="shared" ca="1" si="103"/>
        <v>1.67</v>
      </c>
      <c r="H648" s="1">
        <f t="shared" ca="1" si="104"/>
        <v>46422</v>
      </c>
      <c r="I648" s="1">
        <f t="shared" ca="1" si="105"/>
        <v>46091</v>
      </c>
      <c r="J648">
        <f t="shared" ca="1" si="106"/>
        <v>207.07999999999998</v>
      </c>
      <c r="K648" t="str">
        <f t="shared" ca="1" si="107"/>
        <v>In Stock</v>
      </c>
      <c r="L648" s="2">
        <f t="shared" ca="1" si="108"/>
        <v>303</v>
      </c>
      <c r="M648" t="str">
        <f t="shared" ca="1" si="109"/>
        <v>Safe</v>
      </c>
    </row>
    <row r="649" spans="1:13" x14ac:dyDescent="0.25">
      <c r="A649" t="str">
        <f t="shared" si="100"/>
        <v>M648</v>
      </c>
      <c r="B649" t="str" cm="1">
        <f t="array" aca="1" ref="B649" ca="1">INDEX({"Paracetamol","Amoxicillin","Ibuprofen","Cetirizine","Metformin","Amlodipine","Omeprazole","Azithromycin","Losartan","Vitamin C"}, RANDBETWEEN(1,10))</f>
        <v>Paracetamol</v>
      </c>
      <c r="C649" t="str" cm="1">
        <f t="array" aca="1" ref="C649" ca="1">INDEX({"Painkiller","Antibiotic","Painkiller","Antihistamine","Diabetes","Hypertension","Antacid","Antibiotic","Hypertension","Supplement"},
MATCH(B649,{"Paracetamol","Amoxicillin","Ibuprofen","Cetirizine","Metformin","Amlodipine","Omeprazole","Azithromycin","Losartan","Vitamin C"},0))</f>
        <v>Painkiller</v>
      </c>
      <c r="D649" t="str" cm="1">
        <f t="array" aca="1" ref="D649" ca="1">INDEX({"MedSupply Co","HealthCorp","PharmaPlus","GlobalMed"}, RANDBETWEEN(1,4))</f>
        <v>PharmaPlus</v>
      </c>
      <c r="E649">
        <f t="shared" ca="1" si="101"/>
        <v>89</v>
      </c>
      <c r="F649">
        <f t="shared" ca="1" si="102"/>
        <v>39</v>
      </c>
      <c r="G649">
        <f t="shared" ca="1" si="103"/>
        <v>1.24</v>
      </c>
      <c r="H649" s="1">
        <f t="shared" ca="1" si="104"/>
        <v>46433</v>
      </c>
      <c r="I649" s="1">
        <f t="shared" ca="1" si="105"/>
        <v>46052</v>
      </c>
      <c r="J649">
        <f t="shared" ca="1" si="106"/>
        <v>110.36</v>
      </c>
      <c r="K649" t="str">
        <f t="shared" ca="1" si="107"/>
        <v>In Stock</v>
      </c>
      <c r="L649" s="2">
        <f t="shared" ca="1" si="108"/>
        <v>314</v>
      </c>
      <c r="M649" t="str">
        <f t="shared" ca="1" si="109"/>
        <v>Safe</v>
      </c>
    </row>
    <row r="650" spans="1:13" x14ac:dyDescent="0.25">
      <c r="A650" t="str">
        <f t="shared" si="100"/>
        <v>M649</v>
      </c>
      <c r="B650" t="str" cm="1">
        <f t="array" aca="1" ref="B650" ca="1">INDEX({"Paracetamol","Amoxicillin","Ibuprofen","Cetirizine","Metformin","Amlodipine","Omeprazole","Azithromycin","Losartan","Vitamin C"}, RANDBETWEEN(1,10))</f>
        <v>Ibuprofen</v>
      </c>
      <c r="C650" t="str" cm="1">
        <f t="array" aca="1" ref="C650" ca="1">INDEX({"Painkiller","Antibiotic","Painkiller","Antihistamine","Diabetes","Hypertension","Antacid","Antibiotic","Hypertension","Supplement"},
MATCH(B650,{"Paracetamol","Amoxicillin","Ibuprofen","Cetirizine","Metformin","Amlodipine","Omeprazole","Azithromycin","Losartan","Vitamin C"},0))</f>
        <v>Painkiller</v>
      </c>
      <c r="D650" t="str" cm="1">
        <f t="array" aca="1" ref="D650" ca="1">INDEX({"MedSupply Co","HealthCorp","PharmaPlus","GlobalMed"}, RANDBETWEEN(1,4))</f>
        <v>MedSupply Co</v>
      </c>
      <c r="E650">
        <f t="shared" ca="1" si="101"/>
        <v>175</v>
      </c>
      <c r="F650">
        <f t="shared" ca="1" si="102"/>
        <v>33</v>
      </c>
      <c r="G650">
        <f t="shared" ca="1" si="103"/>
        <v>1.1599999999999999</v>
      </c>
      <c r="H650" s="1">
        <f t="shared" ca="1" si="104"/>
        <v>46246</v>
      </c>
      <c r="I650" s="1">
        <f t="shared" ca="1" si="105"/>
        <v>45954</v>
      </c>
      <c r="J650">
        <f t="shared" ca="1" si="106"/>
        <v>203</v>
      </c>
      <c r="K650" t="str">
        <f t="shared" ca="1" si="107"/>
        <v>In Stock</v>
      </c>
      <c r="L650" s="2">
        <f t="shared" ca="1" si="108"/>
        <v>127</v>
      </c>
      <c r="M650" t="str">
        <f t="shared" ca="1" si="109"/>
        <v>Safe</v>
      </c>
    </row>
    <row r="651" spans="1:13" x14ac:dyDescent="0.25">
      <c r="A651" t="str">
        <f t="shared" si="100"/>
        <v>M650</v>
      </c>
      <c r="B651" t="str" cm="1">
        <f t="array" aca="1" ref="B651" ca="1">INDEX({"Paracetamol","Amoxicillin","Ibuprofen","Cetirizine","Metformin","Amlodipine","Omeprazole","Azithromycin","Losartan","Vitamin C"}, RANDBETWEEN(1,10))</f>
        <v>Vitamin C</v>
      </c>
      <c r="C651" t="str" cm="1">
        <f t="array" aca="1" ref="C651" ca="1">INDEX({"Painkiller","Antibiotic","Painkiller","Antihistamine","Diabetes","Hypertension","Antacid","Antibiotic","Hypertension","Supplement"},
MATCH(B651,{"Paracetamol","Amoxicillin","Ibuprofen","Cetirizine","Metformin","Amlodipine","Omeprazole","Azithromycin","Losartan","Vitamin C"},0))</f>
        <v>Supplement</v>
      </c>
      <c r="D651" t="str" cm="1">
        <f t="array" aca="1" ref="D651" ca="1">INDEX({"MedSupply Co","HealthCorp","PharmaPlus","GlobalMed"}, RANDBETWEEN(1,4))</f>
        <v>HealthCorp</v>
      </c>
      <c r="E651">
        <f t="shared" ca="1" si="101"/>
        <v>95</v>
      </c>
      <c r="F651">
        <f t="shared" ca="1" si="102"/>
        <v>49</v>
      </c>
      <c r="G651">
        <f t="shared" ca="1" si="103"/>
        <v>1.42</v>
      </c>
      <c r="H651" s="1">
        <f t="shared" ca="1" si="104"/>
        <v>46304</v>
      </c>
      <c r="I651" s="1">
        <f t="shared" ca="1" si="105"/>
        <v>46041</v>
      </c>
      <c r="J651">
        <f t="shared" ca="1" si="106"/>
        <v>134.9</v>
      </c>
      <c r="K651" t="str">
        <f t="shared" ca="1" si="107"/>
        <v>In Stock</v>
      </c>
      <c r="L651" s="2">
        <f t="shared" ca="1" si="108"/>
        <v>185</v>
      </c>
      <c r="M651" t="str">
        <f t="shared" ca="1" si="109"/>
        <v>Safe</v>
      </c>
    </row>
    <row r="652" spans="1:13" x14ac:dyDescent="0.25">
      <c r="A652" t="str">
        <f t="shared" si="100"/>
        <v>M651</v>
      </c>
      <c r="B652" t="str" cm="1">
        <f t="array" aca="1" ref="B652" ca="1">INDEX({"Paracetamol","Amoxicillin","Ibuprofen","Cetirizine","Metformin","Amlodipine","Omeprazole","Azithromycin","Losartan","Vitamin C"}, RANDBETWEEN(1,10))</f>
        <v>Paracetamol</v>
      </c>
      <c r="C652" t="str" cm="1">
        <f t="array" aca="1" ref="C652" ca="1">INDEX({"Painkiller","Antibiotic","Painkiller","Antihistamine","Diabetes","Hypertension","Antacid","Antibiotic","Hypertension","Supplement"},
MATCH(B652,{"Paracetamol","Amoxicillin","Ibuprofen","Cetirizine","Metformin","Amlodipine","Omeprazole","Azithromycin","Losartan","Vitamin C"},0))</f>
        <v>Painkiller</v>
      </c>
      <c r="D652" t="str" cm="1">
        <f t="array" aca="1" ref="D652" ca="1">INDEX({"MedSupply Co","HealthCorp","PharmaPlus","GlobalMed"}, RANDBETWEEN(1,4))</f>
        <v>PharmaPlus</v>
      </c>
      <c r="E652">
        <f t="shared" ca="1" si="101"/>
        <v>114</v>
      </c>
      <c r="F652">
        <f t="shared" ca="1" si="102"/>
        <v>58</v>
      </c>
      <c r="G652">
        <f t="shared" ca="1" si="103"/>
        <v>1.0900000000000001</v>
      </c>
      <c r="H652" s="1">
        <f t="shared" ca="1" si="104"/>
        <v>46203</v>
      </c>
      <c r="I652" s="1">
        <f t="shared" ca="1" si="105"/>
        <v>46087</v>
      </c>
      <c r="J652">
        <f t="shared" ca="1" si="106"/>
        <v>124.26</v>
      </c>
      <c r="K652" t="str">
        <f t="shared" ca="1" si="107"/>
        <v>In Stock</v>
      </c>
      <c r="L652" s="2">
        <f t="shared" ca="1" si="108"/>
        <v>84</v>
      </c>
      <c r="M652" t="str">
        <f t="shared" ca="1" si="109"/>
        <v>Safe</v>
      </c>
    </row>
    <row r="653" spans="1:13" x14ac:dyDescent="0.25">
      <c r="A653" t="str">
        <f t="shared" si="100"/>
        <v>M652</v>
      </c>
      <c r="B653" t="str" cm="1">
        <f t="array" aca="1" ref="B653" ca="1">INDEX({"Paracetamol","Amoxicillin","Ibuprofen","Cetirizine","Metformin","Amlodipine","Omeprazole","Azithromycin","Losartan","Vitamin C"}, RANDBETWEEN(1,10))</f>
        <v>Ibuprofen</v>
      </c>
      <c r="C653" t="str" cm="1">
        <f t="array" aca="1" ref="C653" ca="1">INDEX({"Painkiller","Antibiotic","Painkiller","Antihistamine","Diabetes","Hypertension","Antacid","Antibiotic","Hypertension","Supplement"},
MATCH(B653,{"Paracetamol","Amoxicillin","Ibuprofen","Cetirizine","Metformin","Amlodipine","Omeprazole","Azithromycin","Losartan","Vitamin C"},0))</f>
        <v>Painkiller</v>
      </c>
      <c r="D653" t="str" cm="1">
        <f t="array" aca="1" ref="D653" ca="1">INDEX({"MedSupply Co","HealthCorp","PharmaPlus","GlobalMed"}, RANDBETWEEN(1,4))</f>
        <v>HealthCorp</v>
      </c>
      <c r="E653">
        <f t="shared" ca="1" si="101"/>
        <v>190</v>
      </c>
      <c r="F653">
        <f t="shared" ca="1" si="102"/>
        <v>32</v>
      </c>
      <c r="G653">
        <f t="shared" ca="1" si="103"/>
        <v>1.1299999999999999</v>
      </c>
      <c r="H653" s="1">
        <f t="shared" ca="1" si="104"/>
        <v>46226</v>
      </c>
      <c r="I653" s="1">
        <f t="shared" ca="1" si="105"/>
        <v>46028</v>
      </c>
      <c r="J653">
        <f t="shared" ca="1" si="106"/>
        <v>214.7</v>
      </c>
      <c r="K653" t="str">
        <f t="shared" ca="1" si="107"/>
        <v>In Stock</v>
      </c>
      <c r="L653" s="2">
        <f t="shared" ca="1" si="108"/>
        <v>107</v>
      </c>
      <c r="M653" t="str">
        <f t="shared" ca="1" si="109"/>
        <v>Safe</v>
      </c>
    </row>
    <row r="654" spans="1:13" x14ac:dyDescent="0.25">
      <c r="A654" t="str">
        <f t="shared" si="100"/>
        <v>M653</v>
      </c>
      <c r="B654" t="str" cm="1">
        <f t="array" aca="1" ref="B654" ca="1">INDEX({"Paracetamol","Amoxicillin","Ibuprofen","Cetirizine","Metformin","Amlodipine","Omeprazole","Azithromycin","Losartan","Vitamin C"}, RANDBETWEEN(1,10))</f>
        <v>Vitamin C</v>
      </c>
      <c r="C654" t="str" cm="1">
        <f t="array" aca="1" ref="C654" ca="1">INDEX({"Painkiller","Antibiotic","Painkiller","Antihistamine","Diabetes","Hypertension","Antacid","Antibiotic","Hypertension","Supplement"},
MATCH(B654,{"Paracetamol","Amoxicillin","Ibuprofen","Cetirizine","Metformin","Amlodipine","Omeprazole","Azithromycin","Losartan","Vitamin C"},0))</f>
        <v>Supplement</v>
      </c>
      <c r="D654" t="str" cm="1">
        <f t="array" aca="1" ref="D654" ca="1">INDEX({"MedSupply Co","HealthCorp","PharmaPlus","GlobalMed"}, RANDBETWEEN(1,4))</f>
        <v>GlobalMed</v>
      </c>
      <c r="E654">
        <f t="shared" ca="1" si="101"/>
        <v>179</v>
      </c>
      <c r="F654">
        <f t="shared" ca="1" si="102"/>
        <v>28</v>
      </c>
      <c r="G654">
        <f t="shared" ca="1" si="103"/>
        <v>0.52</v>
      </c>
      <c r="H654" s="1">
        <f t="shared" ca="1" si="104"/>
        <v>46362</v>
      </c>
      <c r="I654" s="1">
        <f t="shared" ca="1" si="105"/>
        <v>45991</v>
      </c>
      <c r="J654">
        <f t="shared" ca="1" si="106"/>
        <v>93.08</v>
      </c>
      <c r="K654" t="str">
        <f t="shared" ca="1" si="107"/>
        <v>In Stock</v>
      </c>
      <c r="L654" s="2">
        <f t="shared" ca="1" si="108"/>
        <v>243</v>
      </c>
      <c r="M654" t="str">
        <f t="shared" ca="1" si="109"/>
        <v>Safe</v>
      </c>
    </row>
    <row r="655" spans="1:13" x14ac:dyDescent="0.25">
      <c r="A655" t="str">
        <f t="shared" si="100"/>
        <v>M654</v>
      </c>
      <c r="B655" t="str" cm="1">
        <f t="array" aca="1" ref="B655" ca="1">INDEX({"Paracetamol","Amoxicillin","Ibuprofen","Cetirizine","Metformin","Amlodipine","Omeprazole","Azithromycin","Losartan","Vitamin C"}, RANDBETWEEN(1,10))</f>
        <v>Cetirizine</v>
      </c>
      <c r="C655" t="str" cm="1">
        <f t="array" aca="1" ref="C655" ca="1">INDEX({"Painkiller","Antibiotic","Painkiller","Antihistamine","Diabetes","Hypertension","Antacid","Antibiotic","Hypertension","Supplement"},
MATCH(B655,{"Paracetamol","Amoxicillin","Ibuprofen","Cetirizine","Metformin","Amlodipine","Omeprazole","Azithromycin","Losartan","Vitamin C"},0))</f>
        <v>Antihistamine</v>
      </c>
      <c r="D655" t="str" cm="1">
        <f t="array" aca="1" ref="D655" ca="1">INDEX({"MedSupply Co","HealthCorp","PharmaPlus","GlobalMed"}, RANDBETWEEN(1,4))</f>
        <v>PharmaPlus</v>
      </c>
      <c r="E655">
        <f t="shared" ca="1" si="101"/>
        <v>56</v>
      </c>
      <c r="F655">
        <f t="shared" ca="1" si="102"/>
        <v>83</v>
      </c>
      <c r="G655">
        <f t="shared" ca="1" si="103"/>
        <v>1.81</v>
      </c>
      <c r="H655" s="1">
        <f t="shared" ca="1" si="104"/>
        <v>46225</v>
      </c>
      <c r="I655" s="1">
        <f t="shared" ca="1" si="105"/>
        <v>45962</v>
      </c>
      <c r="J655">
        <f t="shared" ca="1" si="106"/>
        <v>101.36</v>
      </c>
      <c r="K655" t="str">
        <f t="shared" ca="1" si="107"/>
        <v>Low Stock</v>
      </c>
      <c r="L655" s="2">
        <f t="shared" ca="1" si="108"/>
        <v>106</v>
      </c>
      <c r="M655" t="str">
        <f t="shared" ca="1" si="109"/>
        <v>Safe</v>
      </c>
    </row>
    <row r="656" spans="1:13" x14ac:dyDescent="0.25">
      <c r="A656" t="str">
        <f t="shared" si="100"/>
        <v>M655</v>
      </c>
      <c r="B656" t="str" cm="1">
        <f t="array" aca="1" ref="B656" ca="1">INDEX({"Paracetamol","Amoxicillin","Ibuprofen","Cetirizine","Metformin","Amlodipine","Omeprazole","Azithromycin","Losartan","Vitamin C"}, RANDBETWEEN(1,10))</f>
        <v>Omeprazole</v>
      </c>
      <c r="C656" t="str" cm="1">
        <f t="array" aca="1" ref="C656" ca="1">INDEX({"Painkiller","Antibiotic","Painkiller","Antihistamine","Diabetes","Hypertension","Antacid","Antibiotic","Hypertension","Supplement"},
MATCH(B656,{"Paracetamol","Amoxicillin","Ibuprofen","Cetirizine","Metformin","Amlodipine","Omeprazole","Azithromycin","Losartan","Vitamin C"},0))</f>
        <v>Antacid</v>
      </c>
      <c r="D656" t="str" cm="1">
        <f t="array" aca="1" ref="D656" ca="1">INDEX({"MedSupply Co","HealthCorp","PharmaPlus","GlobalMed"}, RANDBETWEEN(1,4))</f>
        <v>HealthCorp</v>
      </c>
      <c r="E656">
        <f t="shared" ca="1" si="101"/>
        <v>175</v>
      </c>
      <c r="F656">
        <f t="shared" ca="1" si="102"/>
        <v>71</v>
      </c>
      <c r="G656">
        <f t="shared" ca="1" si="103"/>
        <v>1.87</v>
      </c>
      <c r="H656" s="1">
        <f t="shared" ca="1" si="104"/>
        <v>46289</v>
      </c>
      <c r="I656" s="1">
        <f t="shared" ca="1" si="105"/>
        <v>45960</v>
      </c>
      <c r="J656">
        <f t="shared" ca="1" si="106"/>
        <v>327.25</v>
      </c>
      <c r="K656" t="str">
        <f t="shared" ca="1" si="107"/>
        <v>In Stock</v>
      </c>
      <c r="L656" s="2">
        <f t="shared" ca="1" si="108"/>
        <v>170</v>
      </c>
      <c r="M656" t="str">
        <f t="shared" ca="1" si="109"/>
        <v>Safe</v>
      </c>
    </row>
    <row r="657" spans="1:13" x14ac:dyDescent="0.25">
      <c r="A657" t="str">
        <f t="shared" si="100"/>
        <v>M656</v>
      </c>
      <c r="B657" t="str" cm="1">
        <f t="array" aca="1" ref="B657" ca="1">INDEX({"Paracetamol","Amoxicillin","Ibuprofen","Cetirizine","Metformin","Amlodipine","Omeprazole","Azithromycin","Losartan","Vitamin C"}, RANDBETWEEN(1,10))</f>
        <v>Amlodipine</v>
      </c>
      <c r="C657" t="str" cm="1">
        <f t="array" aca="1" ref="C657" ca="1">INDEX({"Painkiller","Antibiotic","Painkiller","Antihistamine","Diabetes","Hypertension","Antacid","Antibiotic","Hypertension","Supplement"},
MATCH(B657,{"Paracetamol","Amoxicillin","Ibuprofen","Cetirizine","Metformin","Amlodipine","Omeprazole","Azithromycin","Losartan","Vitamin C"},0))</f>
        <v>Hypertension</v>
      </c>
      <c r="D657" t="str" cm="1">
        <f t="array" aca="1" ref="D657" ca="1">INDEX({"MedSupply Co","HealthCorp","PharmaPlus","GlobalMed"}, RANDBETWEEN(1,4))</f>
        <v>MedSupply Co</v>
      </c>
      <c r="E657">
        <f t="shared" ca="1" si="101"/>
        <v>140</v>
      </c>
      <c r="F657">
        <f t="shared" ca="1" si="102"/>
        <v>46</v>
      </c>
      <c r="G657">
        <f t="shared" ca="1" si="103"/>
        <v>1.07</v>
      </c>
      <c r="H657" s="1">
        <f t="shared" ca="1" si="104"/>
        <v>46466</v>
      </c>
      <c r="I657" s="1">
        <f t="shared" ca="1" si="105"/>
        <v>46087</v>
      </c>
      <c r="J657">
        <f t="shared" ca="1" si="106"/>
        <v>149.80000000000001</v>
      </c>
      <c r="K657" t="str">
        <f t="shared" ca="1" si="107"/>
        <v>In Stock</v>
      </c>
      <c r="L657" s="2">
        <f t="shared" ca="1" si="108"/>
        <v>347</v>
      </c>
      <c r="M657" t="str">
        <f t="shared" ca="1" si="109"/>
        <v>Safe</v>
      </c>
    </row>
    <row r="658" spans="1:13" x14ac:dyDescent="0.25">
      <c r="A658" t="str">
        <f t="shared" si="100"/>
        <v>M657</v>
      </c>
      <c r="B658" t="str" cm="1">
        <f t="array" aca="1" ref="B658" ca="1">INDEX({"Paracetamol","Amoxicillin","Ibuprofen","Cetirizine","Metformin","Amlodipine","Omeprazole","Azithromycin","Losartan","Vitamin C"}, RANDBETWEEN(1,10))</f>
        <v>Azithromycin</v>
      </c>
      <c r="C658" t="str" cm="1">
        <f t="array" aca="1" ref="C658" ca="1">INDEX({"Painkiller","Antibiotic","Painkiller","Antihistamine","Diabetes","Hypertension","Antacid","Antibiotic","Hypertension","Supplement"},
MATCH(B658,{"Paracetamol","Amoxicillin","Ibuprofen","Cetirizine","Metformin","Amlodipine","Omeprazole","Azithromycin","Losartan","Vitamin C"},0))</f>
        <v>Antibiotic</v>
      </c>
      <c r="D658" t="str" cm="1">
        <f t="array" aca="1" ref="D658" ca="1">INDEX({"MedSupply Co","HealthCorp","PharmaPlus","GlobalMed"}, RANDBETWEEN(1,4))</f>
        <v>GlobalMed</v>
      </c>
      <c r="E658">
        <f t="shared" ca="1" si="101"/>
        <v>17</v>
      </c>
      <c r="F658">
        <f t="shared" ca="1" si="102"/>
        <v>37</v>
      </c>
      <c r="G658">
        <f t="shared" ca="1" si="103"/>
        <v>1.72</v>
      </c>
      <c r="H658" s="1">
        <f t="shared" ca="1" si="104"/>
        <v>46249</v>
      </c>
      <c r="I658" s="1">
        <f t="shared" ca="1" si="105"/>
        <v>46023</v>
      </c>
      <c r="J658">
        <f t="shared" ca="1" si="106"/>
        <v>29.24</v>
      </c>
      <c r="K658" t="str">
        <f t="shared" ca="1" si="107"/>
        <v>Low Stock</v>
      </c>
      <c r="L658" s="2">
        <f t="shared" ca="1" si="108"/>
        <v>130</v>
      </c>
      <c r="M658" t="str">
        <f t="shared" ca="1" si="109"/>
        <v>Safe</v>
      </c>
    </row>
    <row r="659" spans="1:13" x14ac:dyDescent="0.25">
      <c r="A659" t="str">
        <f t="shared" si="100"/>
        <v>M658</v>
      </c>
      <c r="B659" t="str" cm="1">
        <f t="array" aca="1" ref="B659" ca="1">INDEX({"Paracetamol","Amoxicillin","Ibuprofen","Cetirizine","Metformin","Amlodipine","Omeprazole","Azithromycin","Losartan","Vitamin C"}, RANDBETWEEN(1,10))</f>
        <v>Cetirizine</v>
      </c>
      <c r="C659" t="str" cm="1">
        <f t="array" aca="1" ref="C659" ca="1">INDEX({"Painkiller","Antibiotic","Painkiller","Antihistamine","Diabetes","Hypertension","Antacid","Antibiotic","Hypertension","Supplement"},
MATCH(B659,{"Paracetamol","Amoxicillin","Ibuprofen","Cetirizine","Metformin","Amlodipine","Omeprazole","Azithromycin","Losartan","Vitamin C"},0))</f>
        <v>Antihistamine</v>
      </c>
      <c r="D659" t="str" cm="1">
        <f t="array" aca="1" ref="D659" ca="1">INDEX({"MedSupply Co","HealthCorp","PharmaPlus","GlobalMed"}, RANDBETWEEN(1,4))</f>
        <v>GlobalMed</v>
      </c>
      <c r="E659">
        <f t="shared" ca="1" si="101"/>
        <v>135</v>
      </c>
      <c r="F659">
        <f t="shared" ca="1" si="102"/>
        <v>50</v>
      </c>
      <c r="G659">
        <f t="shared" ca="1" si="103"/>
        <v>1.91</v>
      </c>
      <c r="H659" s="1">
        <f t="shared" ca="1" si="104"/>
        <v>46426</v>
      </c>
      <c r="I659" s="1">
        <f t="shared" ca="1" si="105"/>
        <v>45990</v>
      </c>
      <c r="J659">
        <f t="shared" ca="1" si="106"/>
        <v>257.84999999999997</v>
      </c>
      <c r="K659" t="str">
        <f t="shared" ca="1" si="107"/>
        <v>In Stock</v>
      </c>
      <c r="L659" s="2">
        <f t="shared" ca="1" si="108"/>
        <v>307</v>
      </c>
      <c r="M659" t="str">
        <f t="shared" ca="1" si="109"/>
        <v>Safe</v>
      </c>
    </row>
    <row r="660" spans="1:13" x14ac:dyDescent="0.25">
      <c r="A660" t="str">
        <f t="shared" si="100"/>
        <v>M659</v>
      </c>
      <c r="B660" t="str" cm="1">
        <f t="array" aca="1" ref="B660" ca="1">INDEX({"Paracetamol","Amoxicillin","Ibuprofen","Cetirizine","Metformin","Amlodipine","Omeprazole","Azithromycin","Losartan","Vitamin C"}, RANDBETWEEN(1,10))</f>
        <v>Omeprazole</v>
      </c>
      <c r="C660" t="str" cm="1">
        <f t="array" aca="1" ref="C660" ca="1">INDEX({"Painkiller","Antibiotic","Painkiller","Antihistamine","Diabetes","Hypertension","Antacid","Antibiotic","Hypertension","Supplement"},
MATCH(B660,{"Paracetamol","Amoxicillin","Ibuprofen","Cetirizine","Metformin","Amlodipine","Omeprazole","Azithromycin","Losartan","Vitamin C"},0))</f>
        <v>Antacid</v>
      </c>
      <c r="D660" t="str" cm="1">
        <f t="array" aca="1" ref="D660" ca="1">INDEX({"MedSupply Co","HealthCorp","PharmaPlus","GlobalMed"}, RANDBETWEEN(1,4))</f>
        <v>MedSupply Co</v>
      </c>
      <c r="E660">
        <f t="shared" ca="1" si="101"/>
        <v>145</v>
      </c>
      <c r="F660">
        <f t="shared" ca="1" si="102"/>
        <v>93</v>
      </c>
      <c r="G660">
        <f t="shared" ca="1" si="103"/>
        <v>0.55000000000000004</v>
      </c>
      <c r="H660" s="1">
        <f t="shared" ca="1" si="104"/>
        <v>46372</v>
      </c>
      <c r="I660" s="1">
        <f t="shared" ca="1" si="105"/>
        <v>46076</v>
      </c>
      <c r="J660">
        <f t="shared" ca="1" si="106"/>
        <v>79.75</v>
      </c>
      <c r="K660" t="str">
        <f t="shared" ca="1" si="107"/>
        <v>In Stock</v>
      </c>
      <c r="L660" s="2">
        <f t="shared" ca="1" si="108"/>
        <v>253</v>
      </c>
      <c r="M660" t="str">
        <f t="shared" ca="1" si="109"/>
        <v>Safe</v>
      </c>
    </row>
    <row r="661" spans="1:13" x14ac:dyDescent="0.25">
      <c r="A661" t="str">
        <f t="shared" si="100"/>
        <v>M660</v>
      </c>
      <c r="B661" t="str" cm="1">
        <f t="array" aca="1" ref="B661" ca="1">INDEX({"Paracetamol","Amoxicillin","Ibuprofen","Cetirizine","Metformin","Amlodipine","Omeprazole","Azithromycin","Losartan","Vitamin C"}, RANDBETWEEN(1,10))</f>
        <v>Cetirizine</v>
      </c>
      <c r="C661" t="str" cm="1">
        <f t="array" aca="1" ref="C661" ca="1">INDEX({"Painkiller","Antibiotic","Painkiller","Antihistamine","Diabetes","Hypertension","Antacid","Antibiotic","Hypertension","Supplement"},
MATCH(B661,{"Paracetamol","Amoxicillin","Ibuprofen","Cetirizine","Metformin","Amlodipine","Omeprazole","Azithromycin","Losartan","Vitamin C"},0))</f>
        <v>Antihistamine</v>
      </c>
      <c r="D661" t="str" cm="1">
        <f t="array" aca="1" ref="D661" ca="1">INDEX({"MedSupply Co","HealthCorp","PharmaPlus","GlobalMed"}, RANDBETWEEN(1,4))</f>
        <v>PharmaPlus</v>
      </c>
      <c r="E661">
        <f t="shared" ca="1" si="101"/>
        <v>48</v>
      </c>
      <c r="F661">
        <f t="shared" ca="1" si="102"/>
        <v>88</v>
      </c>
      <c r="G661">
        <f t="shared" ca="1" si="103"/>
        <v>0.51</v>
      </c>
      <c r="H661" s="1">
        <f t="shared" ca="1" si="104"/>
        <v>46447</v>
      </c>
      <c r="I661" s="1">
        <f t="shared" ca="1" si="105"/>
        <v>46060</v>
      </c>
      <c r="J661">
        <f t="shared" ca="1" si="106"/>
        <v>24.48</v>
      </c>
      <c r="K661" t="str">
        <f t="shared" ca="1" si="107"/>
        <v>Low Stock</v>
      </c>
      <c r="L661" s="2">
        <f t="shared" ca="1" si="108"/>
        <v>328</v>
      </c>
      <c r="M661" t="str">
        <f t="shared" ca="1" si="109"/>
        <v>Safe</v>
      </c>
    </row>
    <row r="662" spans="1:13" x14ac:dyDescent="0.25">
      <c r="A662" t="str">
        <f t="shared" si="100"/>
        <v>M661</v>
      </c>
      <c r="B662" t="str" cm="1">
        <f t="array" aca="1" ref="B662" ca="1">INDEX({"Paracetamol","Amoxicillin","Ibuprofen","Cetirizine","Metformin","Amlodipine","Omeprazole","Azithromycin","Losartan","Vitamin C"}, RANDBETWEEN(1,10))</f>
        <v>Amlodipine</v>
      </c>
      <c r="C662" t="str" cm="1">
        <f t="array" aca="1" ref="C662" ca="1">INDEX({"Painkiller","Antibiotic","Painkiller","Antihistamine","Diabetes","Hypertension","Antacid","Antibiotic","Hypertension","Supplement"},
MATCH(B662,{"Paracetamol","Amoxicillin","Ibuprofen","Cetirizine","Metformin","Amlodipine","Omeprazole","Azithromycin","Losartan","Vitamin C"},0))</f>
        <v>Hypertension</v>
      </c>
      <c r="D662" t="str" cm="1">
        <f t="array" aca="1" ref="D662" ca="1">INDEX({"MedSupply Co","HealthCorp","PharmaPlus","GlobalMed"}, RANDBETWEEN(1,4))</f>
        <v>PharmaPlus</v>
      </c>
      <c r="E662">
        <f t="shared" ca="1" si="101"/>
        <v>90</v>
      </c>
      <c r="F662">
        <f t="shared" ca="1" si="102"/>
        <v>26</v>
      </c>
      <c r="G662">
        <f t="shared" ca="1" si="103"/>
        <v>0.68</v>
      </c>
      <c r="H662" s="1">
        <f t="shared" ca="1" si="104"/>
        <v>46220</v>
      </c>
      <c r="I662" s="1">
        <f t="shared" ca="1" si="105"/>
        <v>46005</v>
      </c>
      <c r="J662">
        <f t="shared" ca="1" si="106"/>
        <v>61.2</v>
      </c>
      <c r="K662" t="str">
        <f t="shared" ca="1" si="107"/>
        <v>In Stock</v>
      </c>
      <c r="L662" s="2">
        <f t="shared" ca="1" si="108"/>
        <v>101</v>
      </c>
      <c r="M662" t="str">
        <f t="shared" ca="1" si="109"/>
        <v>Safe</v>
      </c>
    </row>
    <row r="663" spans="1:13" x14ac:dyDescent="0.25">
      <c r="A663" t="str">
        <f t="shared" si="100"/>
        <v>M662</v>
      </c>
      <c r="B663" t="str" cm="1">
        <f t="array" aca="1" ref="B663" ca="1">INDEX({"Paracetamol","Amoxicillin","Ibuprofen","Cetirizine","Metformin","Amlodipine","Omeprazole","Azithromycin","Losartan","Vitamin C"}, RANDBETWEEN(1,10))</f>
        <v>Cetirizine</v>
      </c>
      <c r="C663" t="str" cm="1">
        <f t="array" aca="1" ref="C663" ca="1">INDEX({"Painkiller","Antibiotic","Painkiller","Antihistamine","Diabetes","Hypertension","Antacid","Antibiotic","Hypertension","Supplement"},
MATCH(B663,{"Paracetamol","Amoxicillin","Ibuprofen","Cetirizine","Metformin","Amlodipine","Omeprazole","Azithromycin","Losartan","Vitamin C"},0))</f>
        <v>Antihistamine</v>
      </c>
      <c r="D663" t="str" cm="1">
        <f t="array" aca="1" ref="D663" ca="1">INDEX({"MedSupply Co","HealthCorp","PharmaPlus","GlobalMed"}, RANDBETWEEN(1,4))</f>
        <v>HealthCorp</v>
      </c>
      <c r="E663">
        <f t="shared" ca="1" si="101"/>
        <v>136</v>
      </c>
      <c r="F663">
        <f t="shared" ca="1" si="102"/>
        <v>37</v>
      </c>
      <c r="G663">
        <f t="shared" ca="1" si="103"/>
        <v>1.98</v>
      </c>
      <c r="H663" s="1">
        <f t="shared" ca="1" si="104"/>
        <v>46465</v>
      </c>
      <c r="I663" s="1">
        <f t="shared" ca="1" si="105"/>
        <v>46050</v>
      </c>
      <c r="J663">
        <f t="shared" ca="1" si="106"/>
        <v>269.27999999999997</v>
      </c>
      <c r="K663" t="str">
        <f t="shared" ca="1" si="107"/>
        <v>In Stock</v>
      </c>
      <c r="L663" s="2">
        <f t="shared" ca="1" si="108"/>
        <v>346</v>
      </c>
      <c r="M663" t="str">
        <f t="shared" ca="1" si="109"/>
        <v>Safe</v>
      </c>
    </row>
    <row r="664" spans="1:13" x14ac:dyDescent="0.25">
      <c r="A664" t="str">
        <f t="shared" si="100"/>
        <v>M663</v>
      </c>
      <c r="B664" t="str" cm="1">
        <f t="array" aca="1" ref="B664" ca="1">INDEX({"Paracetamol","Amoxicillin","Ibuprofen","Cetirizine","Metformin","Amlodipine","Omeprazole","Azithromycin","Losartan","Vitamin C"}, RANDBETWEEN(1,10))</f>
        <v>Omeprazole</v>
      </c>
      <c r="C664" t="str" cm="1">
        <f t="array" aca="1" ref="C664" ca="1">INDEX({"Painkiller","Antibiotic","Painkiller","Antihistamine","Diabetes","Hypertension","Antacid","Antibiotic","Hypertension","Supplement"},
MATCH(B664,{"Paracetamol","Amoxicillin","Ibuprofen","Cetirizine","Metformin","Amlodipine","Omeprazole","Azithromycin","Losartan","Vitamin C"},0))</f>
        <v>Antacid</v>
      </c>
      <c r="D664" t="str" cm="1">
        <f t="array" aca="1" ref="D664" ca="1">INDEX({"MedSupply Co","HealthCorp","PharmaPlus","GlobalMed"}, RANDBETWEEN(1,4))</f>
        <v>HealthCorp</v>
      </c>
      <c r="E664">
        <f t="shared" ca="1" si="101"/>
        <v>94</v>
      </c>
      <c r="F664">
        <f t="shared" ca="1" si="102"/>
        <v>25</v>
      </c>
      <c r="G664">
        <f t="shared" ca="1" si="103"/>
        <v>0.88</v>
      </c>
      <c r="H664" s="1">
        <f t="shared" ca="1" si="104"/>
        <v>46304</v>
      </c>
      <c r="I664" s="1">
        <f t="shared" ca="1" si="105"/>
        <v>46004</v>
      </c>
      <c r="J664">
        <f t="shared" ca="1" si="106"/>
        <v>82.72</v>
      </c>
      <c r="K664" t="str">
        <f t="shared" ca="1" si="107"/>
        <v>In Stock</v>
      </c>
      <c r="L664" s="2">
        <f t="shared" ca="1" si="108"/>
        <v>185</v>
      </c>
      <c r="M664" t="str">
        <f t="shared" ca="1" si="109"/>
        <v>Safe</v>
      </c>
    </row>
    <row r="665" spans="1:13" x14ac:dyDescent="0.25">
      <c r="A665" t="str">
        <f t="shared" si="100"/>
        <v>M664</v>
      </c>
      <c r="B665" t="str" cm="1">
        <f t="array" aca="1" ref="B665" ca="1">INDEX({"Paracetamol","Amoxicillin","Ibuprofen","Cetirizine","Metformin","Amlodipine","Omeprazole","Azithromycin","Losartan","Vitamin C"}, RANDBETWEEN(1,10))</f>
        <v>Paracetamol</v>
      </c>
      <c r="C665" t="str" cm="1">
        <f t="array" aca="1" ref="C665" ca="1">INDEX({"Painkiller","Antibiotic","Painkiller","Antihistamine","Diabetes","Hypertension","Antacid","Antibiotic","Hypertension","Supplement"},
MATCH(B665,{"Paracetamol","Amoxicillin","Ibuprofen","Cetirizine","Metformin","Amlodipine","Omeprazole","Azithromycin","Losartan","Vitamin C"},0))</f>
        <v>Painkiller</v>
      </c>
      <c r="D665" t="str" cm="1">
        <f t="array" aca="1" ref="D665" ca="1">INDEX({"MedSupply Co","HealthCorp","PharmaPlus","GlobalMed"}, RANDBETWEEN(1,4))</f>
        <v>HealthCorp</v>
      </c>
      <c r="E665">
        <f t="shared" ca="1" si="101"/>
        <v>4</v>
      </c>
      <c r="F665">
        <f t="shared" ca="1" si="102"/>
        <v>58</v>
      </c>
      <c r="G665">
        <f t="shared" ca="1" si="103"/>
        <v>1.17</v>
      </c>
      <c r="H665" s="1">
        <f t="shared" ca="1" si="104"/>
        <v>46315</v>
      </c>
      <c r="I665" s="1">
        <f t="shared" ca="1" si="105"/>
        <v>46002</v>
      </c>
      <c r="J665">
        <f t="shared" ca="1" si="106"/>
        <v>4.68</v>
      </c>
      <c r="K665" t="str">
        <f t="shared" ca="1" si="107"/>
        <v>Low Stock</v>
      </c>
      <c r="L665" s="2">
        <f t="shared" ca="1" si="108"/>
        <v>196</v>
      </c>
      <c r="M665" t="str">
        <f t="shared" ca="1" si="109"/>
        <v>Safe</v>
      </c>
    </row>
    <row r="666" spans="1:13" x14ac:dyDescent="0.25">
      <c r="A666" t="str">
        <f t="shared" si="100"/>
        <v>M665</v>
      </c>
      <c r="B666" t="str" cm="1">
        <f t="array" aca="1" ref="B666" ca="1">INDEX({"Paracetamol","Amoxicillin","Ibuprofen","Cetirizine","Metformin","Amlodipine","Omeprazole","Azithromycin","Losartan","Vitamin C"}, RANDBETWEEN(1,10))</f>
        <v>Amlodipine</v>
      </c>
      <c r="C666" t="str" cm="1">
        <f t="array" aca="1" ref="C666" ca="1">INDEX({"Painkiller","Antibiotic","Painkiller","Antihistamine","Diabetes","Hypertension","Antacid","Antibiotic","Hypertension","Supplement"},
MATCH(B666,{"Paracetamol","Amoxicillin","Ibuprofen","Cetirizine","Metformin","Amlodipine","Omeprazole","Azithromycin","Losartan","Vitamin C"},0))</f>
        <v>Hypertension</v>
      </c>
      <c r="D666" t="str" cm="1">
        <f t="array" aca="1" ref="D666" ca="1">INDEX({"MedSupply Co","HealthCorp","PharmaPlus","GlobalMed"}, RANDBETWEEN(1,4))</f>
        <v>MedSupply Co</v>
      </c>
      <c r="E666">
        <f t="shared" ca="1" si="101"/>
        <v>153</v>
      </c>
      <c r="F666">
        <f t="shared" ca="1" si="102"/>
        <v>32</v>
      </c>
      <c r="G666">
        <f t="shared" ca="1" si="103"/>
        <v>0.83</v>
      </c>
      <c r="H666" s="1">
        <f t="shared" ca="1" si="104"/>
        <v>46185</v>
      </c>
      <c r="I666" s="1">
        <f t="shared" ca="1" si="105"/>
        <v>46099</v>
      </c>
      <c r="J666">
        <f t="shared" ca="1" si="106"/>
        <v>126.99</v>
      </c>
      <c r="K666" t="str">
        <f t="shared" ca="1" si="107"/>
        <v>In Stock</v>
      </c>
      <c r="L666" s="2">
        <f t="shared" ca="1" si="108"/>
        <v>66</v>
      </c>
      <c r="M666" t="str">
        <f t="shared" ca="1" si="109"/>
        <v>Safe</v>
      </c>
    </row>
    <row r="667" spans="1:13" x14ac:dyDescent="0.25">
      <c r="A667" t="str">
        <f t="shared" si="100"/>
        <v>M666</v>
      </c>
      <c r="B667" t="str" cm="1">
        <f t="array" aca="1" ref="B667" ca="1">INDEX({"Paracetamol","Amoxicillin","Ibuprofen","Cetirizine","Metformin","Amlodipine","Omeprazole","Azithromycin","Losartan","Vitamin C"}, RANDBETWEEN(1,10))</f>
        <v>Cetirizine</v>
      </c>
      <c r="C667" t="str" cm="1">
        <f t="array" aca="1" ref="C667" ca="1">INDEX({"Painkiller","Antibiotic","Painkiller","Antihistamine","Diabetes","Hypertension","Antacid","Antibiotic","Hypertension","Supplement"},
MATCH(B667,{"Paracetamol","Amoxicillin","Ibuprofen","Cetirizine","Metformin","Amlodipine","Omeprazole","Azithromycin","Losartan","Vitamin C"},0))</f>
        <v>Antihistamine</v>
      </c>
      <c r="D667" t="str" cm="1">
        <f t="array" aca="1" ref="D667" ca="1">INDEX({"MedSupply Co","HealthCorp","PharmaPlus","GlobalMed"}, RANDBETWEEN(1,4))</f>
        <v>PharmaPlus</v>
      </c>
      <c r="E667">
        <f t="shared" ca="1" si="101"/>
        <v>164</v>
      </c>
      <c r="F667">
        <f t="shared" ca="1" si="102"/>
        <v>60</v>
      </c>
      <c r="G667">
        <f t="shared" ca="1" si="103"/>
        <v>1.17</v>
      </c>
      <c r="H667" s="1">
        <f t="shared" ca="1" si="104"/>
        <v>46310</v>
      </c>
      <c r="I667" s="1">
        <f t="shared" ca="1" si="105"/>
        <v>46025</v>
      </c>
      <c r="J667">
        <f t="shared" ca="1" si="106"/>
        <v>191.88</v>
      </c>
      <c r="K667" t="str">
        <f t="shared" ca="1" si="107"/>
        <v>In Stock</v>
      </c>
      <c r="L667" s="2">
        <f t="shared" ca="1" si="108"/>
        <v>191</v>
      </c>
      <c r="M667" t="str">
        <f t="shared" ca="1" si="109"/>
        <v>Safe</v>
      </c>
    </row>
    <row r="668" spans="1:13" x14ac:dyDescent="0.25">
      <c r="A668" t="str">
        <f t="shared" si="100"/>
        <v>M667</v>
      </c>
      <c r="B668" t="str" cm="1">
        <f t="array" aca="1" ref="B668" ca="1">INDEX({"Paracetamol","Amoxicillin","Ibuprofen","Cetirizine","Metformin","Amlodipine","Omeprazole","Azithromycin","Losartan","Vitamin C"}, RANDBETWEEN(1,10))</f>
        <v>Losartan</v>
      </c>
      <c r="C668" t="str" cm="1">
        <f t="array" aca="1" ref="C668" ca="1">INDEX({"Painkiller","Antibiotic","Painkiller","Antihistamine","Diabetes","Hypertension","Antacid","Antibiotic","Hypertension","Supplement"},
MATCH(B668,{"Paracetamol","Amoxicillin","Ibuprofen","Cetirizine","Metformin","Amlodipine","Omeprazole","Azithromycin","Losartan","Vitamin C"},0))</f>
        <v>Hypertension</v>
      </c>
      <c r="D668" t="str" cm="1">
        <f t="array" aca="1" ref="D668" ca="1">INDEX({"MedSupply Co","HealthCorp","PharmaPlus","GlobalMed"}, RANDBETWEEN(1,4))</f>
        <v>MedSupply Co</v>
      </c>
      <c r="E668">
        <f t="shared" ca="1" si="101"/>
        <v>51</v>
      </c>
      <c r="F668">
        <f t="shared" ca="1" si="102"/>
        <v>41</v>
      </c>
      <c r="G668">
        <f t="shared" ca="1" si="103"/>
        <v>1.4</v>
      </c>
      <c r="H668" s="1">
        <f t="shared" ca="1" si="104"/>
        <v>46310</v>
      </c>
      <c r="I668" s="1">
        <f t="shared" ca="1" si="105"/>
        <v>46109</v>
      </c>
      <c r="J668">
        <f t="shared" ca="1" si="106"/>
        <v>71.399999999999991</v>
      </c>
      <c r="K668" t="str">
        <f t="shared" ca="1" si="107"/>
        <v>In Stock</v>
      </c>
      <c r="L668" s="2">
        <f t="shared" ca="1" si="108"/>
        <v>191</v>
      </c>
      <c r="M668" t="str">
        <f t="shared" ca="1" si="109"/>
        <v>Safe</v>
      </c>
    </row>
    <row r="669" spans="1:13" x14ac:dyDescent="0.25">
      <c r="A669" t="str">
        <f t="shared" si="100"/>
        <v>M668</v>
      </c>
      <c r="B669" t="str" cm="1">
        <f t="array" aca="1" ref="B669" ca="1">INDEX({"Paracetamol","Amoxicillin","Ibuprofen","Cetirizine","Metformin","Amlodipine","Omeprazole","Azithromycin","Losartan","Vitamin C"}, RANDBETWEEN(1,10))</f>
        <v>Vitamin C</v>
      </c>
      <c r="C669" t="str" cm="1">
        <f t="array" aca="1" ref="C669" ca="1">INDEX({"Painkiller","Antibiotic","Painkiller","Antihistamine","Diabetes","Hypertension","Antacid","Antibiotic","Hypertension","Supplement"},
MATCH(B669,{"Paracetamol","Amoxicillin","Ibuprofen","Cetirizine","Metformin","Amlodipine","Omeprazole","Azithromycin","Losartan","Vitamin C"},0))</f>
        <v>Supplement</v>
      </c>
      <c r="D669" t="str" cm="1">
        <f t="array" aca="1" ref="D669" ca="1">INDEX({"MedSupply Co","HealthCorp","PharmaPlus","GlobalMed"}, RANDBETWEEN(1,4))</f>
        <v>HealthCorp</v>
      </c>
      <c r="E669">
        <f t="shared" ca="1" si="101"/>
        <v>14</v>
      </c>
      <c r="F669">
        <f t="shared" ca="1" si="102"/>
        <v>27</v>
      </c>
      <c r="G669">
        <f t="shared" ca="1" si="103"/>
        <v>1.1599999999999999</v>
      </c>
      <c r="H669" s="1">
        <f t="shared" ca="1" si="104"/>
        <v>46211</v>
      </c>
      <c r="I669" s="1">
        <f t="shared" ca="1" si="105"/>
        <v>46010</v>
      </c>
      <c r="J669">
        <f t="shared" ca="1" si="106"/>
        <v>16.239999999999998</v>
      </c>
      <c r="K669" t="str">
        <f t="shared" ca="1" si="107"/>
        <v>Low Stock</v>
      </c>
      <c r="L669" s="2">
        <f t="shared" ca="1" si="108"/>
        <v>92</v>
      </c>
      <c r="M669" t="str">
        <f t="shared" ca="1" si="109"/>
        <v>Safe</v>
      </c>
    </row>
    <row r="670" spans="1:13" x14ac:dyDescent="0.25">
      <c r="A670" t="str">
        <f t="shared" si="100"/>
        <v>M669</v>
      </c>
      <c r="B670" t="str" cm="1">
        <f t="array" aca="1" ref="B670" ca="1">INDEX({"Paracetamol","Amoxicillin","Ibuprofen","Cetirizine","Metformin","Amlodipine","Omeprazole","Azithromycin","Losartan","Vitamin C"}, RANDBETWEEN(1,10))</f>
        <v>Omeprazole</v>
      </c>
      <c r="C670" t="str" cm="1">
        <f t="array" aca="1" ref="C670" ca="1">INDEX({"Painkiller","Antibiotic","Painkiller","Antihistamine","Diabetes","Hypertension","Antacid","Antibiotic","Hypertension","Supplement"},
MATCH(B670,{"Paracetamol","Amoxicillin","Ibuprofen","Cetirizine","Metformin","Amlodipine","Omeprazole","Azithromycin","Losartan","Vitamin C"},0))</f>
        <v>Antacid</v>
      </c>
      <c r="D670" t="str" cm="1">
        <f t="array" aca="1" ref="D670" ca="1">INDEX({"MedSupply Co","HealthCorp","PharmaPlus","GlobalMed"}, RANDBETWEEN(1,4))</f>
        <v>MedSupply Co</v>
      </c>
      <c r="E670">
        <f t="shared" ca="1" si="101"/>
        <v>183</v>
      </c>
      <c r="F670">
        <f t="shared" ca="1" si="102"/>
        <v>96</v>
      </c>
      <c r="G670">
        <f t="shared" ca="1" si="103"/>
        <v>1.22</v>
      </c>
      <c r="H670" s="1">
        <f t="shared" ca="1" si="104"/>
        <v>46282</v>
      </c>
      <c r="I670" s="1">
        <f t="shared" ca="1" si="105"/>
        <v>46061</v>
      </c>
      <c r="J670">
        <f t="shared" ca="1" si="106"/>
        <v>223.26</v>
      </c>
      <c r="K670" t="str">
        <f t="shared" ca="1" si="107"/>
        <v>In Stock</v>
      </c>
      <c r="L670" s="2">
        <f t="shared" ca="1" si="108"/>
        <v>163</v>
      </c>
      <c r="M670" t="str">
        <f t="shared" ca="1" si="109"/>
        <v>Safe</v>
      </c>
    </row>
    <row r="671" spans="1:13" x14ac:dyDescent="0.25">
      <c r="A671" t="str">
        <f t="shared" si="100"/>
        <v>M670</v>
      </c>
      <c r="B671" t="str" cm="1">
        <f t="array" aca="1" ref="B671" ca="1">INDEX({"Paracetamol","Amoxicillin","Ibuprofen","Cetirizine","Metformin","Amlodipine","Omeprazole","Azithromycin","Losartan","Vitamin C"}, RANDBETWEEN(1,10))</f>
        <v>Amoxicillin</v>
      </c>
      <c r="C671" t="str" cm="1">
        <f t="array" aca="1" ref="C671" ca="1">INDEX({"Painkiller","Antibiotic","Painkiller","Antihistamine","Diabetes","Hypertension","Antacid","Antibiotic","Hypertension","Supplement"},
MATCH(B671,{"Paracetamol","Amoxicillin","Ibuprofen","Cetirizine","Metformin","Amlodipine","Omeprazole","Azithromycin","Losartan","Vitamin C"},0))</f>
        <v>Antibiotic</v>
      </c>
      <c r="D671" t="str" cm="1">
        <f t="array" aca="1" ref="D671" ca="1">INDEX({"MedSupply Co","HealthCorp","PharmaPlus","GlobalMed"}, RANDBETWEEN(1,4))</f>
        <v>PharmaPlus</v>
      </c>
      <c r="E671">
        <f t="shared" ca="1" si="101"/>
        <v>146</v>
      </c>
      <c r="F671">
        <f t="shared" ca="1" si="102"/>
        <v>84</v>
      </c>
      <c r="G671">
        <f t="shared" ca="1" si="103"/>
        <v>1.63</v>
      </c>
      <c r="H671" s="1">
        <f t="shared" ca="1" si="104"/>
        <v>46371</v>
      </c>
      <c r="I671" s="1">
        <f t="shared" ca="1" si="105"/>
        <v>45953</v>
      </c>
      <c r="J671">
        <f t="shared" ca="1" si="106"/>
        <v>237.98</v>
      </c>
      <c r="K671" t="str">
        <f t="shared" ca="1" si="107"/>
        <v>In Stock</v>
      </c>
      <c r="L671" s="2">
        <f t="shared" ca="1" si="108"/>
        <v>252</v>
      </c>
      <c r="M671" t="str">
        <f t="shared" ca="1" si="109"/>
        <v>Safe</v>
      </c>
    </row>
    <row r="672" spans="1:13" x14ac:dyDescent="0.25">
      <c r="A672" t="str">
        <f t="shared" si="100"/>
        <v>M671</v>
      </c>
      <c r="B672" t="str" cm="1">
        <f t="array" aca="1" ref="B672" ca="1">INDEX({"Paracetamol","Amoxicillin","Ibuprofen","Cetirizine","Metformin","Amlodipine","Omeprazole","Azithromycin","Losartan","Vitamin C"}, RANDBETWEEN(1,10))</f>
        <v>Vitamin C</v>
      </c>
      <c r="C672" t="str" cm="1">
        <f t="array" aca="1" ref="C672" ca="1">INDEX({"Painkiller","Antibiotic","Painkiller","Antihistamine","Diabetes","Hypertension","Antacid","Antibiotic","Hypertension","Supplement"},
MATCH(B672,{"Paracetamol","Amoxicillin","Ibuprofen","Cetirizine","Metformin","Amlodipine","Omeprazole","Azithromycin","Losartan","Vitamin C"},0))</f>
        <v>Supplement</v>
      </c>
      <c r="D672" t="str" cm="1">
        <f t="array" aca="1" ref="D672" ca="1">INDEX({"MedSupply Co","HealthCorp","PharmaPlus","GlobalMed"}, RANDBETWEEN(1,4))</f>
        <v>MedSupply Co</v>
      </c>
      <c r="E672">
        <f t="shared" ca="1" si="101"/>
        <v>128</v>
      </c>
      <c r="F672">
        <f t="shared" ca="1" si="102"/>
        <v>90</v>
      </c>
      <c r="G672">
        <f t="shared" ca="1" si="103"/>
        <v>1.74</v>
      </c>
      <c r="H672" s="1">
        <f t="shared" ca="1" si="104"/>
        <v>46393</v>
      </c>
      <c r="I672" s="1">
        <f t="shared" ca="1" si="105"/>
        <v>45952</v>
      </c>
      <c r="J672">
        <f t="shared" ca="1" si="106"/>
        <v>222.72</v>
      </c>
      <c r="K672" t="str">
        <f t="shared" ca="1" si="107"/>
        <v>In Stock</v>
      </c>
      <c r="L672" s="2">
        <f t="shared" ca="1" si="108"/>
        <v>274</v>
      </c>
      <c r="M672" t="str">
        <f t="shared" ca="1" si="109"/>
        <v>Safe</v>
      </c>
    </row>
    <row r="673" spans="1:13" x14ac:dyDescent="0.25">
      <c r="A673" t="str">
        <f t="shared" si="100"/>
        <v>M672</v>
      </c>
      <c r="B673" t="str" cm="1">
        <f t="array" aca="1" ref="B673" ca="1">INDEX({"Paracetamol","Amoxicillin","Ibuprofen","Cetirizine","Metformin","Amlodipine","Omeprazole","Azithromycin","Losartan","Vitamin C"}, RANDBETWEEN(1,10))</f>
        <v>Paracetamol</v>
      </c>
      <c r="C673" t="str" cm="1">
        <f t="array" aca="1" ref="C673" ca="1">INDEX({"Painkiller","Antibiotic","Painkiller","Antihistamine","Diabetes","Hypertension","Antacid","Antibiotic","Hypertension","Supplement"},
MATCH(B673,{"Paracetamol","Amoxicillin","Ibuprofen","Cetirizine","Metformin","Amlodipine","Omeprazole","Azithromycin","Losartan","Vitamin C"},0))</f>
        <v>Painkiller</v>
      </c>
      <c r="D673" t="str" cm="1">
        <f t="array" aca="1" ref="D673" ca="1">INDEX({"MedSupply Co","HealthCorp","PharmaPlus","GlobalMed"}, RANDBETWEEN(1,4))</f>
        <v>GlobalMed</v>
      </c>
      <c r="E673">
        <f t="shared" ca="1" si="101"/>
        <v>19</v>
      </c>
      <c r="F673">
        <f t="shared" ca="1" si="102"/>
        <v>97</v>
      </c>
      <c r="G673">
        <f t="shared" ca="1" si="103"/>
        <v>0.62</v>
      </c>
      <c r="H673" s="1">
        <f t="shared" ca="1" si="104"/>
        <v>46393</v>
      </c>
      <c r="I673" s="1">
        <f t="shared" ca="1" si="105"/>
        <v>46085</v>
      </c>
      <c r="J673">
        <f t="shared" ca="1" si="106"/>
        <v>11.78</v>
      </c>
      <c r="K673" t="str">
        <f t="shared" ca="1" si="107"/>
        <v>Low Stock</v>
      </c>
      <c r="L673" s="2">
        <f t="shared" ca="1" si="108"/>
        <v>274</v>
      </c>
      <c r="M673" t="str">
        <f t="shared" ca="1" si="109"/>
        <v>Safe</v>
      </c>
    </row>
    <row r="674" spans="1:13" x14ac:dyDescent="0.25">
      <c r="A674" t="str">
        <f t="shared" si="100"/>
        <v>M673</v>
      </c>
      <c r="B674" t="str" cm="1">
        <f t="array" aca="1" ref="B674" ca="1">INDEX({"Paracetamol","Amoxicillin","Ibuprofen","Cetirizine","Metformin","Amlodipine","Omeprazole","Azithromycin","Losartan","Vitamin C"}, RANDBETWEEN(1,10))</f>
        <v>Vitamin C</v>
      </c>
      <c r="C674" t="str" cm="1">
        <f t="array" aca="1" ref="C674" ca="1">INDEX({"Painkiller","Antibiotic","Painkiller","Antihistamine","Diabetes","Hypertension","Antacid","Antibiotic","Hypertension","Supplement"},
MATCH(B674,{"Paracetamol","Amoxicillin","Ibuprofen","Cetirizine","Metformin","Amlodipine","Omeprazole","Azithromycin","Losartan","Vitamin C"},0))</f>
        <v>Supplement</v>
      </c>
      <c r="D674" t="str" cm="1">
        <f t="array" aca="1" ref="D674" ca="1">INDEX({"MedSupply Co","HealthCorp","PharmaPlus","GlobalMed"}, RANDBETWEEN(1,4))</f>
        <v>MedSupply Co</v>
      </c>
      <c r="E674">
        <f t="shared" ca="1" si="101"/>
        <v>53</v>
      </c>
      <c r="F674">
        <f t="shared" ca="1" si="102"/>
        <v>92</v>
      </c>
      <c r="G674">
        <f t="shared" ca="1" si="103"/>
        <v>1.31</v>
      </c>
      <c r="H674" s="1">
        <f t="shared" ca="1" si="104"/>
        <v>46435</v>
      </c>
      <c r="I674" s="1">
        <f t="shared" ca="1" si="105"/>
        <v>46104</v>
      </c>
      <c r="J674">
        <f t="shared" ca="1" si="106"/>
        <v>69.430000000000007</v>
      </c>
      <c r="K674" t="str">
        <f t="shared" ca="1" si="107"/>
        <v>Low Stock</v>
      </c>
      <c r="L674" s="2">
        <f t="shared" ca="1" si="108"/>
        <v>316</v>
      </c>
      <c r="M674" t="str">
        <f t="shared" ca="1" si="109"/>
        <v>Safe</v>
      </c>
    </row>
    <row r="675" spans="1:13" x14ac:dyDescent="0.25">
      <c r="A675" t="str">
        <f t="shared" si="100"/>
        <v>M674</v>
      </c>
      <c r="B675" t="str" cm="1">
        <f t="array" aca="1" ref="B675" ca="1">INDEX({"Paracetamol","Amoxicillin","Ibuprofen","Cetirizine","Metformin","Amlodipine","Omeprazole","Azithromycin","Losartan","Vitamin C"}, RANDBETWEEN(1,10))</f>
        <v>Ibuprofen</v>
      </c>
      <c r="C675" t="str" cm="1">
        <f t="array" aca="1" ref="C675" ca="1">INDEX({"Painkiller","Antibiotic","Painkiller","Antihistamine","Diabetes","Hypertension","Antacid","Antibiotic","Hypertension","Supplement"},
MATCH(B675,{"Paracetamol","Amoxicillin","Ibuprofen","Cetirizine","Metformin","Amlodipine","Omeprazole","Azithromycin","Losartan","Vitamin C"},0))</f>
        <v>Painkiller</v>
      </c>
      <c r="D675" t="str" cm="1">
        <f t="array" aca="1" ref="D675" ca="1">INDEX({"MedSupply Co","HealthCorp","PharmaPlus","GlobalMed"}, RANDBETWEEN(1,4))</f>
        <v>HealthCorp</v>
      </c>
      <c r="E675">
        <f t="shared" ca="1" si="101"/>
        <v>37</v>
      </c>
      <c r="F675">
        <f t="shared" ca="1" si="102"/>
        <v>27</v>
      </c>
      <c r="G675">
        <f t="shared" ca="1" si="103"/>
        <v>0.77</v>
      </c>
      <c r="H675" s="1">
        <f t="shared" ca="1" si="104"/>
        <v>46407</v>
      </c>
      <c r="I675" s="1">
        <f t="shared" ca="1" si="105"/>
        <v>46014</v>
      </c>
      <c r="J675">
        <f t="shared" ca="1" si="106"/>
        <v>28.490000000000002</v>
      </c>
      <c r="K675" t="str">
        <f t="shared" ca="1" si="107"/>
        <v>In Stock</v>
      </c>
      <c r="L675" s="2">
        <f t="shared" ca="1" si="108"/>
        <v>288</v>
      </c>
      <c r="M675" t="str">
        <f t="shared" ca="1" si="109"/>
        <v>Safe</v>
      </c>
    </row>
    <row r="676" spans="1:13" x14ac:dyDescent="0.25">
      <c r="A676" t="str">
        <f t="shared" si="100"/>
        <v>M675</v>
      </c>
      <c r="B676" t="str" cm="1">
        <f t="array" aca="1" ref="B676" ca="1">INDEX({"Paracetamol","Amoxicillin","Ibuprofen","Cetirizine","Metformin","Amlodipine","Omeprazole","Azithromycin","Losartan","Vitamin C"}, RANDBETWEEN(1,10))</f>
        <v>Ibuprofen</v>
      </c>
      <c r="C676" t="str" cm="1">
        <f t="array" aca="1" ref="C676" ca="1">INDEX({"Painkiller","Antibiotic","Painkiller","Antihistamine","Diabetes","Hypertension","Antacid","Antibiotic","Hypertension","Supplement"},
MATCH(B676,{"Paracetamol","Amoxicillin","Ibuprofen","Cetirizine","Metformin","Amlodipine","Omeprazole","Azithromycin","Losartan","Vitamin C"},0))</f>
        <v>Painkiller</v>
      </c>
      <c r="D676" t="str" cm="1">
        <f t="array" aca="1" ref="D676" ca="1">INDEX({"MedSupply Co","HealthCorp","PharmaPlus","GlobalMed"}, RANDBETWEEN(1,4))</f>
        <v>HealthCorp</v>
      </c>
      <c r="E676">
        <f t="shared" ca="1" si="101"/>
        <v>29</v>
      </c>
      <c r="F676">
        <f t="shared" ca="1" si="102"/>
        <v>55</v>
      </c>
      <c r="G676">
        <f t="shared" ca="1" si="103"/>
        <v>0.98</v>
      </c>
      <c r="H676" s="1">
        <f t="shared" ca="1" si="104"/>
        <v>46395</v>
      </c>
      <c r="I676" s="1">
        <f t="shared" ca="1" si="105"/>
        <v>46009</v>
      </c>
      <c r="J676">
        <f t="shared" ca="1" si="106"/>
        <v>28.419999999999998</v>
      </c>
      <c r="K676" t="str">
        <f t="shared" ca="1" si="107"/>
        <v>Low Stock</v>
      </c>
      <c r="L676" s="2">
        <f t="shared" ca="1" si="108"/>
        <v>276</v>
      </c>
      <c r="M676" t="str">
        <f t="shared" ca="1" si="109"/>
        <v>Safe</v>
      </c>
    </row>
    <row r="677" spans="1:13" x14ac:dyDescent="0.25">
      <c r="A677" t="str">
        <f t="shared" si="100"/>
        <v>M676</v>
      </c>
      <c r="B677" t="str" cm="1">
        <f t="array" aca="1" ref="B677" ca="1">INDEX({"Paracetamol","Amoxicillin","Ibuprofen","Cetirizine","Metformin","Amlodipine","Omeprazole","Azithromycin","Losartan","Vitamin C"}, RANDBETWEEN(1,10))</f>
        <v>Azithromycin</v>
      </c>
      <c r="C677" t="str" cm="1">
        <f t="array" aca="1" ref="C677" ca="1">INDEX({"Painkiller","Antibiotic","Painkiller","Antihistamine","Diabetes","Hypertension","Antacid","Antibiotic","Hypertension","Supplement"},
MATCH(B677,{"Paracetamol","Amoxicillin","Ibuprofen","Cetirizine","Metformin","Amlodipine","Omeprazole","Azithromycin","Losartan","Vitamin C"},0))</f>
        <v>Antibiotic</v>
      </c>
      <c r="D677" t="str" cm="1">
        <f t="array" aca="1" ref="D677" ca="1">INDEX({"MedSupply Co","HealthCorp","PharmaPlus","GlobalMed"}, RANDBETWEEN(1,4))</f>
        <v>GlobalMed</v>
      </c>
      <c r="E677">
        <f t="shared" ca="1" si="101"/>
        <v>160</v>
      </c>
      <c r="F677">
        <f t="shared" ca="1" si="102"/>
        <v>94</v>
      </c>
      <c r="G677">
        <f t="shared" ca="1" si="103"/>
        <v>1.07</v>
      </c>
      <c r="H677" s="1">
        <f t="shared" ca="1" si="104"/>
        <v>46322</v>
      </c>
      <c r="I677" s="1">
        <f t="shared" ca="1" si="105"/>
        <v>46044</v>
      </c>
      <c r="J677">
        <f t="shared" ca="1" si="106"/>
        <v>171.20000000000002</v>
      </c>
      <c r="K677" t="str">
        <f t="shared" ca="1" si="107"/>
        <v>In Stock</v>
      </c>
      <c r="L677" s="2">
        <f t="shared" ca="1" si="108"/>
        <v>203</v>
      </c>
      <c r="M677" t="str">
        <f t="shared" ca="1" si="109"/>
        <v>Safe</v>
      </c>
    </row>
    <row r="678" spans="1:13" x14ac:dyDescent="0.25">
      <c r="A678" t="str">
        <f t="shared" si="100"/>
        <v>M677</v>
      </c>
      <c r="B678" t="str" cm="1">
        <f t="array" aca="1" ref="B678" ca="1">INDEX({"Paracetamol","Amoxicillin","Ibuprofen","Cetirizine","Metformin","Amlodipine","Omeprazole","Azithromycin","Losartan","Vitamin C"}, RANDBETWEEN(1,10))</f>
        <v>Ibuprofen</v>
      </c>
      <c r="C678" t="str" cm="1">
        <f t="array" aca="1" ref="C678" ca="1">INDEX({"Painkiller","Antibiotic","Painkiller","Antihistamine","Diabetes","Hypertension","Antacid","Antibiotic","Hypertension","Supplement"},
MATCH(B678,{"Paracetamol","Amoxicillin","Ibuprofen","Cetirizine","Metformin","Amlodipine","Omeprazole","Azithromycin","Losartan","Vitamin C"},0))</f>
        <v>Painkiller</v>
      </c>
      <c r="D678" t="str" cm="1">
        <f t="array" aca="1" ref="D678" ca="1">INDEX({"MedSupply Co","HealthCorp","PharmaPlus","GlobalMed"}, RANDBETWEEN(1,4))</f>
        <v>PharmaPlus</v>
      </c>
      <c r="E678">
        <f t="shared" ca="1" si="101"/>
        <v>97</v>
      </c>
      <c r="F678">
        <f t="shared" ca="1" si="102"/>
        <v>26</v>
      </c>
      <c r="G678">
        <f t="shared" ca="1" si="103"/>
        <v>1.04</v>
      </c>
      <c r="H678" s="1">
        <f t="shared" ca="1" si="104"/>
        <v>46295</v>
      </c>
      <c r="I678" s="1">
        <f t="shared" ca="1" si="105"/>
        <v>46061</v>
      </c>
      <c r="J678">
        <f t="shared" ca="1" si="106"/>
        <v>100.88000000000001</v>
      </c>
      <c r="K678" t="str">
        <f t="shared" ca="1" si="107"/>
        <v>In Stock</v>
      </c>
      <c r="L678" s="2">
        <f t="shared" ca="1" si="108"/>
        <v>176</v>
      </c>
      <c r="M678" t="str">
        <f t="shared" ca="1" si="109"/>
        <v>Safe</v>
      </c>
    </row>
    <row r="679" spans="1:13" x14ac:dyDescent="0.25">
      <c r="A679" t="str">
        <f t="shared" si="100"/>
        <v>M678</v>
      </c>
      <c r="B679" t="str" cm="1">
        <f t="array" aca="1" ref="B679" ca="1">INDEX({"Paracetamol","Amoxicillin","Ibuprofen","Cetirizine","Metformin","Amlodipine","Omeprazole","Azithromycin","Losartan","Vitamin C"}, RANDBETWEEN(1,10))</f>
        <v>Amoxicillin</v>
      </c>
      <c r="C679" t="str" cm="1">
        <f t="array" aca="1" ref="C679" ca="1">INDEX({"Painkiller","Antibiotic","Painkiller","Antihistamine","Diabetes","Hypertension","Antacid","Antibiotic","Hypertension","Supplement"},
MATCH(B679,{"Paracetamol","Amoxicillin","Ibuprofen","Cetirizine","Metformin","Amlodipine","Omeprazole","Azithromycin","Losartan","Vitamin C"},0))</f>
        <v>Antibiotic</v>
      </c>
      <c r="D679" t="str" cm="1">
        <f t="array" aca="1" ref="D679" ca="1">INDEX({"MedSupply Co","HealthCorp","PharmaPlus","GlobalMed"}, RANDBETWEEN(1,4))</f>
        <v>MedSupply Co</v>
      </c>
      <c r="E679">
        <f t="shared" ca="1" si="101"/>
        <v>46</v>
      </c>
      <c r="F679">
        <f t="shared" ca="1" si="102"/>
        <v>20</v>
      </c>
      <c r="G679">
        <f t="shared" ca="1" si="103"/>
        <v>0.94</v>
      </c>
      <c r="H679" s="1">
        <f t="shared" ca="1" si="104"/>
        <v>46280</v>
      </c>
      <c r="I679" s="1">
        <f t="shared" ca="1" si="105"/>
        <v>46051</v>
      </c>
      <c r="J679">
        <f t="shared" ca="1" si="106"/>
        <v>43.239999999999995</v>
      </c>
      <c r="K679" t="str">
        <f t="shared" ca="1" si="107"/>
        <v>In Stock</v>
      </c>
      <c r="L679" s="2">
        <f t="shared" ca="1" si="108"/>
        <v>161</v>
      </c>
      <c r="M679" t="str">
        <f t="shared" ca="1" si="109"/>
        <v>Safe</v>
      </c>
    </row>
    <row r="680" spans="1:13" x14ac:dyDescent="0.25">
      <c r="A680" t="str">
        <f t="shared" si="100"/>
        <v>M679</v>
      </c>
      <c r="B680" t="str" cm="1">
        <f t="array" aca="1" ref="B680" ca="1">INDEX({"Paracetamol","Amoxicillin","Ibuprofen","Cetirizine","Metformin","Amlodipine","Omeprazole","Azithromycin","Losartan","Vitamin C"}, RANDBETWEEN(1,10))</f>
        <v>Cetirizine</v>
      </c>
      <c r="C680" t="str" cm="1">
        <f t="array" aca="1" ref="C680" ca="1">INDEX({"Painkiller","Antibiotic","Painkiller","Antihistamine","Diabetes","Hypertension","Antacid","Antibiotic","Hypertension","Supplement"},
MATCH(B680,{"Paracetamol","Amoxicillin","Ibuprofen","Cetirizine","Metformin","Amlodipine","Omeprazole","Azithromycin","Losartan","Vitamin C"},0))</f>
        <v>Antihistamine</v>
      </c>
      <c r="D680" t="str" cm="1">
        <f t="array" aca="1" ref="D680" ca="1">INDEX({"MedSupply Co","HealthCorp","PharmaPlus","GlobalMed"}, RANDBETWEEN(1,4))</f>
        <v>PharmaPlus</v>
      </c>
      <c r="E680">
        <f t="shared" ca="1" si="101"/>
        <v>31</v>
      </c>
      <c r="F680">
        <f t="shared" ca="1" si="102"/>
        <v>82</v>
      </c>
      <c r="G680">
        <f t="shared" ca="1" si="103"/>
        <v>0.59</v>
      </c>
      <c r="H680" s="1">
        <f t="shared" ca="1" si="104"/>
        <v>46210</v>
      </c>
      <c r="I680" s="1">
        <f t="shared" ca="1" si="105"/>
        <v>46108</v>
      </c>
      <c r="J680">
        <f t="shared" ca="1" si="106"/>
        <v>18.29</v>
      </c>
      <c r="K680" t="str">
        <f t="shared" ca="1" si="107"/>
        <v>Low Stock</v>
      </c>
      <c r="L680" s="2">
        <f t="shared" ca="1" si="108"/>
        <v>91</v>
      </c>
      <c r="M680" t="str">
        <f t="shared" ca="1" si="109"/>
        <v>Safe</v>
      </c>
    </row>
    <row r="681" spans="1:13" x14ac:dyDescent="0.25">
      <c r="A681" t="str">
        <f t="shared" si="100"/>
        <v>M680</v>
      </c>
      <c r="B681" t="str" cm="1">
        <f t="array" aca="1" ref="B681" ca="1">INDEX({"Paracetamol","Amoxicillin","Ibuprofen","Cetirizine","Metformin","Amlodipine","Omeprazole","Azithromycin","Losartan","Vitamin C"}, RANDBETWEEN(1,10))</f>
        <v>Amoxicillin</v>
      </c>
      <c r="C681" t="str" cm="1">
        <f t="array" aca="1" ref="C681" ca="1">INDEX({"Painkiller","Antibiotic","Painkiller","Antihistamine","Diabetes","Hypertension","Antacid","Antibiotic","Hypertension","Supplement"},
MATCH(B681,{"Paracetamol","Amoxicillin","Ibuprofen","Cetirizine","Metformin","Amlodipine","Omeprazole","Azithromycin","Losartan","Vitamin C"},0))</f>
        <v>Antibiotic</v>
      </c>
      <c r="D681" t="str" cm="1">
        <f t="array" aca="1" ref="D681" ca="1">INDEX({"MedSupply Co","HealthCorp","PharmaPlus","GlobalMed"}, RANDBETWEEN(1,4))</f>
        <v>GlobalMed</v>
      </c>
      <c r="E681">
        <f t="shared" ca="1" si="101"/>
        <v>97</v>
      </c>
      <c r="F681">
        <f t="shared" ca="1" si="102"/>
        <v>92</v>
      </c>
      <c r="G681">
        <f t="shared" ca="1" si="103"/>
        <v>1.71</v>
      </c>
      <c r="H681" s="1">
        <f t="shared" ca="1" si="104"/>
        <v>46263</v>
      </c>
      <c r="I681" s="1">
        <f t="shared" ca="1" si="105"/>
        <v>45944</v>
      </c>
      <c r="J681">
        <f t="shared" ca="1" si="106"/>
        <v>165.87</v>
      </c>
      <c r="K681" t="str">
        <f t="shared" ca="1" si="107"/>
        <v>In Stock</v>
      </c>
      <c r="L681" s="2">
        <f t="shared" ca="1" si="108"/>
        <v>144</v>
      </c>
      <c r="M681" t="str">
        <f t="shared" ca="1" si="109"/>
        <v>Safe</v>
      </c>
    </row>
    <row r="682" spans="1:13" x14ac:dyDescent="0.25">
      <c r="A682" t="str">
        <f t="shared" si="100"/>
        <v>M681</v>
      </c>
      <c r="B682" t="str" cm="1">
        <f t="array" aca="1" ref="B682" ca="1">INDEX({"Paracetamol","Amoxicillin","Ibuprofen","Cetirizine","Metformin","Amlodipine","Omeprazole","Azithromycin","Losartan","Vitamin C"}, RANDBETWEEN(1,10))</f>
        <v>Omeprazole</v>
      </c>
      <c r="C682" t="str" cm="1">
        <f t="array" aca="1" ref="C682" ca="1">INDEX({"Painkiller","Antibiotic","Painkiller","Antihistamine","Diabetes","Hypertension","Antacid","Antibiotic","Hypertension","Supplement"},
MATCH(B682,{"Paracetamol","Amoxicillin","Ibuprofen","Cetirizine","Metformin","Amlodipine","Omeprazole","Azithromycin","Losartan","Vitamin C"},0))</f>
        <v>Antacid</v>
      </c>
      <c r="D682" t="str" cm="1">
        <f t="array" aca="1" ref="D682" ca="1">INDEX({"MedSupply Co","HealthCorp","PharmaPlus","GlobalMed"}, RANDBETWEEN(1,4))</f>
        <v>MedSupply Co</v>
      </c>
      <c r="E682">
        <f t="shared" ca="1" si="101"/>
        <v>102</v>
      </c>
      <c r="F682">
        <f t="shared" ca="1" si="102"/>
        <v>62</v>
      </c>
      <c r="G682">
        <f t="shared" ca="1" si="103"/>
        <v>1.51</v>
      </c>
      <c r="H682" s="1">
        <f t="shared" ca="1" si="104"/>
        <v>46340</v>
      </c>
      <c r="I682" s="1">
        <f t="shared" ca="1" si="105"/>
        <v>45954</v>
      </c>
      <c r="J682">
        <f t="shared" ca="1" si="106"/>
        <v>154.02000000000001</v>
      </c>
      <c r="K682" t="str">
        <f t="shared" ca="1" si="107"/>
        <v>In Stock</v>
      </c>
      <c r="L682" s="2">
        <f t="shared" ca="1" si="108"/>
        <v>221</v>
      </c>
      <c r="M682" t="str">
        <f t="shared" ca="1" si="109"/>
        <v>Safe</v>
      </c>
    </row>
    <row r="683" spans="1:13" x14ac:dyDescent="0.25">
      <c r="A683" t="str">
        <f t="shared" si="100"/>
        <v>M682</v>
      </c>
      <c r="B683" t="str" cm="1">
        <f t="array" aca="1" ref="B683" ca="1">INDEX({"Paracetamol","Amoxicillin","Ibuprofen","Cetirizine","Metformin","Amlodipine","Omeprazole","Azithromycin","Losartan","Vitamin C"}, RANDBETWEEN(1,10))</f>
        <v>Losartan</v>
      </c>
      <c r="C683" t="str" cm="1">
        <f t="array" aca="1" ref="C683" ca="1">INDEX({"Painkiller","Antibiotic","Painkiller","Antihistamine","Diabetes","Hypertension","Antacid","Antibiotic","Hypertension","Supplement"},
MATCH(B683,{"Paracetamol","Amoxicillin","Ibuprofen","Cetirizine","Metformin","Amlodipine","Omeprazole","Azithromycin","Losartan","Vitamin C"},0))</f>
        <v>Hypertension</v>
      </c>
      <c r="D683" t="str" cm="1">
        <f t="array" aca="1" ref="D683" ca="1">INDEX({"MedSupply Co","HealthCorp","PharmaPlus","GlobalMed"}, RANDBETWEEN(1,4))</f>
        <v>HealthCorp</v>
      </c>
      <c r="E683">
        <f t="shared" ca="1" si="101"/>
        <v>53</v>
      </c>
      <c r="F683">
        <f t="shared" ca="1" si="102"/>
        <v>60</v>
      </c>
      <c r="G683">
        <f t="shared" ca="1" si="103"/>
        <v>1.44</v>
      </c>
      <c r="H683" s="1">
        <f t="shared" ca="1" si="104"/>
        <v>46408</v>
      </c>
      <c r="I683" s="1">
        <f t="shared" ca="1" si="105"/>
        <v>45950</v>
      </c>
      <c r="J683">
        <f t="shared" ca="1" si="106"/>
        <v>76.319999999999993</v>
      </c>
      <c r="K683" t="str">
        <f t="shared" ca="1" si="107"/>
        <v>Low Stock</v>
      </c>
      <c r="L683" s="2">
        <f t="shared" ca="1" si="108"/>
        <v>289</v>
      </c>
      <c r="M683" t="str">
        <f t="shared" ca="1" si="109"/>
        <v>Safe</v>
      </c>
    </row>
    <row r="684" spans="1:13" x14ac:dyDescent="0.25">
      <c r="A684" t="str">
        <f t="shared" si="100"/>
        <v>M683</v>
      </c>
      <c r="B684" t="str" cm="1">
        <f t="array" aca="1" ref="B684" ca="1">INDEX({"Paracetamol","Amoxicillin","Ibuprofen","Cetirizine","Metformin","Amlodipine","Omeprazole","Azithromycin","Losartan","Vitamin C"}, RANDBETWEEN(1,10))</f>
        <v>Metformin</v>
      </c>
      <c r="C684" t="str" cm="1">
        <f t="array" aca="1" ref="C684" ca="1">INDEX({"Painkiller","Antibiotic","Painkiller","Antihistamine","Diabetes","Hypertension","Antacid","Antibiotic","Hypertension","Supplement"},
MATCH(B684,{"Paracetamol","Amoxicillin","Ibuprofen","Cetirizine","Metformin","Amlodipine","Omeprazole","Azithromycin","Losartan","Vitamin C"},0))</f>
        <v>Diabetes</v>
      </c>
      <c r="D684" t="str" cm="1">
        <f t="array" aca="1" ref="D684" ca="1">INDEX({"MedSupply Co","HealthCorp","PharmaPlus","GlobalMed"}, RANDBETWEEN(1,4))</f>
        <v>MedSupply Co</v>
      </c>
      <c r="E684">
        <f t="shared" ca="1" si="101"/>
        <v>118</v>
      </c>
      <c r="F684">
        <f t="shared" ca="1" si="102"/>
        <v>49</v>
      </c>
      <c r="G684">
        <f t="shared" ca="1" si="103"/>
        <v>1.73</v>
      </c>
      <c r="H684" s="1">
        <f t="shared" ca="1" si="104"/>
        <v>46296</v>
      </c>
      <c r="I684" s="1">
        <f t="shared" ca="1" si="105"/>
        <v>46053</v>
      </c>
      <c r="J684">
        <f t="shared" ca="1" si="106"/>
        <v>204.14</v>
      </c>
      <c r="K684" t="str">
        <f t="shared" ca="1" si="107"/>
        <v>In Stock</v>
      </c>
      <c r="L684" s="2">
        <f t="shared" ca="1" si="108"/>
        <v>177</v>
      </c>
      <c r="M684" t="str">
        <f t="shared" ca="1" si="109"/>
        <v>Safe</v>
      </c>
    </row>
    <row r="685" spans="1:13" x14ac:dyDescent="0.25">
      <c r="A685" t="str">
        <f t="shared" si="100"/>
        <v>M684</v>
      </c>
      <c r="B685" t="str" cm="1">
        <f t="array" aca="1" ref="B685" ca="1">INDEX({"Paracetamol","Amoxicillin","Ibuprofen","Cetirizine","Metformin","Amlodipine","Omeprazole","Azithromycin","Losartan","Vitamin C"}, RANDBETWEEN(1,10))</f>
        <v>Amoxicillin</v>
      </c>
      <c r="C685" t="str" cm="1">
        <f t="array" aca="1" ref="C685" ca="1">INDEX({"Painkiller","Antibiotic","Painkiller","Antihistamine","Diabetes","Hypertension","Antacid","Antibiotic","Hypertension","Supplement"},
MATCH(B685,{"Paracetamol","Amoxicillin","Ibuprofen","Cetirizine","Metformin","Amlodipine","Omeprazole","Azithromycin","Losartan","Vitamin C"},0))</f>
        <v>Antibiotic</v>
      </c>
      <c r="D685" t="str" cm="1">
        <f t="array" aca="1" ref="D685" ca="1">INDEX({"MedSupply Co","HealthCorp","PharmaPlus","GlobalMed"}, RANDBETWEEN(1,4))</f>
        <v>PharmaPlus</v>
      </c>
      <c r="E685">
        <f t="shared" ca="1" si="101"/>
        <v>73</v>
      </c>
      <c r="F685">
        <f t="shared" ca="1" si="102"/>
        <v>41</v>
      </c>
      <c r="G685">
        <f t="shared" ca="1" si="103"/>
        <v>1.54</v>
      </c>
      <c r="H685" s="1">
        <f t="shared" ca="1" si="104"/>
        <v>46332</v>
      </c>
      <c r="I685" s="1">
        <f t="shared" ca="1" si="105"/>
        <v>46071</v>
      </c>
      <c r="J685">
        <f t="shared" ca="1" si="106"/>
        <v>112.42</v>
      </c>
      <c r="K685" t="str">
        <f t="shared" ca="1" si="107"/>
        <v>In Stock</v>
      </c>
      <c r="L685" s="2">
        <f t="shared" ca="1" si="108"/>
        <v>213</v>
      </c>
      <c r="M685" t="str">
        <f t="shared" ca="1" si="109"/>
        <v>Safe</v>
      </c>
    </row>
    <row r="686" spans="1:13" x14ac:dyDescent="0.25">
      <c r="A686" t="str">
        <f t="shared" si="100"/>
        <v>M685</v>
      </c>
      <c r="B686" t="str" cm="1">
        <f t="array" aca="1" ref="B686" ca="1">INDEX({"Paracetamol","Amoxicillin","Ibuprofen","Cetirizine","Metformin","Amlodipine","Omeprazole","Azithromycin","Losartan","Vitamin C"}, RANDBETWEEN(1,10))</f>
        <v>Amlodipine</v>
      </c>
      <c r="C686" t="str" cm="1">
        <f t="array" aca="1" ref="C686" ca="1">INDEX({"Painkiller","Antibiotic","Painkiller","Antihistamine","Diabetes","Hypertension","Antacid","Antibiotic","Hypertension","Supplement"},
MATCH(B686,{"Paracetamol","Amoxicillin","Ibuprofen","Cetirizine","Metformin","Amlodipine","Omeprazole","Azithromycin","Losartan","Vitamin C"},0))</f>
        <v>Hypertension</v>
      </c>
      <c r="D686" t="str" cm="1">
        <f t="array" aca="1" ref="D686" ca="1">INDEX({"MedSupply Co","HealthCorp","PharmaPlus","GlobalMed"}, RANDBETWEEN(1,4))</f>
        <v>PharmaPlus</v>
      </c>
      <c r="E686">
        <f t="shared" ca="1" si="101"/>
        <v>192</v>
      </c>
      <c r="F686">
        <f t="shared" ca="1" si="102"/>
        <v>73</v>
      </c>
      <c r="G686">
        <f t="shared" ca="1" si="103"/>
        <v>1.57</v>
      </c>
      <c r="H686" s="1">
        <f t="shared" ca="1" si="104"/>
        <v>46240</v>
      </c>
      <c r="I686" s="1">
        <f t="shared" ca="1" si="105"/>
        <v>46005</v>
      </c>
      <c r="J686">
        <f t="shared" ca="1" si="106"/>
        <v>301.44</v>
      </c>
      <c r="K686" t="str">
        <f t="shared" ca="1" si="107"/>
        <v>In Stock</v>
      </c>
      <c r="L686" s="2">
        <f t="shared" ca="1" si="108"/>
        <v>121</v>
      </c>
      <c r="M686" t="str">
        <f t="shared" ca="1" si="109"/>
        <v>Safe</v>
      </c>
    </row>
    <row r="687" spans="1:13" x14ac:dyDescent="0.25">
      <c r="A687" t="str">
        <f t="shared" si="100"/>
        <v>M686</v>
      </c>
      <c r="B687" t="str" cm="1">
        <f t="array" aca="1" ref="B687" ca="1">INDEX({"Paracetamol","Amoxicillin","Ibuprofen","Cetirizine","Metformin","Amlodipine","Omeprazole","Azithromycin","Losartan","Vitamin C"}, RANDBETWEEN(1,10))</f>
        <v>Cetirizine</v>
      </c>
      <c r="C687" t="str" cm="1">
        <f t="array" aca="1" ref="C687" ca="1">INDEX({"Painkiller","Antibiotic","Painkiller","Antihistamine","Diabetes","Hypertension","Antacid","Antibiotic","Hypertension","Supplement"},
MATCH(B687,{"Paracetamol","Amoxicillin","Ibuprofen","Cetirizine","Metformin","Amlodipine","Omeprazole","Azithromycin","Losartan","Vitamin C"},0))</f>
        <v>Antihistamine</v>
      </c>
      <c r="D687" t="str" cm="1">
        <f t="array" aca="1" ref="D687" ca="1">INDEX({"MedSupply Co","HealthCorp","PharmaPlus","GlobalMed"}, RANDBETWEEN(1,4))</f>
        <v>GlobalMed</v>
      </c>
      <c r="E687">
        <f t="shared" ca="1" si="101"/>
        <v>169</v>
      </c>
      <c r="F687">
        <f t="shared" ca="1" si="102"/>
        <v>83</v>
      </c>
      <c r="G687">
        <f t="shared" ca="1" si="103"/>
        <v>1.96</v>
      </c>
      <c r="H687" s="1">
        <f t="shared" ca="1" si="104"/>
        <v>46263</v>
      </c>
      <c r="I687" s="1">
        <f t="shared" ca="1" si="105"/>
        <v>46024</v>
      </c>
      <c r="J687">
        <f t="shared" ca="1" si="106"/>
        <v>331.24</v>
      </c>
      <c r="K687" t="str">
        <f t="shared" ca="1" si="107"/>
        <v>In Stock</v>
      </c>
      <c r="L687" s="2">
        <f t="shared" ca="1" si="108"/>
        <v>144</v>
      </c>
      <c r="M687" t="str">
        <f t="shared" ca="1" si="109"/>
        <v>Safe</v>
      </c>
    </row>
    <row r="688" spans="1:13" x14ac:dyDescent="0.25">
      <c r="A688" t="str">
        <f t="shared" si="100"/>
        <v>M687</v>
      </c>
      <c r="B688" t="str" cm="1">
        <f t="array" aca="1" ref="B688" ca="1">INDEX({"Paracetamol","Amoxicillin","Ibuprofen","Cetirizine","Metformin","Amlodipine","Omeprazole","Azithromycin","Losartan","Vitamin C"}, RANDBETWEEN(1,10))</f>
        <v>Cetirizine</v>
      </c>
      <c r="C688" t="str" cm="1">
        <f t="array" aca="1" ref="C688" ca="1">INDEX({"Painkiller","Antibiotic","Painkiller","Antihistamine","Diabetes","Hypertension","Antacid","Antibiotic","Hypertension","Supplement"},
MATCH(B688,{"Paracetamol","Amoxicillin","Ibuprofen","Cetirizine","Metformin","Amlodipine","Omeprazole","Azithromycin","Losartan","Vitamin C"},0))</f>
        <v>Antihistamine</v>
      </c>
      <c r="D688" t="str" cm="1">
        <f t="array" aca="1" ref="D688" ca="1">INDEX({"MedSupply Co","HealthCorp","PharmaPlus","GlobalMed"}, RANDBETWEEN(1,4))</f>
        <v>GlobalMed</v>
      </c>
      <c r="E688">
        <f t="shared" ca="1" si="101"/>
        <v>54</v>
      </c>
      <c r="F688">
        <f t="shared" ca="1" si="102"/>
        <v>70</v>
      </c>
      <c r="G688">
        <f t="shared" ca="1" si="103"/>
        <v>0.95</v>
      </c>
      <c r="H688" s="1">
        <f t="shared" ca="1" si="104"/>
        <v>46391</v>
      </c>
      <c r="I688" s="1">
        <f t="shared" ca="1" si="105"/>
        <v>45989</v>
      </c>
      <c r="J688">
        <f t="shared" ca="1" si="106"/>
        <v>51.3</v>
      </c>
      <c r="K688" t="str">
        <f t="shared" ca="1" si="107"/>
        <v>Low Stock</v>
      </c>
      <c r="L688" s="2">
        <f t="shared" ca="1" si="108"/>
        <v>272</v>
      </c>
      <c r="M688" t="str">
        <f t="shared" ca="1" si="109"/>
        <v>Safe</v>
      </c>
    </row>
    <row r="689" spans="1:13" x14ac:dyDescent="0.25">
      <c r="A689" t="str">
        <f t="shared" si="100"/>
        <v>M688</v>
      </c>
      <c r="B689" t="str" cm="1">
        <f t="array" aca="1" ref="B689" ca="1">INDEX({"Paracetamol","Amoxicillin","Ibuprofen","Cetirizine","Metformin","Amlodipine","Omeprazole","Azithromycin","Losartan","Vitamin C"}, RANDBETWEEN(1,10))</f>
        <v>Metformin</v>
      </c>
      <c r="C689" t="str" cm="1">
        <f t="array" aca="1" ref="C689" ca="1">INDEX({"Painkiller","Antibiotic","Painkiller","Antihistamine","Diabetes","Hypertension","Antacid","Antibiotic","Hypertension","Supplement"},
MATCH(B689,{"Paracetamol","Amoxicillin","Ibuprofen","Cetirizine","Metformin","Amlodipine","Omeprazole","Azithromycin","Losartan","Vitamin C"},0))</f>
        <v>Diabetes</v>
      </c>
      <c r="D689" t="str" cm="1">
        <f t="array" aca="1" ref="D689" ca="1">INDEX({"MedSupply Co","HealthCorp","PharmaPlus","GlobalMed"}, RANDBETWEEN(1,4))</f>
        <v>PharmaPlus</v>
      </c>
      <c r="E689">
        <f t="shared" ca="1" si="101"/>
        <v>52</v>
      </c>
      <c r="F689">
        <f t="shared" ca="1" si="102"/>
        <v>63</v>
      </c>
      <c r="G689">
        <f t="shared" ca="1" si="103"/>
        <v>1.83</v>
      </c>
      <c r="H689" s="1">
        <f t="shared" ca="1" si="104"/>
        <v>46197</v>
      </c>
      <c r="I689" s="1">
        <f t="shared" ca="1" si="105"/>
        <v>45983</v>
      </c>
      <c r="J689">
        <f t="shared" ca="1" si="106"/>
        <v>95.16</v>
      </c>
      <c r="K689" t="str">
        <f t="shared" ca="1" si="107"/>
        <v>Low Stock</v>
      </c>
      <c r="L689" s="2">
        <f t="shared" ca="1" si="108"/>
        <v>78</v>
      </c>
      <c r="M689" t="str">
        <f t="shared" ca="1" si="109"/>
        <v>Safe</v>
      </c>
    </row>
    <row r="690" spans="1:13" x14ac:dyDescent="0.25">
      <c r="A690" t="str">
        <f t="shared" si="100"/>
        <v>M689</v>
      </c>
      <c r="B690" t="str" cm="1">
        <f t="array" aca="1" ref="B690" ca="1">INDEX({"Paracetamol","Amoxicillin","Ibuprofen","Cetirizine","Metformin","Amlodipine","Omeprazole","Azithromycin","Losartan","Vitamin C"}, RANDBETWEEN(1,10))</f>
        <v>Paracetamol</v>
      </c>
      <c r="C690" t="str" cm="1">
        <f t="array" aca="1" ref="C690" ca="1">INDEX({"Painkiller","Antibiotic","Painkiller","Antihistamine","Diabetes","Hypertension","Antacid","Antibiotic","Hypertension","Supplement"},
MATCH(B690,{"Paracetamol","Amoxicillin","Ibuprofen","Cetirizine","Metformin","Amlodipine","Omeprazole","Azithromycin","Losartan","Vitamin C"},0))</f>
        <v>Painkiller</v>
      </c>
      <c r="D690" t="str" cm="1">
        <f t="array" aca="1" ref="D690" ca="1">INDEX({"MedSupply Co","HealthCorp","PharmaPlus","GlobalMed"}, RANDBETWEEN(1,4))</f>
        <v>GlobalMed</v>
      </c>
      <c r="E690">
        <f t="shared" ca="1" si="101"/>
        <v>110</v>
      </c>
      <c r="F690">
        <f t="shared" ca="1" si="102"/>
        <v>74</v>
      </c>
      <c r="G690">
        <f t="shared" ca="1" si="103"/>
        <v>1.92</v>
      </c>
      <c r="H690" s="1">
        <f t="shared" ca="1" si="104"/>
        <v>46225</v>
      </c>
      <c r="I690" s="1">
        <f t="shared" ca="1" si="105"/>
        <v>46022</v>
      </c>
      <c r="J690">
        <f t="shared" ca="1" si="106"/>
        <v>211.2</v>
      </c>
      <c r="K690" t="str">
        <f t="shared" ca="1" si="107"/>
        <v>In Stock</v>
      </c>
      <c r="L690" s="2">
        <f t="shared" ca="1" si="108"/>
        <v>106</v>
      </c>
      <c r="M690" t="str">
        <f t="shared" ca="1" si="109"/>
        <v>Safe</v>
      </c>
    </row>
    <row r="691" spans="1:13" x14ac:dyDescent="0.25">
      <c r="A691" t="str">
        <f t="shared" si="100"/>
        <v>M690</v>
      </c>
      <c r="B691" t="str" cm="1">
        <f t="array" aca="1" ref="B691" ca="1">INDEX({"Paracetamol","Amoxicillin","Ibuprofen","Cetirizine","Metformin","Amlodipine","Omeprazole","Azithromycin","Losartan","Vitamin C"}, RANDBETWEEN(1,10))</f>
        <v>Amoxicillin</v>
      </c>
      <c r="C691" t="str" cm="1">
        <f t="array" aca="1" ref="C691" ca="1">INDEX({"Painkiller","Antibiotic","Painkiller","Antihistamine","Diabetes","Hypertension","Antacid","Antibiotic","Hypertension","Supplement"},
MATCH(B691,{"Paracetamol","Amoxicillin","Ibuprofen","Cetirizine","Metformin","Amlodipine","Omeprazole","Azithromycin","Losartan","Vitamin C"},0))</f>
        <v>Antibiotic</v>
      </c>
      <c r="D691" t="str" cm="1">
        <f t="array" aca="1" ref="D691" ca="1">INDEX({"MedSupply Co","HealthCorp","PharmaPlus","GlobalMed"}, RANDBETWEEN(1,4))</f>
        <v>MedSupply Co</v>
      </c>
      <c r="E691">
        <f t="shared" ca="1" si="101"/>
        <v>0</v>
      </c>
      <c r="F691">
        <f t="shared" ca="1" si="102"/>
        <v>61</v>
      </c>
      <c r="G691">
        <f t="shared" ca="1" si="103"/>
        <v>1.58</v>
      </c>
      <c r="H691" s="1">
        <f t="shared" ca="1" si="104"/>
        <v>46424</v>
      </c>
      <c r="I691" s="1">
        <f t="shared" ca="1" si="105"/>
        <v>46049</v>
      </c>
      <c r="J691">
        <f t="shared" ca="1" si="106"/>
        <v>0</v>
      </c>
      <c r="K691" t="str">
        <f t="shared" ca="1" si="107"/>
        <v>Out of Stock</v>
      </c>
      <c r="L691" s="2">
        <f t="shared" ca="1" si="108"/>
        <v>305</v>
      </c>
      <c r="M691" t="str">
        <f t="shared" ca="1" si="109"/>
        <v>Safe</v>
      </c>
    </row>
    <row r="692" spans="1:13" x14ac:dyDescent="0.25">
      <c r="A692" t="str">
        <f t="shared" si="100"/>
        <v>M691</v>
      </c>
      <c r="B692" t="str" cm="1">
        <f t="array" aca="1" ref="B692" ca="1">INDEX({"Paracetamol","Amoxicillin","Ibuprofen","Cetirizine","Metformin","Amlodipine","Omeprazole","Azithromycin","Losartan","Vitamin C"}, RANDBETWEEN(1,10))</f>
        <v>Amoxicillin</v>
      </c>
      <c r="C692" t="str" cm="1">
        <f t="array" aca="1" ref="C692" ca="1">INDEX({"Painkiller","Antibiotic","Painkiller","Antihistamine","Diabetes","Hypertension","Antacid","Antibiotic","Hypertension","Supplement"},
MATCH(B692,{"Paracetamol","Amoxicillin","Ibuprofen","Cetirizine","Metformin","Amlodipine","Omeprazole","Azithromycin","Losartan","Vitamin C"},0))</f>
        <v>Antibiotic</v>
      </c>
      <c r="D692" t="str" cm="1">
        <f t="array" aca="1" ref="D692" ca="1">INDEX({"MedSupply Co","HealthCorp","PharmaPlus","GlobalMed"}, RANDBETWEEN(1,4))</f>
        <v>MedSupply Co</v>
      </c>
      <c r="E692">
        <f t="shared" ca="1" si="101"/>
        <v>195</v>
      </c>
      <c r="F692">
        <f t="shared" ca="1" si="102"/>
        <v>69</v>
      </c>
      <c r="G692">
        <f t="shared" ca="1" si="103"/>
        <v>1.47</v>
      </c>
      <c r="H692" s="1">
        <f t="shared" ca="1" si="104"/>
        <v>46483</v>
      </c>
      <c r="I692" s="1">
        <f t="shared" ca="1" si="105"/>
        <v>46087</v>
      </c>
      <c r="J692">
        <f t="shared" ca="1" si="106"/>
        <v>286.64999999999998</v>
      </c>
      <c r="K692" t="str">
        <f t="shared" ca="1" si="107"/>
        <v>In Stock</v>
      </c>
      <c r="L692" s="2">
        <f t="shared" ca="1" si="108"/>
        <v>364</v>
      </c>
      <c r="M692" t="str">
        <f t="shared" ca="1" si="109"/>
        <v>Safe</v>
      </c>
    </row>
    <row r="693" spans="1:13" x14ac:dyDescent="0.25">
      <c r="A693" t="str">
        <f t="shared" si="100"/>
        <v>M692</v>
      </c>
      <c r="B693" t="str" cm="1">
        <f t="array" aca="1" ref="B693" ca="1">INDEX({"Paracetamol","Amoxicillin","Ibuprofen","Cetirizine","Metformin","Amlodipine","Omeprazole","Azithromycin","Losartan","Vitamin C"}, RANDBETWEEN(1,10))</f>
        <v>Vitamin C</v>
      </c>
      <c r="C693" t="str" cm="1">
        <f t="array" aca="1" ref="C693" ca="1">INDEX({"Painkiller","Antibiotic","Painkiller","Antihistamine","Diabetes","Hypertension","Antacid","Antibiotic","Hypertension","Supplement"},
MATCH(B693,{"Paracetamol","Amoxicillin","Ibuprofen","Cetirizine","Metformin","Amlodipine","Omeprazole","Azithromycin","Losartan","Vitamin C"},0))</f>
        <v>Supplement</v>
      </c>
      <c r="D693" t="str" cm="1">
        <f t="array" aca="1" ref="D693" ca="1">INDEX({"MedSupply Co","HealthCorp","PharmaPlus","GlobalMed"}, RANDBETWEEN(1,4))</f>
        <v>MedSupply Co</v>
      </c>
      <c r="E693">
        <f t="shared" ca="1" si="101"/>
        <v>142</v>
      </c>
      <c r="F693">
        <f t="shared" ca="1" si="102"/>
        <v>96</v>
      </c>
      <c r="G693">
        <f t="shared" ca="1" si="103"/>
        <v>1.48</v>
      </c>
      <c r="H693" s="1">
        <f t="shared" ca="1" si="104"/>
        <v>46395</v>
      </c>
      <c r="I693" s="1">
        <f t="shared" ca="1" si="105"/>
        <v>45977</v>
      </c>
      <c r="J693">
        <f t="shared" ca="1" si="106"/>
        <v>210.16</v>
      </c>
      <c r="K693" t="str">
        <f t="shared" ca="1" si="107"/>
        <v>In Stock</v>
      </c>
      <c r="L693" s="2">
        <f t="shared" ca="1" si="108"/>
        <v>276</v>
      </c>
      <c r="M693" t="str">
        <f t="shared" ca="1" si="109"/>
        <v>Safe</v>
      </c>
    </row>
    <row r="694" spans="1:13" x14ac:dyDescent="0.25">
      <c r="A694" t="str">
        <f t="shared" si="100"/>
        <v>M693</v>
      </c>
      <c r="B694" t="str" cm="1">
        <f t="array" aca="1" ref="B694" ca="1">INDEX({"Paracetamol","Amoxicillin","Ibuprofen","Cetirizine","Metformin","Amlodipine","Omeprazole","Azithromycin","Losartan","Vitamin C"}, RANDBETWEEN(1,10))</f>
        <v>Amlodipine</v>
      </c>
      <c r="C694" t="str" cm="1">
        <f t="array" aca="1" ref="C694" ca="1">INDEX({"Painkiller","Antibiotic","Painkiller","Antihistamine","Diabetes","Hypertension","Antacid","Antibiotic","Hypertension","Supplement"},
MATCH(B694,{"Paracetamol","Amoxicillin","Ibuprofen","Cetirizine","Metformin","Amlodipine","Omeprazole","Azithromycin","Losartan","Vitamin C"},0))</f>
        <v>Hypertension</v>
      </c>
      <c r="D694" t="str" cm="1">
        <f t="array" aca="1" ref="D694" ca="1">INDEX({"MedSupply Co","HealthCorp","PharmaPlus","GlobalMed"}, RANDBETWEEN(1,4))</f>
        <v>MedSupply Co</v>
      </c>
      <c r="E694">
        <f t="shared" ca="1" si="101"/>
        <v>69</v>
      </c>
      <c r="F694">
        <f t="shared" ca="1" si="102"/>
        <v>66</v>
      </c>
      <c r="G694">
        <f t="shared" ca="1" si="103"/>
        <v>1.81</v>
      </c>
      <c r="H694" s="1">
        <f t="shared" ca="1" si="104"/>
        <v>46248</v>
      </c>
      <c r="I694" s="1">
        <f t="shared" ca="1" si="105"/>
        <v>45985</v>
      </c>
      <c r="J694">
        <f t="shared" ca="1" si="106"/>
        <v>124.89</v>
      </c>
      <c r="K694" t="str">
        <f t="shared" ca="1" si="107"/>
        <v>In Stock</v>
      </c>
      <c r="L694" s="2">
        <f t="shared" ca="1" si="108"/>
        <v>129</v>
      </c>
      <c r="M694" t="str">
        <f t="shared" ca="1" si="109"/>
        <v>Safe</v>
      </c>
    </row>
    <row r="695" spans="1:13" x14ac:dyDescent="0.25">
      <c r="A695" t="str">
        <f t="shared" si="100"/>
        <v>M694</v>
      </c>
      <c r="B695" t="str" cm="1">
        <f t="array" aca="1" ref="B695" ca="1">INDEX({"Paracetamol","Amoxicillin","Ibuprofen","Cetirizine","Metformin","Amlodipine","Omeprazole","Azithromycin","Losartan","Vitamin C"}, RANDBETWEEN(1,10))</f>
        <v>Amoxicillin</v>
      </c>
      <c r="C695" t="str" cm="1">
        <f t="array" aca="1" ref="C695" ca="1">INDEX({"Painkiller","Antibiotic","Painkiller","Antihistamine","Diabetes","Hypertension","Antacid","Antibiotic","Hypertension","Supplement"},
MATCH(B695,{"Paracetamol","Amoxicillin","Ibuprofen","Cetirizine","Metformin","Amlodipine","Omeprazole","Azithromycin","Losartan","Vitamin C"},0))</f>
        <v>Antibiotic</v>
      </c>
      <c r="D695" t="str" cm="1">
        <f t="array" aca="1" ref="D695" ca="1">INDEX({"MedSupply Co","HealthCorp","PharmaPlus","GlobalMed"}, RANDBETWEEN(1,4))</f>
        <v>GlobalMed</v>
      </c>
      <c r="E695">
        <f t="shared" ca="1" si="101"/>
        <v>4</v>
      </c>
      <c r="F695">
        <f t="shared" ca="1" si="102"/>
        <v>53</v>
      </c>
      <c r="G695">
        <f t="shared" ca="1" si="103"/>
        <v>1.48</v>
      </c>
      <c r="H695" s="1">
        <f t="shared" ca="1" si="104"/>
        <v>46392</v>
      </c>
      <c r="I695" s="1">
        <f t="shared" ca="1" si="105"/>
        <v>45974</v>
      </c>
      <c r="J695">
        <f t="shared" ca="1" si="106"/>
        <v>5.92</v>
      </c>
      <c r="K695" t="str">
        <f t="shared" ca="1" si="107"/>
        <v>Low Stock</v>
      </c>
      <c r="L695" s="2">
        <f t="shared" ca="1" si="108"/>
        <v>273</v>
      </c>
      <c r="M695" t="str">
        <f t="shared" ca="1" si="109"/>
        <v>Safe</v>
      </c>
    </row>
    <row r="696" spans="1:13" x14ac:dyDescent="0.25">
      <c r="A696" t="str">
        <f t="shared" si="100"/>
        <v>M695</v>
      </c>
      <c r="B696" t="str" cm="1">
        <f t="array" aca="1" ref="B696" ca="1">INDEX({"Paracetamol","Amoxicillin","Ibuprofen","Cetirizine","Metformin","Amlodipine","Omeprazole","Azithromycin","Losartan","Vitamin C"}, RANDBETWEEN(1,10))</f>
        <v>Amlodipine</v>
      </c>
      <c r="C696" t="str" cm="1">
        <f t="array" aca="1" ref="C696" ca="1">INDEX({"Painkiller","Antibiotic","Painkiller","Antihistamine","Diabetes","Hypertension","Antacid","Antibiotic","Hypertension","Supplement"},
MATCH(B696,{"Paracetamol","Amoxicillin","Ibuprofen","Cetirizine","Metformin","Amlodipine","Omeprazole","Azithromycin","Losartan","Vitamin C"},0))</f>
        <v>Hypertension</v>
      </c>
      <c r="D696" t="str" cm="1">
        <f t="array" aca="1" ref="D696" ca="1">INDEX({"MedSupply Co","HealthCorp","PharmaPlus","GlobalMed"}, RANDBETWEEN(1,4))</f>
        <v>HealthCorp</v>
      </c>
      <c r="E696">
        <f t="shared" ca="1" si="101"/>
        <v>172</v>
      </c>
      <c r="F696">
        <f t="shared" ca="1" si="102"/>
        <v>48</v>
      </c>
      <c r="G696">
        <f t="shared" ca="1" si="103"/>
        <v>1.57</v>
      </c>
      <c r="H696" s="1">
        <f t="shared" ca="1" si="104"/>
        <v>46158</v>
      </c>
      <c r="I696" s="1">
        <f t="shared" ca="1" si="105"/>
        <v>46099</v>
      </c>
      <c r="J696">
        <f t="shared" ca="1" si="106"/>
        <v>270.04000000000002</v>
      </c>
      <c r="K696" t="str">
        <f t="shared" ca="1" si="107"/>
        <v>In Stock</v>
      </c>
      <c r="L696" s="2">
        <f t="shared" ca="1" si="108"/>
        <v>39</v>
      </c>
      <c r="M696" t="str">
        <f t="shared" ca="1" si="109"/>
        <v>Safe</v>
      </c>
    </row>
    <row r="697" spans="1:13" x14ac:dyDescent="0.25">
      <c r="A697" t="str">
        <f t="shared" si="100"/>
        <v>M696</v>
      </c>
      <c r="B697" t="str" cm="1">
        <f t="array" aca="1" ref="B697" ca="1">INDEX({"Paracetamol","Amoxicillin","Ibuprofen","Cetirizine","Metformin","Amlodipine","Omeprazole","Azithromycin","Losartan","Vitamin C"}, RANDBETWEEN(1,10))</f>
        <v>Paracetamol</v>
      </c>
      <c r="C697" t="str" cm="1">
        <f t="array" aca="1" ref="C697" ca="1">INDEX({"Painkiller","Antibiotic","Painkiller","Antihistamine","Diabetes","Hypertension","Antacid","Antibiotic","Hypertension","Supplement"},
MATCH(B697,{"Paracetamol","Amoxicillin","Ibuprofen","Cetirizine","Metformin","Amlodipine","Omeprazole","Azithromycin","Losartan","Vitamin C"},0))</f>
        <v>Painkiller</v>
      </c>
      <c r="D697" t="str" cm="1">
        <f t="array" aca="1" ref="D697" ca="1">INDEX({"MedSupply Co","HealthCorp","PharmaPlus","GlobalMed"}, RANDBETWEEN(1,4))</f>
        <v>HealthCorp</v>
      </c>
      <c r="E697">
        <f t="shared" ca="1" si="101"/>
        <v>44</v>
      </c>
      <c r="F697">
        <f t="shared" ca="1" si="102"/>
        <v>23</v>
      </c>
      <c r="G697">
        <f t="shared" ca="1" si="103"/>
        <v>1.52</v>
      </c>
      <c r="H697" s="1">
        <f t="shared" ca="1" si="104"/>
        <v>46267</v>
      </c>
      <c r="I697" s="1">
        <f t="shared" ca="1" si="105"/>
        <v>46101</v>
      </c>
      <c r="J697">
        <f t="shared" ca="1" si="106"/>
        <v>66.88</v>
      </c>
      <c r="K697" t="str">
        <f t="shared" ca="1" si="107"/>
        <v>In Stock</v>
      </c>
      <c r="L697" s="2">
        <f t="shared" ca="1" si="108"/>
        <v>148</v>
      </c>
      <c r="M697" t="str">
        <f t="shared" ca="1" si="109"/>
        <v>Safe</v>
      </c>
    </row>
    <row r="698" spans="1:13" x14ac:dyDescent="0.25">
      <c r="A698" t="str">
        <f t="shared" si="100"/>
        <v>M697</v>
      </c>
      <c r="B698" t="str" cm="1">
        <f t="array" aca="1" ref="B698" ca="1">INDEX({"Paracetamol","Amoxicillin","Ibuprofen","Cetirizine","Metformin","Amlodipine","Omeprazole","Azithromycin","Losartan","Vitamin C"}, RANDBETWEEN(1,10))</f>
        <v>Metformin</v>
      </c>
      <c r="C698" t="str" cm="1">
        <f t="array" aca="1" ref="C698" ca="1">INDEX({"Painkiller","Antibiotic","Painkiller","Antihistamine","Diabetes","Hypertension","Antacid","Antibiotic","Hypertension","Supplement"},
MATCH(B698,{"Paracetamol","Amoxicillin","Ibuprofen","Cetirizine","Metformin","Amlodipine","Omeprazole","Azithromycin","Losartan","Vitamin C"},0))</f>
        <v>Diabetes</v>
      </c>
      <c r="D698" t="str" cm="1">
        <f t="array" aca="1" ref="D698" ca="1">INDEX({"MedSupply Co","HealthCorp","PharmaPlus","GlobalMed"}, RANDBETWEEN(1,4))</f>
        <v>MedSupply Co</v>
      </c>
      <c r="E698">
        <f t="shared" ca="1" si="101"/>
        <v>85</v>
      </c>
      <c r="F698">
        <f t="shared" ca="1" si="102"/>
        <v>30</v>
      </c>
      <c r="G698">
        <f t="shared" ca="1" si="103"/>
        <v>0.85</v>
      </c>
      <c r="H698" s="1">
        <f t="shared" ca="1" si="104"/>
        <v>46150</v>
      </c>
      <c r="I698" s="1">
        <f t="shared" ca="1" si="105"/>
        <v>46095</v>
      </c>
      <c r="J698">
        <f t="shared" ca="1" si="106"/>
        <v>72.25</v>
      </c>
      <c r="K698" t="str">
        <f t="shared" ca="1" si="107"/>
        <v>In Stock</v>
      </c>
      <c r="L698" s="2">
        <f t="shared" ca="1" si="108"/>
        <v>31</v>
      </c>
      <c r="M698" t="str">
        <f t="shared" ca="1" si="109"/>
        <v>Safe</v>
      </c>
    </row>
    <row r="699" spans="1:13" x14ac:dyDescent="0.25">
      <c r="A699" t="str">
        <f t="shared" si="100"/>
        <v>M698</v>
      </c>
      <c r="B699" t="str" cm="1">
        <f t="array" aca="1" ref="B699" ca="1">INDEX({"Paracetamol","Amoxicillin","Ibuprofen","Cetirizine","Metformin","Amlodipine","Omeprazole","Azithromycin","Losartan","Vitamin C"}, RANDBETWEEN(1,10))</f>
        <v>Amlodipine</v>
      </c>
      <c r="C699" t="str" cm="1">
        <f t="array" aca="1" ref="C699" ca="1">INDEX({"Painkiller","Antibiotic","Painkiller","Antihistamine","Diabetes","Hypertension","Antacid","Antibiotic","Hypertension","Supplement"},
MATCH(B699,{"Paracetamol","Amoxicillin","Ibuprofen","Cetirizine","Metformin","Amlodipine","Omeprazole","Azithromycin","Losartan","Vitamin C"},0))</f>
        <v>Hypertension</v>
      </c>
      <c r="D699" t="str" cm="1">
        <f t="array" aca="1" ref="D699" ca="1">INDEX({"MedSupply Co","HealthCorp","PharmaPlus","GlobalMed"}, RANDBETWEEN(1,4))</f>
        <v>HealthCorp</v>
      </c>
      <c r="E699">
        <f t="shared" ca="1" si="101"/>
        <v>26</v>
      </c>
      <c r="F699">
        <f t="shared" ca="1" si="102"/>
        <v>24</v>
      </c>
      <c r="G699">
        <f t="shared" ca="1" si="103"/>
        <v>0.77</v>
      </c>
      <c r="H699" s="1">
        <f t="shared" ca="1" si="104"/>
        <v>46280</v>
      </c>
      <c r="I699" s="1">
        <f t="shared" ca="1" si="105"/>
        <v>46050</v>
      </c>
      <c r="J699">
        <f t="shared" ca="1" si="106"/>
        <v>20.02</v>
      </c>
      <c r="K699" t="str">
        <f t="shared" ca="1" si="107"/>
        <v>In Stock</v>
      </c>
      <c r="L699" s="2">
        <f t="shared" ca="1" si="108"/>
        <v>161</v>
      </c>
      <c r="M699" t="str">
        <f t="shared" ca="1" si="109"/>
        <v>Safe</v>
      </c>
    </row>
    <row r="700" spans="1:13" x14ac:dyDescent="0.25">
      <c r="A700" t="str">
        <f t="shared" si="100"/>
        <v>M699</v>
      </c>
      <c r="B700" t="str" cm="1">
        <f t="array" aca="1" ref="B700" ca="1">INDEX({"Paracetamol","Amoxicillin","Ibuprofen","Cetirizine","Metformin","Amlodipine","Omeprazole","Azithromycin","Losartan","Vitamin C"}, RANDBETWEEN(1,10))</f>
        <v>Amlodipine</v>
      </c>
      <c r="C700" t="str" cm="1">
        <f t="array" aca="1" ref="C700" ca="1">INDEX({"Painkiller","Antibiotic","Painkiller","Antihistamine","Diabetes","Hypertension","Antacid","Antibiotic","Hypertension","Supplement"},
MATCH(B700,{"Paracetamol","Amoxicillin","Ibuprofen","Cetirizine","Metformin","Amlodipine","Omeprazole","Azithromycin","Losartan","Vitamin C"},0))</f>
        <v>Hypertension</v>
      </c>
      <c r="D700" t="str" cm="1">
        <f t="array" aca="1" ref="D700" ca="1">INDEX({"MedSupply Co","HealthCorp","PharmaPlus","GlobalMed"}, RANDBETWEEN(1,4))</f>
        <v>HealthCorp</v>
      </c>
      <c r="E700">
        <f t="shared" ca="1" si="101"/>
        <v>19</v>
      </c>
      <c r="F700">
        <f t="shared" ca="1" si="102"/>
        <v>25</v>
      </c>
      <c r="G700">
        <f t="shared" ca="1" si="103"/>
        <v>1.73</v>
      </c>
      <c r="H700" s="1">
        <f t="shared" ca="1" si="104"/>
        <v>46336</v>
      </c>
      <c r="I700" s="1">
        <f t="shared" ca="1" si="105"/>
        <v>45990</v>
      </c>
      <c r="J700">
        <f t="shared" ca="1" si="106"/>
        <v>32.869999999999997</v>
      </c>
      <c r="K700" t="str">
        <f t="shared" ca="1" si="107"/>
        <v>Low Stock</v>
      </c>
      <c r="L700" s="2">
        <f t="shared" ca="1" si="108"/>
        <v>217</v>
      </c>
      <c r="M700" t="str">
        <f t="shared" ca="1" si="109"/>
        <v>Safe</v>
      </c>
    </row>
    <row r="701" spans="1:13" x14ac:dyDescent="0.25">
      <c r="A701" t="str">
        <f t="shared" si="100"/>
        <v>M700</v>
      </c>
      <c r="B701" t="str" cm="1">
        <f t="array" aca="1" ref="B701" ca="1">INDEX({"Paracetamol","Amoxicillin","Ibuprofen","Cetirizine","Metformin","Amlodipine","Omeprazole","Azithromycin","Losartan","Vitamin C"}, RANDBETWEEN(1,10))</f>
        <v>Metformin</v>
      </c>
      <c r="C701" t="str" cm="1">
        <f t="array" aca="1" ref="C701" ca="1">INDEX({"Painkiller","Antibiotic","Painkiller","Antihistamine","Diabetes","Hypertension","Antacid","Antibiotic","Hypertension","Supplement"},
MATCH(B701,{"Paracetamol","Amoxicillin","Ibuprofen","Cetirizine","Metformin","Amlodipine","Omeprazole","Azithromycin","Losartan","Vitamin C"},0))</f>
        <v>Diabetes</v>
      </c>
      <c r="D701" t="str" cm="1">
        <f t="array" aca="1" ref="D701" ca="1">INDEX({"MedSupply Co","HealthCorp","PharmaPlus","GlobalMed"}, RANDBETWEEN(1,4))</f>
        <v>HealthCorp</v>
      </c>
      <c r="E701">
        <f t="shared" ca="1" si="101"/>
        <v>113</v>
      </c>
      <c r="F701">
        <f t="shared" ca="1" si="102"/>
        <v>64</v>
      </c>
      <c r="G701">
        <f t="shared" ca="1" si="103"/>
        <v>1.36</v>
      </c>
      <c r="H701" s="1">
        <f t="shared" ca="1" si="104"/>
        <v>46218</v>
      </c>
      <c r="I701" s="1">
        <f t="shared" ca="1" si="105"/>
        <v>46009</v>
      </c>
      <c r="J701">
        <f t="shared" ca="1" si="106"/>
        <v>153.68</v>
      </c>
      <c r="K701" t="str">
        <f t="shared" ca="1" si="107"/>
        <v>In Stock</v>
      </c>
      <c r="L701" s="2">
        <f t="shared" ca="1" si="108"/>
        <v>99</v>
      </c>
      <c r="M701" t="str">
        <f t="shared" ca="1" si="109"/>
        <v>Safe</v>
      </c>
    </row>
    <row r="702" spans="1:13" x14ac:dyDescent="0.25">
      <c r="A702" t="str">
        <f t="shared" si="100"/>
        <v>M701</v>
      </c>
      <c r="B702" t="str" cm="1">
        <f t="array" aca="1" ref="B702" ca="1">INDEX({"Paracetamol","Amoxicillin","Ibuprofen","Cetirizine","Metformin","Amlodipine","Omeprazole","Azithromycin","Losartan","Vitamin C"}, RANDBETWEEN(1,10))</f>
        <v>Cetirizine</v>
      </c>
      <c r="C702" t="str" cm="1">
        <f t="array" aca="1" ref="C702" ca="1">INDEX({"Painkiller","Antibiotic","Painkiller","Antihistamine","Diabetes","Hypertension","Antacid","Antibiotic","Hypertension","Supplement"},
MATCH(B702,{"Paracetamol","Amoxicillin","Ibuprofen","Cetirizine","Metformin","Amlodipine","Omeprazole","Azithromycin","Losartan","Vitamin C"},0))</f>
        <v>Antihistamine</v>
      </c>
      <c r="D702" t="str" cm="1">
        <f t="array" aca="1" ref="D702" ca="1">INDEX({"MedSupply Co","HealthCorp","PharmaPlus","GlobalMed"}, RANDBETWEEN(1,4))</f>
        <v>PharmaPlus</v>
      </c>
      <c r="E702">
        <f t="shared" ca="1" si="101"/>
        <v>45</v>
      </c>
      <c r="F702">
        <f t="shared" ca="1" si="102"/>
        <v>35</v>
      </c>
      <c r="G702">
        <f t="shared" ca="1" si="103"/>
        <v>0.6</v>
      </c>
      <c r="H702" s="1">
        <f t="shared" ca="1" si="104"/>
        <v>46154</v>
      </c>
      <c r="I702" s="1">
        <f t="shared" ca="1" si="105"/>
        <v>46024</v>
      </c>
      <c r="J702">
        <f t="shared" ca="1" si="106"/>
        <v>27</v>
      </c>
      <c r="K702" t="str">
        <f t="shared" ca="1" si="107"/>
        <v>In Stock</v>
      </c>
      <c r="L702" s="2">
        <f t="shared" ca="1" si="108"/>
        <v>35</v>
      </c>
      <c r="M702" t="str">
        <f t="shared" ca="1" si="109"/>
        <v>Safe</v>
      </c>
    </row>
    <row r="703" spans="1:13" x14ac:dyDescent="0.25">
      <c r="A703" t="str">
        <f t="shared" si="100"/>
        <v>M702</v>
      </c>
      <c r="B703" t="str" cm="1">
        <f t="array" aca="1" ref="B703" ca="1">INDEX({"Paracetamol","Amoxicillin","Ibuprofen","Cetirizine","Metformin","Amlodipine","Omeprazole","Azithromycin","Losartan","Vitamin C"}, RANDBETWEEN(1,10))</f>
        <v>Paracetamol</v>
      </c>
      <c r="C703" t="str" cm="1">
        <f t="array" aca="1" ref="C703" ca="1">INDEX({"Painkiller","Antibiotic","Painkiller","Antihistamine","Diabetes","Hypertension","Antacid","Antibiotic","Hypertension","Supplement"},
MATCH(B703,{"Paracetamol","Amoxicillin","Ibuprofen","Cetirizine","Metformin","Amlodipine","Omeprazole","Azithromycin","Losartan","Vitamin C"},0))</f>
        <v>Painkiller</v>
      </c>
      <c r="D703" t="str" cm="1">
        <f t="array" aca="1" ref="D703" ca="1">INDEX({"MedSupply Co","HealthCorp","PharmaPlus","GlobalMed"}, RANDBETWEEN(1,4))</f>
        <v>GlobalMed</v>
      </c>
      <c r="E703">
        <f t="shared" ca="1" si="101"/>
        <v>85</v>
      </c>
      <c r="F703">
        <f t="shared" ca="1" si="102"/>
        <v>60</v>
      </c>
      <c r="G703">
        <f t="shared" ca="1" si="103"/>
        <v>0.89</v>
      </c>
      <c r="H703" s="1">
        <f t="shared" ca="1" si="104"/>
        <v>46362</v>
      </c>
      <c r="I703" s="1">
        <f t="shared" ca="1" si="105"/>
        <v>46054</v>
      </c>
      <c r="J703">
        <f t="shared" ca="1" si="106"/>
        <v>75.650000000000006</v>
      </c>
      <c r="K703" t="str">
        <f t="shared" ca="1" si="107"/>
        <v>In Stock</v>
      </c>
      <c r="L703" s="2">
        <f t="shared" ca="1" si="108"/>
        <v>243</v>
      </c>
      <c r="M703" t="str">
        <f t="shared" ca="1" si="109"/>
        <v>Safe</v>
      </c>
    </row>
    <row r="704" spans="1:13" x14ac:dyDescent="0.25">
      <c r="A704" t="str">
        <f t="shared" si="100"/>
        <v>M703</v>
      </c>
      <c r="B704" t="str" cm="1">
        <f t="array" aca="1" ref="B704" ca="1">INDEX({"Paracetamol","Amoxicillin","Ibuprofen","Cetirizine","Metformin","Amlodipine","Omeprazole","Azithromycin","Losartan","Vitamin C"}, RANDBETWEEN(1,10))</f>
        <v>Losartan</v>
      </c>
      <c r="C704" t="str" cm="1">
        <f t="array" aca="1" ref="C704" ca="1">INDEX({"Painkiller","Antibiotic","Painkiller","Antihistamine","Diabetes","Hypertension","Antacid","Antibiotic","Hypertension","Supplement"},
MATCH(B704,{"Paracetamol","Amoxicillin","Ibuprofen","Cetirizine","Metformin","Amlodipine","Omeprazole","Azithromycin","Losartan","Vitamin C"},0))</f>
        <v>Hypertension</v>
      </c>
      <c r="D704" t="str" cm="1">
        <f t="array" aca="1" ref="D704" ca="1">INDEX({"MedSupply Co","HealthCorp","PharmaPlus","GlobalMed"}, RANDBETWEEN(1,4))</f>
        <v>GlobalMed</v>
      </c>
      <c r="E704">
        <f t="shared" ca="1" si="101"/>
        <v>72</v>
      </c>
      <c r="F704">
        <f t="shared" ca="1" si="102"/>
        <v>25</v>
      </c>
      <c r="G704">
        <f t="shared" ca="1" si="103"/>
        <v>0.5</v>
      </c>
      <c r="H704" s="1">
        <f t="shared" ca="1" si="104"/>
        <v>46299</v>
      </c>
      <c r="I704" s="1">
        <f t="shared" ca="1" si="105"/>
        <v>46091</v>
      </c>
      <c r="J704">
        <f t="shared" ca="1" si="106"/>
        <v>36</v>
      </c>
      <c r="K704" t="str">
        <f t="shared" ca="1" si="107"/>
        <v>In Stock</v>
      </c>
      <c r="L704" s="2">
        <f t="shared" ca="1" si="108"/>
        <v>180</v>
      </c>
      <c r="M704" t="str">
        <f t="shared" ca="1" si="109"/>
        <v>Safe</v>
      </c>
    </row>
    <row r="705" spans="1:13" x14ac:dyDescent="0.25">
      <c r="A705" t="str">
        <f t="shared" si="100"/>
        <v>M704</v>
      </c>
      <c r="B705" t="str" cm="1">
        <f t="array" aca="1" ref="B705" ca="1">INDEX({"Paracetamol","Amoxicillin","Ibuprofen","Cetirizine","Metformin","Amlodipine","Omeprazole","Azithromycin","Losartan","Vitamin C"}, RANDBETWEEN(1,10))</f>
        <v>Azithromycin</v>
      </c>
      <c r="C705" t="str" cm="1">
        <f t="array" aca="1" ref="C705" ca="1">INDEX({"Painkiller","Antibiotic","Painkiller","Antihistamine","Diabetes","Hypertension","Antacid","Antibiotic","Hypertension","Supplement"},
MATCH(B705,{"Paracetamol","Amoxicillin","Ibuprofen","Cetirizine","Metformin","Amlodipine","Omeprazole","Azithromycin","Losartan","Vitamin C"},0))</f>
        <v>Antibiotic</v>
      </c>
      <c r="D705" t="str" cm="1">
        <f t="array" aca="1" ref="D705" ca="1">INDEX({"MedSupply Co","HealthCorp","PharmaPlus","GlobalMed"}, RANDBETWEEN(1,4))</f>
        <v>HealthCorp</v>
      </c>
      <c r="E705">
        <f t="shared" ca="1" si="101"/>
        <v>120</v>
      </c>
      <c r="F705">
        <f t="shared" ca="1" si="102"/>
        <v>44</v>
      </c>
      <c r="G705">
        <f t="shared" ca="1" si="103"/>
        <v>1.18</v>
      </c>
      <c r="H705" s="1">
        <f t="shared" ca="1" si="104"/>
        <v>46317</v>
      </c>
      <c r="I705" s="1">
        <f t="shared" ca="1" si="105"/>
        <v>46082</v>
      </c>
      <c r="J705">
        <f t="shared" ca="1" si="106"/>
        <v>141.6</v>
      </c>
      <c r="K705" t="str">
        <f t="shared" ca="1" si="107"/>
        <v>In Stock</v>
      </c>
      <c r="L705" s="2">
        <f t="shared" ca="1" si="108"/>
        <v>198</v>
      </c>
      <c r="M705" t="str">
        <f t="shared" ca="1" si="109"/>
        <v>Safe</v>
      </c>
    </row>
    <row r="706" spans="1:13" x14ac:dyDescent="0.25">
      <c r="A706" t="str">
        <f t="shared" si="100"/>
        <v>M705</v>
      </c>
      <c r="B706" t="str" cm="1">
        <f t="array" aca="1" ref="B706" ca="1">INDEX({"Paracetamol","Amoxicillin","Ibuprofen","Cetirizine","Metformin","Amlodipine","Omeprazole","Azithromycin","Losartan","Vitamin C"}, RANDBETWEEN(1,10))</f>
        <v>Omeprazole</v>
      </c>
      <c r="C706" t="str" cm="1">
        <f t="array" aca="1" ref="C706" ca="1">INDEX({"Painkiller","Antibiotic","Painkiller","Antihistamine","Diabetes","Hypertension","Antacid","Antibiotic","Hypertension","Supplement"},
MATCH(B706,{"Paracetamol","Amoxicillin","Ibuprofen","Cetirizine","Metformin","Amlodipine","Omeprazole","Azithromycin","Losartan","Vitamin C"},0))</f>
        <v>Antacid</v>
      </c>
      <c r="D706" t="str" cm="1">
        <f t="array" aca="1" ref="D706" ca="1">INDEX({"MedSupply Co","HealthCorp","PharmaPlus","GlobalMed"}, RANDBETWEEN(1,4))</f>
        <v>PharmaPlus</v>
      </c>
      <c r="E706">
        <f t="shared" ca="1" si="101"/>
        <v>52</v>
      </c>
      <c r="F706">
        <f t="shared" ca="1" si="102"/>
        <v>86</v>
      </c>
      <c r="G706">
        <f t="shared" ca="1" si="103"/>
        <v>1.79</v>
      </c>
      <c r="H706" s="1">
        <f t="shared" ca="1" si="104"/>
        <v>46414</v>
      </c>
      <c r="I706" s="1">
        <f t="shared" ca="1" si="105"/>
        <v>46099</v>
      </c>
      <c r="J706">
        <f t="shared" ca="1" si="106"/>
        <v>93.08</v>
      </c>
      <c r="K706" t="str">
        <f t="shared" ca="1" si="107"/>
        <v>Low Stock</v>
      </c>
      <c r="L706" s="2">
        <f t="shared" ca="1" si="108"/>
        <v>295</v>
      </c>
      <c r="M706" t="str">
        <f t="shared" ca="1" si="109"/>
        <v>Safe</v>
      </c>
    </row>
    <row r="707" spans="1:13" x14ac:dyDescent="0.25">
      <c r="A707" t="str">
        <f t="shared" ref="A707:A770" si="110">"M"&amp;TEXT(ROW(A706),"000")</f>
        <v>M706</v>
      </c>
      <c r="B707" t="str" cm="1">
        <f t="array" aca="1" ref="B707" ca="1">INDEX({"Paracetamol","Amoxicillin","Ibuprofen","Cetirizine","Metformin","Amlodipine","Omeprazole","Azithromycin","Losartan","Vitamin C"}, RANDBETWEEN(1,10))</f>
        <v>Paracetamol</v>
      </c>
      <c r="C707" t="str" cm="1">
        <f t="array" aca="1" ref="C707" ca="1">INDEX({"Painkiller","Antibiotic","Painkiller","Antihistamine","Diabetes","Hypertension","Antacid","Antibiotic","Hypertension","Supplement"},
MATCH(B707,{"Paracetamol","Amoxicillin","Ibuprofen","Cetirizine","Metformin","Amlodipine","Omeprazole","Azithromycin","Losartan","Vitamin C"},0))</f>
        <v>Painkiller</v>
      </c>
      <c r="D707" t="str" cm="1">
        <f t="array" aca="1" ref="D707" ca="1">INDEX({"MedSupply Co","HealthCorp","PharmaPlus","GlobalMed"}, RANDBETWEEN(1,4))</f>
        <v>HealthCorp</v>
      </c>
      <c r="E707">
        <f t="shared" ref="E707:E770" ca="1" si="111">RANDBETWEEN(0,200)</f>
        <v>37</v>
      </c>
      <c r="F707">
        <f t="shared" ref="F707:F770" ca="1" si="112">RANDBETWEEN(20,100)</f>
        <v>74</v>
      </c>
      <c r="G707">
        <f t="shared" ref="G707:G770" ca="1" si="113">ROUND(RANDBETWEEN(50,200)/100,2)</f>
        <v>1.83</v>
      </c>
      <c r="H707" s="1">
        <f t="shared" ref="H707:H770" ca="1" si="114">TODAY()+RANDBETWEEN(30,365)</f>
        <v>46345</v>
      </c>
      <c r="I707" s="1">
        <f t="shared" ref="I707:I770" ca="1" si="115">TODAY()-RANDBETWEEN(1,180)</f>
        <v>46013</v>
      </c>
      <c r="J707">
        <f t="shared" ref="J707:J770" ca="1" si="116">E707*G707</f>
        <v>67.710000000000008</v>
      </c>
      <c r="K707" t="str">
        <f t="shared" ref="K707:K770" ca="1" si="117">IF(E707=0,"Out of Stock",IF(E707&lt;F707,"Low Stock","In Stock"))</f>
        <v>Low Stock</v>
      </c>
      <c r="L707" s="2">
        <f t="shared" ref="L707:L770" ca="1" si="118">H707-TODAY()</f>
        <v>226</v>
      </c>
      <c r="M707" t="str">
        <f t="shared" ref="M707:M770" ca="1" si="119">IF(H707&lt;=TODAY()+30,"Expiring Soon","Safe")</f>
        <v>Safe</v>
      </c>
    </row>
    <row r="708" spans="1:13" x14ac:dyDescent="0.25">
      <c r="A708" t="str">
        <f t="shared" si="110"/>
        <v>M707</v>
      </c>
      <c r="B708" t="str" cm="1">
        <f t="array" aca="1" ref="B708" ca="1">INDEX({"Paracetamol","Amoxicillin","Ibuprofen","Cetirizine","Metformin","Amlodipine","Omeprazole","Azithromycin","Losartan","Vitamin C"}, RANDBETWEEN(1,10))</f>
        <v>Amlodipine</v>
      </c>
      <c r="C708" t="str" cm="1">
        <f t="array" aca="1" ref="C708" ca="1">INDEX({"Painkiller","Antibiotic","Painkiller","Antihistamine","Diabetes","Hypertension","Antacid","Antibiotic","Hypertension","Supplement"},
MATCH(B708,{"Paracetamol","Amoxicillin","Ibuprofen","Cetirizine","Metformin","Amlodipine","Omeprazole","Azithromycin","Losartan","Vitamin C"},0))</f>
        <v>Hypertension</v>
      </c>
      <c r="D708" t="str" cm="1">
        <f t="array" aca="1" ref="D708" ca="1">INDEX({"MedSupply Co","HealthCorp","PharmaPlus","GlobalMed"}, RANDBETWEEN(1,4))</f>
        <v>PharmaPlus</v>
      </c>
      <c r="E708">
        <f t="shared" ca="1" si="111"/>
        <v>90</v>
      </c>
      <c r="F708">
        <f t="shared" ca="1" si="112"/>
        <v>80</v>
      </c>
      <c r="G708">
        <f t="shared" ca="1" si="113"/>
        <v>0.56999999999999995</v>
      </c>
      <c r="H708" s="1">
        <f t="shared" ca="1" si="114"/>
        <v>46272</v>
      </c>
      <c r="I708" s="1">
        <f t="shared" ca="1" si="115"/>
        <v>46116</v>
      </c>
      <c r="J708">
        <f t="shared" ca="1" si="116"/>
        <v>51.3</v>
      </c>
      <c r="K708" t="str">
        <f t="shared" ca="1" si="117"/>
        <v>In Stock</v>
      </c>
      <c r="L708" s="2">
        <f t="shared" ca="1" si="118"/>
        <v>153</v>
      </c>
      <c r="M708" t="str">
        <f t="shared" ca="1" si="119"/>
        <v>Safe</v>
      </c>
    </row>
    <row r="709" spans="1:13" x14ac:dyDescent="0.25">
      <c r="A709" t="str">
        <f t="shared" si="110"/>
        <v>M708</v>
      </c>
      <c r="B709" t="str" cm="1">
        <f t="array" aca="1" ref="B709" ca="1">INDEX({"Paracetamol","Amoxicillin","Ibuprofen","Cetirizine","Metformin","Amlodipine","Omeprazole","Azithromycin","Losartan","Vitamin C"}, RANDBETWEEN(1,10))</f>
        <v>Azithromycin</v>
      </c>
      <c r="C709" t="str" cm="1">
        <f t="array" aca="1" ref="C709" ca="1">INDEX({"Painkiller","Antibiotic","Painkiller","Antihistamine","Diabetes","Hypertension","Antacid","Antibiotic","Hypertension","Supplement"},
MATCH(B709,{"Paracetamol","Amoxicillin","Ibuprofen","Cetirizine","Metformin","Amlodipine","Omeprazole","Azithromycin","Losartan","Vitamin C"},0))</f>
        <v>Antibiotic</v>
      </c>
      <c r="D709" t="str" cm="1">
        <f t="array" aca="1" ref="D709" ca="1">INDEX({"MedSupply Co","HealthCorp","PharmaPlus","GlobalMed"}, RANDBETWEEN(1,4))</f>
        <v>MedSupply Co</v>
      </c>
      <c r="E709">
        <f t="shared" ca="1" si="111"/>
        <v>119</v>
      </c>
      <c r="F709">
        <f t="shared" ca="1" si="112"/>
        <v>67</v>
      </c>
      <c r="G709">
        <f t="shared" ca="1" si="113"/>
        <v>0.51</v>
      </c>
      <c r="H709" s="1">
        <f t="shared" ca="1" si="114"/>
        <v>46317</v>
      </c>
      <c r="I709" s="1">
        <f t="shared" ca="1" si="115"/>
        <v>46045</v>
      </c>
      <c r="J709">
        <f t="shared" ca="1" si="116"/>
        <v>60.69</v>
      </c>
      <c r="K709" t="str">
        <f t="shared" ca="1" si="117"/>
        <v>In Stock</v>
      </c>
      <c r="L709" s="2">
        <f t="shared" ca="1" si="118"/>
        <v>198</v>
      </c>
      <c r="M709" t="str">
        <f t="shared" ca="1" si="119"/>
        <v>Safe</v>
      </c>
    </row>
    <row r="710" spans="1:13" x14ac:dyDescent="0.25">
      <c r="A710" t="str">
        <f t="shared" si="110"/>
        <v>M709</v>
      </c>
      <c r="B710" t="str" cm="1">
        <f t="array" aca="1" ref="B710" ca="1">INDEX({"Paracetamol","Amoxicillin","Ibuprofen","Cetirizine","Metformin","Amlodipine","Omeprazole","Azithromycin","Losartan","Vitamin C"}, RANDBETWEEN(1,10))</f>
        <v>Omeprazole</v>
      </c>
      <c r="C710" t="str" cm="1">
        <f t="array" aca="1" ref="C710" ca="1">INDEX({"Painkiller","Antibiotic","Painkiller","Antihistamine","Diabetes","Hypertension","Antacid","Antibiotic","Hypertension","Supplement"},
MATCH(B710,{"Paracetamol","Amoxicillin","Ibuprofen","Cetirizine","Metformin","Amlodipine","Omeprazole","Azithromycin","Losartan","Vitamin C"},0))</f>
        <v>Antacid</v>
      </c>
      <c r="D710" t="str" cm="1">
        <f t="array" aca="1" ref="D710" ca="1">INDEX({"MedSupply Co","HealthCorp","PharmaPlus","GlobalMed"}, RANDBETWEEN(1,4))</f>
        <v>PharmaPlus</v>
      </c>
      <c r="E710">
        <f t="shared" ca="1" si="111"/>
        <v>134</v>
      </c>
      <c r="F710">
        <f t="shared" ca="1" si="112"/>
        <v>94</v>
      </c>
      <c r="G710">
        <f t="shared" ca="1" si="113"/>
        <v>1.17</v>
      </c>
      <c r="H710" s="1">
        <f t="shared" ca="1" si="114"/>
        <v>46198</v>
      </c>
      <c r="I710" s="1">
        <f t="shared" ca="1" si="115"/>
        <v>46068</v>
      </c>
      <c r="J710">
        <f t="shared" ca="1" si="116"/>
        <v>156.78</v>
      </c>
      <c r="K710" t="str">
        <f t="shared" ca="1" si="117"/>
        <v>In Stock</v>
      </c>
      <c r="L710" s="2">
        <f t="shared" ca="1" si="118"/>
        <v>79</v>
      </c>
      <c r="M710" t="str">
        <f t="shared" ca="1" si="119"/>
        <v>Safe</v>
      </c>
    </row>
    <row r="711" spans="1:13" x14ac:dyDescent="0.25">
      <c r="A711" t="str">
        <f t="shared" si="110"/>
        <v>M710</v>
      </c>
      <c r="B711" t="str" cm="1">
        <f t="array" aca="1" ref="B711" ca="1">INDEX({"Paracetamol","Amoxicillin","Ibuprofen","Cetirizine","Metformin","Amlodipine","Omeprazole","Azithromycin","Losartan","Vitamin C"}, RANDBETWEEN(1,10))</f>
        <v>Amlodipine</v>
      </c>
      <c r="C711" t="str" cm="1">
        <f t="array" aca="1" ref="C711" ca="1">INDEX({"Painkiller","Antibiotic","Painkiller","Antihistamine","Diabetes","Hypertension","Antacid","Antibiotic","Hypertension","Supplement"},
MATCH(B711,{"Paracetamol","Amoxicillin","Ibuprofen","Cetirizine","Metformin","Amlodipine","Omeprazole","Azithromycin","Losartan","Vitamin C"},0))</f>
        <v>Hypertension</v>
      </c>
      <c r="D711" t="str" cm="1">
        <f t="array" aca="1" ref="D711" ca="1">INDEX({"MedSupply Co","HealthCorp","PharmaPlus","GlobalMed"}, RANDBETWEEN(1,4))</f>
        <v>GlobalMed</v>
      </c>
      <c r="E711">
        <f t="shared" ca="1" si="111"/>
        <v>155</v>
      </c>
      <c r="F711">
        <f t="shared" ca="1" si="112"/>
        <v>22</v>
      </c>
      <c r="G711">
        <f t="shared" ca="1" si="113"/>
        <v>0.88</v>
      </c>
      <c r="H711" s="1">
        <f t="shared" ca="1" si="114"/>
        <v>46224</v>
      </c>
      <c r="I711" s="1">
        <f t="shared" ca="1" si="115"/>
        <v>46077</v>
      </c>
      <c r="J711">
        <f t="shared" ca="1" si="116"/>
        <v>136.4</v>
      </c>
      <c r="K711" t="str">
        <f t="shared" ca="1" si="117"/>
        <v>In Stock</v>
      </c>
      <c r="L711" s="2">
        <f t="shared" ca="1" si="118"/>
        <v>105</v>
      </c>
      <c r="M711" t="str">
        <f t="shared" ca="1" si="119"/>
        <v>Safe</v>
      </c>
    </row>
    <row r="712" spans="1:13" x14ac:dyDescent="0.25">
      <c r="A712" t="str">
        <f t="shared" si="110"/>
        <v>M711</v>
      </c>
      <c r="B712" t="str" cm="1">
        <f t="array" aca="1" ref="B712" ca="1">INDEX({"Paracetamol","Amoxicillin","Ibuprofen","Cetirizine","Metformin","Amlodipine","Omeprazole","Azithromycin","Losartan","Vitamin C"}, RANDBETWEEN(1,10))</f>
        <v>Amoxicillin</v>
      </c>
      <c r="C712" t="str" cm="1">
        <f t="array" aca="1" ref="C712" ca="1">INDEX({"Painkiller","Antibiotic","Painkiller","Antihistamine","Diabetes","Hypertension","Antacid","Antibiotic","Hypertension","Supplement"},
MATCH(B712,{"Paracetamol","Amoxicillin","Ibuprofen","Cetirizine","Metformin","Amlodipine","Omeprazole","Azithromycin","Losartan","Vitamin C"},0))</f>
        <v>Antibiotic</v>
      </c>
      <c r="D712" t="str" cm="1">
        <f t="array" aca="1" ref="D712" ca="1">INDEX({"MedSupply Co","HealthCorp","PharmaPlus","GlobalMed"}, RANDBETWEEN(1,4))</f>
        <v>MedSupply Co</v>
      </c>
      <c r="E712">
        <f t="shared" ca="1" si="111"/>
        <v>173</v>
      </c>
      <c r="F712">
        <f t="shared" ca="1" si="112"/>
        <v>69</v>
      </c>
      <c r="G712">
        <f t="shared" ca="1" si="113"/>
        <v>1.23</v>
      </c>
      <c r="H712" s="1">
        <f t="shared" ca="1" si="114"/>
        <v>46393</v>
      </c>
      <c r="I712" s="1">
        <f t="shared" ca="1" si="115"/>
        <v>46096</v>
      </c>
      <c r="J712">
        <f t="shared" ca="1" si="116"/>
        <v>212.79</v>
      </c>
      <c r="K712" t="str">
        <f t="shared" ca="1" si="117"/>
        <v>In Stock</v>
      </c>
      <c r="L712" s="2">
        <f t="shared" ca="1" si="118"/>
        <v>274</v>
      </c>
      <c r="M712" t="str">
        <f t="shared" ca="1" si="119"/>
        <v>Safe</v>
      </c>
    </row>
    <row r="713" spans="1:13" x14ac:dyDescent="0.25">
      <c r="A713" t="str">
        <f t="shared" si="110"/>
        <v>M712</v>
      </c>
      <c r="B713" t="str" cm="1">
        <f t="array" aca="1" ref="B713" ca="1">INDEX({"Paracetamol","Amoxicillin","Ibuprofen","Cetirizine","Metformin","Amlodipine","Omeprazole","Azithromycin","Losartan","Vitamin C"}, RANDBETWEEN(1,10))</f>
        <v>Paracetamol</v>
      </c>
      <c r="C713" t="str" cm="1">
        <f t="array" aca="1" ref="C713" ca="1">INDEX({"Painkiller","Antibiotic","Painkiller","Antihistamine","Diabetes","Hypertension","Antacid","Antibiotic","Hypertension","Supplement"},
MATCH(B713,{"Paracetamol","Amoxicillin","Ibuprofen","Cetirizine","Metformin","Amlodipine","Omeprazole","Azithromycin","Losartan","Vitamin C"},0))</f>
        <v>Painkiller</v>
      </c>
      <c r="D713" t="str" cm="1">
        <f t="array" aca="1" ref="D713" ca="1">INDEX({"MedSupply Co","HealthCorp","PharmaPlus","GlobalMed"}, RANDBETWEEN(1,4))</f>
        <v>HealthCorp</v>
      </c>
      <c r="E713">
        <f t="shared" ca="1" si="111"/>
        <v>16</v>
      </c>
      <c r="F713">
        <f t="shared" ca="1" si="112"/>
        <v>65</v>
      </c>
      <c r="G713">
        <f t="shared" ca="1" si="113"/>
        <v>2</v>
      </c>
      <c r="H713" s="1">
        <f t="shared" ca="1" si="114"/>
        <v>46397</v>
      </c>
      <c r="I713" s="1">
        <f t="shared" ca="1" si="115"/>
        <v>46065</v>
      </c>
      <c r="J713">
        <f t="shared" ca="1" si="116"/>
        <v>32</v>
      </c>
      <c r="K713" t="str">
        <f t="shared" ca="1" si="117"/>
        <v>Low Stock</v>
      </c>
      <c r="L713" s="2">
        <f t="shared" ca="1" si="118"/>
        <v>278</v>
      </c>
      <c r="M713" t="str">
        <f t="shared" ca="1" si="119"/>
        <v>Safe</v>
      </c>
    </row>
    <row r="714" spans="1:13" x14ac:dyDescent="0.25">
      <c r="A714" t="str">
        <f t="shared" si="110"/>
        <v>M713</v>
      </c>
      <c r="B714" t="str" cm="1">
        <f t="array" aca="1" ref="B714" ca="1">INDEX({"Paracetamol","Amoxicillin","Ibuprofen","Cetirizine","Metformin","Amlodipine","Omeprazole","Azithromycin","Losartan","Vitamin C"}, RANDBETWEEN(1,10))</f>
        <v>Amoxicillin</v>
      </c>
      <c r="C714" t="str" cm="1">
        <f t="array" aca="1" ref="C714" ca="1">INDEX({"Painkiller","Antibiotic","Painkiller","Antihistamine","Diabetes","Hypertension","Antacid","Antibiotic","Hypertension","Supplement"},
MATCH(B714,{"Paracetamol","Amoxicillin","Ibuprofen","Cetirizine","Metformin","Amlodipine","Omeprazole","Azithromycin","Losartan","Vitamin C"},0))</f>
        <v>Antibiotic</v>
      </c>
      <c r="D714" t="str" cm="1">
        <f t="array" aca="1" ref="D714" ca="1">INDEX({"MedSupply Co","HealthCorp","PharmaPlus","GlobalMed"}, RANDBETWEEN(1,4))</f>
        <v>GlobalMed</v>
      </c>
      <c r="E714">
        <f t="shared" ca="1" si="111"/>
        <v>76</v>
      </c>
      <c r="F714">
        <f t="shared" ca="1" si="112"/>
        <v>96</v>
      </c>
      <c r="G714">
        <f t="shared" ca="1" si="113"/>
        <v>1.85</v>
      </c>
      <c r="H714" s="1">
        <f t="shared" ca="1" si="114"/>
        <v>46430</v>
      </c>
      <c r="I714" s="1">
        <f t="shared" ca="1" si="115"/>
        <v>45996</v>
      </c>
      <c r="J714">
        <f t="shared" ca="1" si="116"/>
        <v>140.6</v>
      </c>
      <c r="K714" t="str">
        <f t="shared" ca="1" si="117"/>
        <v>Low Stock</v>
      </c>
      <c r="L714" s="2">
        <f t="shared" ca="1" si="118"/>
        <v>311</v>
      </c>
      <c r="M714" t="str">
        <f t="shared" ca="1" si="119"/>
        <v>Safe</v>
      </c>
    </row>
    <row r="715" spans="1:13" x14ac:dyDescent="0.25">
      <c r="A715" t="str">
        <f t="shared" si="110"/>
        <v>M714</v>
      </c>
      <c r="B715" t="str" cm="1">
        <f t="array" aca="1" ref="B715" ca="1">INDEX({"Paracetamol","Amoxicillin","Ibuprofen","Cetirizine","Metformin","Amlodipine","Omeprazole","Azithromycin","Losartan","Vitamin C"}, RANDBETWEEN(1,10))</f>
        <v>Omeprazole</v>
      </c>
      <c r="C715" t="str" cm="1">
        <f t="array" aca="1" ref="C715" ca="1">INDEX({"Painkiller","Antibiotic","Painkiller","Antihistamine","Diabetes","Hypertension","Antacid","Antibiotic","Hypertension","Supplement"},
MATCH(B715,{"Paracetamol","Amoxicillin","Ibuprofen","Cetirizine","Metformin","Amlodipine","Omeprazole","Azithromycin","Losartan","Vitamin C"},0))</f>
        <v>Antacid</v>
      </c>
      <c r="D715" t="str" cm="1">
        <f t="array" aca="1" ref="D715" ca="1">INDEX({"MedSupply Co","HealthCorp","PharmaPlus","GlobalMed"}, RANDBETWEEN(1,4))</f>
        <v>GlobalMed</v>
      </c>
      <c r="E715">
        <f t="shared" ca="1" si="111"/>
        <v>144</v>
      </c>
      <c r="F715">
        <f t="shared" ca="1" si="112"/>
        <v>45</v>
      </c>
      <c r="G715">
        <f t="shared" ca="1" si="113"/>
        <v>1.79</v>
      </c>
      <c r="H715" s="1">
        <f t="shared" ca="1" si="114"/>
        <v>46373</v>
      </c>
      <c r="I715" s="1">
        <f t="shared" ca="1" si="115"/>
        <v>46090</v>
      </c>
      <c r="J715">
        <f t="shared" ca="1" si="116"/>
        <v>257.76</v>
      </c>
      <c r="K715" t="str">
        <f t="shared" ca="1" si="117"/>
        <v>In Stock</v>
      </c>
      <c r="L715" s="2">
        <f t="shared" ca="1" si="118"/>
        <v>254</v>
      </c>
      <c r="M715" t="str">
        <f t="shared" ca="1" si="119"/>
        <v>Safe</v>
      </c>
    </row>
    <row r="716" spans="1:13" x14ac:dyDescent="0.25">
      <c r="A716" t="str">
        <f t="shared" si="110"/>
        <v>M715</v>
      </c>
      <c r="B716" t="str" cm="1">
        <f t="array" aca="1" ref="B716" ca="1">INDEX({"Paracetamol","Amoxicillin","Ibuprofen","Cetirizine","Metformin","Amlodipine","Omeprazole","Azithromycin","Losartan","Vitamin C"}, RANDBETWEEN(1,10))</f>
        <v>Azithromycin</v>
      </c>
      <c r="C716" t="str" cm="1">
        <f t="array" aca="1" ref="C716" ca="1">INDEX({"Painkiller","Antibiotic","Painkiller","Antihistamine","Diabetes","Hypertension","Antacid","Antibiotic","Hypertension","Supplement"},
MATCH(B716,{"Paracetamol","Amoxicillin","Ibuprofen","Cetirizine","Metformin","Amlodipine","Omeprazole","Azithromycin","Losartan","Vitamin C"},0))</f>
        <v>Antibiotic</v>
      </c>
      <c r="D716" t="str" cm="1">
        <f t="array" aca="1" ref="D716" ca="1">INDEX({"MedSupply Co","HealthCorp","PharmaPlus","GlobalMed"}, RANDBETWEEN(1,4))</f>
        <v>MedSupply Co</v>
      </c>
      <c r="E716">
        <f t="shared" ca="1" si="111"/>
        <v>161</v>
      </c>
      <c r="F716">
        <f t="shared" ca="1" si="112"/>
        <v>27</v>
      </c>
      <c r="G716">
        <f t="shared" ca="1" si="113"/>
        <v>1.7</v>
      </c>
      <c r="H716" s="1">
        <f t="shared" ca="1" si="114"/>
        <v>46212</v>
      </c>
      <c r="I716" s="1">
        <f t="shared" ca="1" si="115"/>
        <v>45969</v>
      </c>
      <c r="J716">
        <f t="shared" ca="1" si="116"/>
        <v>273.7</v>
      </c>
      <c r="K716" t="str">
        <f t="shared" ca="1" si="117"/>
        <v>In Stock</v>
      </c>
      <c r="L716" s="2">
        <f t="shared" ca="1" si="118"/>
        <v>93</v>
      </c>
      <c r="M716" t="str">
        <f t="shared" ca="1" si="119"/>
        <v>Safe</v>
      </c>
    </row>
    <row r="717" spans="1:13" x14ac:dyDescent="0.25">
      <c r="A717" t="str">
        <f t="shared" si="110"/>
        <v>M716</v>
      </c>
      <c r="B717" t="str" cm="1">
        <f t="array" aca="1" ref="B717" ca="1">INDEX({"Paracetamol","Amoxicillin","Ibuprofen","Cetirizine","Metformin","Amlodipine","Omeprazole","Azithromycin","Losartan","Vitamin C"}, RANDBETWEEN(1,10))</f>
        <v>Omeprazole</v>
      </c>
      <c r="C717" t="str" cm="1">
        <f t="array" aca="1" ref="C717" ca="1">INDEX({"Painkiller","Antibiotic","Painkiller","Antihistamine","Diabetes","Hypertension","Antacid","Antibiotic","Hypertension","Supplement"},
MATCH(B717,{"Paracetamol","Amoxicillin","Ibuprofen","Cetirizine","Metformin","Amlodipine","Omeprazole","Azithromycin","Losartan","Vitamin C"},0))</f>
        <v>Antacid</v>
      </c>
      <c r="D717" t="str" cm="1">
        <f t="array" aca="1" ref="D717" ca="1">INDEX({"MedSupply Co","HealthCorp","PharmaPlus","GlobalMed"}, RANDBETWEEN(1,4))</f>
        <v>MedSupply Co</v>
      </c>
      <c r="E717">
        <f t="shared" ca="1" si="111"/>
        <v>30</v>
      </c>
      <c r="F717">
        <f t="shared" ca="1" si="112"/>
        <v>99</v>
      </c>
      <c r="G717">
        <f t="shared" ca="1" si="113"/>
        <v>1.02</v>
      </c>
      <c r="H717" s="1">
        <f t="shared" ca="1" si="114"/>
        <v>46473</v>
      </c>
      <c r="I717" s="1">
        <f t="shared" ca="1" si="115"/>
        <v>46101</v>
      </c>
      <c r="J717">
        <f t="shared" ca="1" si="116"/>
        <v>30.6</v>
      </c>
      <c r="K717" t="str">
        <f t="shared" ca="1" si="117"/>
        <v>Low Stock</v>
      </c>
      <c r="L717" s="2">
        <f t="shared" ca="1" si="118"/>
        <v>354</v>
      </c>
      <c r="M717" t="str">
        <f t="shared" ca="1" si="119"/>
        <v>Safe</v>
      </c>
    </row>
    <row r="718" spans="1:13" x14ac:dyDescent="0.25">
      <c r="A718" t="str">
        <f t="shared" si="110"/>
        <v>M717</v>
      </c>
      <c r="B718" t="str" cm="1">
        <f t="array" aca="1" ref="B718" ca="1">INDEX({"Paracetamol","Amoxicillin","Ibuprofen","Cetirizine","Metformin","Amlodipine","Omeprazole","Azithromycin","Losartan","Vitamin C"}, RANDBETWEEN(1,10))</f>
        <v>Paracetamol</v>
      </c>
      <c r="C718" t="str" cm="1">
        <f t="array" aca="1" ref="C718" ca="1">INDEX({"Painkiller","Antibiotic","Painkiller","Antihistamine","Diabetes","Hypertension","Antacid","Antibiotic","Hypertension","Supplement"},
MATCH(B718,{"Paracetamol","Amoxicillin","Ibuprofen","Cetirizine","Metformin","Amlodipine","Omeprazole","Azithromycin","Losartan","Vitamin C"},0))</f>
        <v>Painkiller</v>
      </c>
      <c r="D718" t="str" cm="1">
        <f t="array" aca="1" ref="D718" ca="1">INDEX({"MedSupply Co","HealthCorp","PharmaPlus","GlobalMed"}, RANDBETWEEN(1,4))</f>
        <v>PharmaPlus</v>
      </c>
      <c r="E718">
        <f t="shared" ca="1" si="111"/>
        <v>131</v>
      </c>
      <c r="F718">
        <f t="shared" ca="1" si="112"/>
        <v>77</v>
      </c>
      <c r="G718">
        <f t="shared" ca="1" si="113"/>
        <v>1.07</v>
      </c>
      <c r="H718" s="1">
        <f t="shared" ca="1" si="114"/>
        <v>46311</v>
      </c>
      <c r="I718" s="1">
        <f t="shared" ca="1" si="115"/>
        <v>46086</v>
      </c>
      <c r="J718">
        <f t="shared" ca="1" si="116"/>
        <v>140.17000000000002</v>
      </c>
      <c r="K718" t="str">
        <f t="shared" ca="1" si="117"/>
        <v>In Stock</v>
      </c>
      <c r="L718" s="2">
        <f t="shared" ca="1" si="118"/>
        <v>192</v>
      </c>
      <c r="M718" t="str">
        <f t="shared" ca="1" si="119"/>
        <v>Safe</v>
      </c>
    </row>
    <row r="719" spans="1:13" x14ac:dyDescent="0.25">
      <c r="A719" t="str">
        <f t="shared" si="110"/>
        <v>M718</v>
      </c>
      <c r="B719" t="str" cm="1">
        <f t="array" aca="1" ref="B719" ca="1">INDEX({"Paracetamol","Amoxicillin","Ibuprofen","Cetirizine","Metformin","Amlodipine","Omeprazole","Azithromycin","Losartan","Vitamin C"}, RANDBETWEEN(1,10))</f>
        <v>Cetirizine</v>
      </c>
      <c r="C719" t="str" cm="1">
        <f t="array" aca="1" ref="C719" ca="1">INDEX({"Painkiller","Antibiotic","Painkiller","Antihistamine","Diabetes","Hypertension","Antacid","Antibiotic","Hypertension","Supplement"},
MATCH(B719,{"Paracetamol","Amoxicillin","Ibuprofen","Cetirizine","Metformin","Amlodipine","Omeprazole","Azithromycin","Losartan","Vitamin C"},0))</f>
        <v>Antihistamine</v>
      </c>
      <c r="D719" t="str" cm="1">
        <f t="array" aca="1" ref="D719" ca="1">INDEX({"MedSupply Co","HealthCorp","PharmaPlus","GlobalMed"}, RANDBETWEEN(1,4))</f>
        <v>PharmaPlus</v>
      </c>
      <c r="E719">
        <f t="shared" ca="1" si="111"/>
        <v>186</v>
      </c>
      <c r="F719">
        <f t="shared" ca="1" si="112"/>
        <v>63</v>
      </c>
      <c r="G719">
        <f t="shared" ca="1" si="113"/>
        <v>1</v>
      </c>
      <c r="H719" s="1">
        <f t="shared" ca="1" si="114"/>
        <v>46159</v>
      </c>
      <c r="I719" s="1">
        <f t="shared" ca="1" si="115"/>
        <v>46003</v>
      </c>
      <c r="J719">
        <f t="shared" ca="1" si="116"/>
        <v>186</v>
      </c>
      <c r="K719" t="str">
        <f t="shared" ca="1" si="117"/>
        <v>In Stock</v>
      </c>
      <c r="L719" s="2">
        <f t="shared" ca="1" si="118"/>
        <v>40</v>
      </c>
      <c r="M719" t="str">
        <f t="shared" ca="1" si="119"/>
        <v>Safe</v>
      </c>
    </row>
    <row r="720" spans="1:13" x14ac:dyDescent="0.25">
      <c r="A720" t="str">
        <f t="shared" si="110"/>
        <v>M719</v>
      </c>
      <c r="B720" t="str" cm="1">
        <f t="array" aca="1" ref="B720" ca="1">INDEX({"Paracetamol","Amoxicillin","Ibuprofen","Cetirizine","Metformin","Amlodipine","Omeprazole","Azithromycin","Losartan","Vitamin C"}, RANDBETWEEN(1,10))</f>
        <v>Metformin</v>
      </c>
      <c r="C720" t="str" cm="1">
        <f t="array" aca="1" ref="C720" ca="1">INDEX({"Painkiller","Antibiotic","Painkiller","Antihistamine","Diabetes","Hypertension","Antacid","Antibiotic","Hypertension","Supplement"},
MATCH(B720,{"Paracetamol","Amoxicillin","Ibuprofen","Cetirizine","Metformin","Amlodipine","Omeprazole","Azithromycin","Losartan","Vitamin C"},0))</f>
        <v>Diabetes</v>
      </c>
      <c r="D720" t="str" cm="1">
        <f t="array" aca="1" ref="D720" ca="1">INDEX({"MedSupply Co","HealthCorp","PharmaPlus","GlobalMed"}, RANDBETWEEN(1,4))</f>
        <v>HealthCorp</v>
      </c>
      <c r="E720">
        <f t="shared" ca="1" si="111"/>
        <v>112</v>
      </c>
      <c r="F720">
        <f t="shared" ca="1" si="112"/>
        <v>98</v>
      </c>
      <c r="G720">
        <f t="shared" ca="1" si="113"/>
        <v>1.32</v>
      </c>
      <c r="H720" s="1">
        <f t="shared" ca="1" si="114"/>
        <v>46382</v>
      </c>
      <c r="I720" s="1">
        <f t="shared" ca="1" si="115"/>
        <v>46048</v>
      </c>
      <c r="J720">
        <f t="shared" ca="1" si="116"/>
        <v>147.84</v>
      </c>
      <c r="K720" t="str">
        <f t="shared" ca="1" si="117"/>
        <v>In Stock</v>
      </c>
      <c r="L720" s="2">
        <f t="shared" ca="1" si="118"/>
        <v>263</v>
      </c>
      <c r="M720" t="str">
        <f t="shared" ca="1" si="119"/>
        <v>Safe</v>
      </c>
    </row>
    <row r="721" spans="1:13" x14ac:dyDescent="0.25">
      <c r="A721" t="str">
        <f t="shared" si="110"/>
        <v>M720</v>
      </c>
      <c r="B721" t="str" cm="1">
        <f t="array" aca="1" ref="B721" ca="1">INDEX({"Paracetamol","Amoxicillin","Ibuprofen","Cetirizine","Metformin","Amlodipine","Omeprazole","Azithromycin","Losartan","Vitamin C"}, RANDBETWEEN(1,10))</f>
        <v>Amoxicillin</v>
      </c>
      <c r="C721" t="str" cm="1">
        <f t="array" aca="1" ref="C721" ca="1">INDEX({"Painkiller","Antibiotic","Painkiller","Antihistamine","Diabetes","Hypertension","Antacid","Antibiotic","Hypertension","Supplement"},
MATCH(B721,{"Paracetamol","Amoxicillin","Ibuprofen","Cetirizine","Metformin","Amlodipine","Omeprazole","Azithromycin","Losartan","Vitamin C"},0))</f>
        <v>Antibiotic</v>
      </c>
      <c r="D721" t="str" cm="1">
        <f t="array" aca="1" ref="D721" ca="1">INDEX({"MedSupply Co","HealthCorp","PharmaPlus","GlobalMed"}, RANDBETWEEN(1,4))</f>
        <v>HealthCorp</v>
      </c>
      <c r="E721">
        <f t="shared" ca="1" si="111"/>
        <v>72</v>
      </c>
      <c r="F721">
        <f t="shared" ca="1" si="112"/>
        <v>57</v>
      </c>
      <c r="G721">
        <f t="shared" ca="1" si="113"/>
        <v>1.29</v>
      </c>
      <c r="H721" s="1">
        <f t="shared" ca="1" si="114"/>
        <v>46203</v>
      </c>
      <c r="I721" s="1">
        <f t="shared" ca="1" si="115"/>
        <v>46073</v>
      </c>
      <c r="J721">
        <f t="shared" ca="1" si="116"/>
        <v>92.88</v>
      </c>
      <c r="K721" t="str">
        <f t="shared" ca="1" si="117"/>
        <v>In Stock</v>
      </c>
      <c r="L721" s="2">
        <f t="shared" ca="1" si="118"/>
        <v>84</v>
      </c>
      <c r="M721" t="str">
        <f t="shared" ca="1" si="119"/>
        <v>Safe</v>
      </c>
    </row>
    <row r="722" spans="1:13" x14ac:dyDescent="0.25">
      <c r="A722" t="str">
        <f t="shared" si="110"/>
        <v>M721</v>
      </c>
      <c r="B722" t="str" cm="1">
        <f t="array" aca="1" ref="B722" ca="1">INDEX({"Paracetamol","Amoxicillin","Ibuprofen","Cetirizine","Metformin","Amlodipine","Omeprazole","Azithromycin","Losartan","Vitamin C"}, RANDBETWEEN(1,10))</f>
        <v>Ibuprofen</v>
      </c>
      <c r="C722" t="str" cm="1">
        <f t="array" aca="1" ref="C722" ca="1">INDEX({"Painkiller","Antibiotic","Painkiller","Antihistamine","Diabetes","Hypertension","Antacid","Antibiotic","Hypertension","Supplement"},
MATCH(B722,{"Paracetamol","Amoxicillin","Ibuprofen","Cetirizine","Metformin","Amlodipine","Omeprazole","Azithromycin","Losartan","Vitamin C"},0))</f>
        <v>Painkiller</v>
      </c>
      <c r="D722" t="str" cm="1">
        <f t="array" aca="1" ref="D722" ca="1">INDEX({"MedSupply Co","HealthCorp","PharmaPlus","GlobalMed"}, RANDBETWEEN(1,4))</f>
        <v>HealthCorp</v>
      </c>
      <c r="E722">
        <f t="shared" ca="1" si="111"/>
        <v>89</v>
      </c>
      <c r="F722">
        <f t="shared" ca="1" si="112"/>
        <v>36</v>
      </c>
      <c r="G722">
        <f t="shared" ca="1" si="113"/>
        <v>0.67</v>
      </c>
      <c r="H722" s="1">
        <f t="shared" ca="1" si="114"/>
        <v>46452</v>
      </c>
      <c r="I722" s="1">
        <f t="shared" ca="1" si="115"/>
        <v>46060</v>
      </c>
      <c r="J722">
        <f t="shared" ca="1" si="116"/>
        <v>59.63</v>
      </c>
      <c r="K722" t="str">
        <f t="shared" ca="1" si="117"/>
        <v>In Stock</v>
      </c>
      <c r="L722" s="2">
        <f t="shared" ca="1" si="118"/>
        <v>333</v>
      </c>
      <c r="M722" t="str">
        <f t="shared" ca="1" si="119"/>
        <v>Safe</v>
      </c>
    </row>
    <row r="723" spans="1:13" x14ac:dyDescent="0.25">
      <c r="A723" t="str">
        <f t="shared" si="110"/>
        <v>M722</v>
      </c>
      <c r="B723" t="str" cm="1">
        <f t="array" aca="1" ref="B723" ca="1">INDEX({"Paracetamol","Amoxicillin","Ibuprofen","Cetirizine","Metformin","Amlodipine","Omeprazole","Azithromycin","Losartan","Vitamin C"}, RANDBETWEEN(1,10))</f>
        <v>Omeprazole</v>
      </c>
      <c r="C723" t="str" cm="1">
        <f t="array" aca="1" ref="C723" ca="1">INDEX({"Painkiller","Antibiotic","Painkiller","Antihistamine","Diabetes","Hypertension","Antacid","Antibiotic","Hypertension","Supplement"},
MATCH(B723,{"Paracetamol","Amoxicillin","Ibuprofen","Cetirizine","Metformin","Amlodipine","Omeprazole","Azithromycin","Losartan","Vitamin C"},0))</f>
        <v>Antacid</v>
      </c>
      <c r="D723" t="str" cm="1">
        <f t="array" aca="1" ref="D723" ca="1">INDEX({"MedSupply Co","HealthCorp","PharmaPlus","GlobalMed"}, RANDBETWEEN(1,4))</f>
        <v>HealthCorp</v>
      </c>
      <c r="E723">
        <f t="shared" ca="1" si="111"/>
        <v>176</v>
      </c>
      <c r="F723">
        <f t="shared" ca="1" si="112"/>
        <v>52</v>
      </c>
      <c r="G723">
        <f t="shared" ca="1" si="113"/>
        <v>1.46</v>
      </c>
      <c r="H723" s="1">
        <f t="shared" ca="1" si="114"/>
        <v>46311</v>
      </c>
      <c r="I723" s="1">
        <f t="shared" ca="1" si="115"/>
        <v>46073</v>
      </c>
      <c r="J723">
        <f t="shared" ca="1" si="116"/>
        <v>256.95999999999998</v>
      </c>
      <c r="K723" t="str">
        <f t="shared" ca="1" si="117"/>
        <v>In Stock</v>
      </c>
      <c r="L723" s="2">
        <f t="shared" ca="1" si="118"/>
        <v>192</v>
      </c>
      <c r="M723" t="str">
        <f t="shared" ca="1" si="119"/>
        <v>Safe</v>
      </c>
    </row>
    <row r="724" spans="1:13" x14ac:dyDescent="0.25">
      <c r="A724" t="str">
        <f t="shared" si="110"/>
        <v>M723</v>
      </c>
      <c r="B724" t="str" cm="1">
        <f t="array" aca="1" ref="B724" ca="1">INDEX({"Paracetamol","Amoxicillin","Ibuprofen","Cetirizine","Metformin","Amlodipine","Omeprazole","Azithromycin","Losartan","Vitamin C"}, RANDBETWEEN(1,10))</f>
        <v>Vitamin C</v>
      </c>
      <c r="C724" t="str" cm="1">
        <f t="array" aca="1" ref="C724" ca="1">INDEX({"Painkiller","Antibiotic","Painkiller","Antihistamine","Diabetes","Hypertension","Antacid","Antibiotic","Hypertension","Supplement"},
MATCH(B724,{"Paracetamol","Amoxicillin","Ibuprofen","Cetirizine","Metformin","Amlodipine","Omeprazole","Azithromycin","Losartan","Vitamin C"},0))</f>
        <v>Supplement</v>
      </c>
      <c r="D724" t="str" cm="1">
        <f t="array" aca="1" ref="D724" ca="1">INDEX({"MedSupply Co","HealthCorp","PharmaPlus","GlobalMed"}, RANDBETWEEN(1,4))</f>
        <v>PharmaPlus</v>
      </c>
      <c r="E724">
        <f t="shared" ca="1" si="111"/>
        <v>49</v>
      </c>
      <c r="F724">
        <f t="shared" ca="1" si="112"/>
        <v>42</v>
      </c>
      <c r="G724">
        <f t="shared" ca="1" si="113"/>
        <v>0.52</v>
      </c>
      <c r="H724" s="1">
        <f t="shared" ca="1" si="114"/>
        <v>46400</v>
      </c>
      <c r="I724" s="1">
        <f t="shared" ca="1" si="115"/>
        <v>46072</v>
      </c>
      <c r="J724">
        <f t="shared" ca="1" si="116"/>
        <v>25.48</v>
      </c>
      <c r="K724" t="str">
        <f t="shared" ca="1" si="117"/>
        <v>In Stock</v>
      </c>
      <c r="L724" s="2">
        <f t="shared" ca="1" si="118"/>
        <v>281</v>
      </c>
      <c r="M724" t="str">
        <f t="shared" ca="1" si="119"/>
        <v>Safe</v>
      </c>
    </row>
    <row r="725" spans="1:13" x14ac:dyDescent="0.25">
      <c r="A725" t="str">
        <f t="shared" si="110"/>
        <v>M724</v>
      </c>
      <c r="B725" t="str" cm="1">
        <f t="array" aca="1" ref="B725" ca="1">INDEX({"Paracetamol","Amoxicillin","Ibuprofen","Cetirizine","Metformin","Amlodipine","Omeprazole","Azithromycin","Losartan","Vitamin C"}, RANDBETWEEN(1,10))</f>
        <v>Paracetamol</v>
      </c>
      <c r="C725" t="str" cm="1">
        <f t="array" aca="1" ref="C725" ca="1">INDEX({"Painkiller","Antibiotic","Painkiller","Antihistamine","Diabetes","Hypertension","Antacid","Antibiotic","Hypertension","Supplement"},
MATCH(B725,{"Paracetamol","Amoxicillin","Ibuprofen","Cetirizine","Metformin","Amlodipine","Omeprazole","Azithromycin","Losartan","Vitamin C"},0))</f>
        <v>Painkiller</v>
      </c>
      <c r="D725" t="str" cm="1">
        <f t="array" aca="1" ref="D725" ca="1">INDEX({"MedSupply Co","HealthCorp","PharmaPlus","GlobalMed"}, RANDBETWEEN(1,4))</f>
        <v>HealthCorp</v>
      </c>
      <c r="E725">
        <f t="shared" ca="1" si="111"/>
        <v>114</v>
      </c>
      <c r="F725">
        <f t="shared" ca="1" si="112"/>
        <v>61</v>
      </c>
      <c r="G725">
        <f t="shared" ca="1" si="113"/>
        <v>0.6</v>
      </c>
      <c r="H725" s="1">
        <f t="shared" ca="1" si="114"/>
        <v>46344</v>
      </c>
      <c r="I725" s="1">
        <f t="shared" ca="1" si="115"/>
        <v>46105</v>
      </c>
      <c r="J725">
        <f t="shared" ca="1" si="116"/>
        <v>68.399999999999991</v>
      </c>
      <c r="K725" t="str">
        <f t="shared" ca="1" si="117"/>
        <v>In Stock</v>
      </c>
      <c r="L725" s="2">
        <f t="shared" ca="1" si="118"/>
        <v>225</v>
      </c>
      <c r="M725" t="str">
        <f t="shared" ca="1" si="119"/>
        <v>Safe</v>
      </c>
    </row>
    <row r="726" spans="1:13" x14ac:dyDescent="0.25">
      <c r="A726" t="str">
        <f t="shared" si="110"/>
        <v>M725</v>
      </c>
      <c r="B726" t="str" cm="1">
        <f t="array" aca="1" ref="B726" ca="1">INDEX({"Paracetamol","Amoxicillin","Ibuprofen","Cetirizine","Metformin","Amlodipine","Omeprazole","Azithromycin","Losartan","Vitamin C"}, RANDBETWEEN(1,10))</f>
        <v>Ibuprofen</v>
      </c>
      <c r="C726" t="str" cm="1">
        <f t="array" aca="1" ref="C726" ca="1">INDEX({"Painkiller","Antibiotic","Painkiller","Antihistamine","Diabetes","Hypertension","Antacid","Antibiotic","Hypertension","Supplement"},
MATCH(B726,{"Paracetamol","Amoxicillin","Ibuprofen","Cetirizine","Metformin","Amlodipine","Omeprazole","Azithromycin","Losartan","Vitamin C"},0))</f>
        <v>Painkiller</v>
      </c>
      <c r="D726" t="str" cm="1">
        <f t="array" aca="1" ref="D726" ca="1">INDEX({"MedSupply Co","HealthCorp","PharmaPlus","GlobalMed"}, RANDBETWEEN(1,4))</f>
        <v>HealthCorp</v>
      </c>
      <c r="E726">
        <f t="shared" ca="1" si="111"/>
        <v>190</v>
      </c>
      <c r="F726">
        <f t="shared" ca="1" si="112"/>
        <v>45</v>
      </c>
      <c r="G726">
        <f t="shared" ca="1" si="113"/>
        <v>0.74</v>
      </c>
      <c r="H726" s="1">
        <f t="shared" ca="1" si="114"/>
        <v>46175</v>
      </c>
      <c r="I726" s="1">
        <f t="shared" ca="1" si="115"/>
        <v>45969</v>
      </c>
      <c r="J726">
        <f t="shared" ca="1" si="116"/>
        <v>140.6</v>
      </c>
      <c r="K726" t="str">
        <f t="shared" ca="1" si="117"/>
        <v>In Stock</v>
      </c>
      <c r="L726" s="2">
        <f t="shared" ca="1" si="118"/>
        <v>56</v>
      </c>
      <c r="M726" t="str">
        <f t="shared" ca="1" si="119"/>
        <v>Safe</v>
      </c>
    </row>
    <row r="727" spans="1:13" x14ac:dyDescent="0.25">
      <c r="A727" t="str">
        <f t="shared" si="110"/>
        <v>M726</v>
      </c>
      <c r="B727" t="str" cm="1">
        <f t="array" aca="1" ref="B727" ca="1">INDEX({"Paracetamol","Amoxicillin","Ibuprofen","Cetirizine","Metformin","Amlodipine","Omeprazole","Azithromycin","Losartan","Vitamin C"}, RANDBETWEEN(1,10))</f>
        <v>Azithromycin</v>
      </c>
      <c r="C727" t="str" cm="1">
        <f t="array" aca="1" ref="C727" ca="1">INDEX({"Painkiller","Antibiotic","Painkiller","Antihistamine","Diabetes","Hypertension","Antacid","Antibiotic","Hypertension","Supplement"},
MATCH(B727,{"Paracetamol","Amoxicillin","Ibuprofen","Cetirizine","Metformin","Amlodipine","Omeprazole","Azithromycin","Losartan","Vitamin C"},0))</f>
        <v>Antibiotic</v>
      </c>
      <c r="D727" t="str" cm="1">
        <f t="array" aca="1" ref="D727" ca="1">INDEX({"MedSupply Co","HealthCorp","PharmaPlus","GlobalMed"}, RANDBETWEEN(1,4))</f>
        <v>MedSupply Co</v>
      </c>
      <c r="E727">
        <f t="shared" ca="1" si="111"/>
        <v>199</v>
      </c>
      <c r="F727">
        <f t="shared" ca="1" si="112"/>
        <v>43</v>
      </c>
      <c r="G727">
        <f t="shared" ca="1" si="113"/>
        <v>1.62</v>
      </c>
      <c r="H727" s="1">
        <f t="shared" ca="1" si="114"/>
        <v>46184</v>
      </c>
      <c r="I727" s="1">
        <f t="shared" ca="1" si="115"/>
        <v>46028</v>
      </c>
      <c r="J727">
        <f t="shared" ca="1" si="116"/>
        <v>322.38</v>
      </c>
      <c r="K727" t="str">
        <f t="shared" ca="1" si="117"/>
        <v>In Stock</v>
      </c>
      <c r="L727" s="2">
        <f t="shared" ca="1" si="118"/>
        <v>65</v>
      </c>
      <c r="M727" t="str">
        <f t="shared" ca="1" si="119"/>
        <v>Safe</v>
      </c>
    </row>
    <row r="728" spans="1:13" x14ac:dyDescent="0.25">
      <c r="A728" t="str">
        <f t="shared" si="110"/>
        <v>M727</v>
      </c>
      <c r="B728" t="str" cm="1">
        <f t="array" aca="1" ref="B728" ca="1">INDEX({"Paracetamol","Amoxicillin","Ibuprofen","Cetirizine","Metformin","Amlodipine","Omeprazole","Azithromycin","Losartan","Vitamin C"}, RANDBETWEEN(1,10))</f>
        <v>Ibuprofen</v>
      </c>
      <c r="C728" t="str" cm="1">
        <f t="array" aca="1" ref="C728" ca="1">INDEX({"Painkiller","Antibiotic","Painkiller","Antihistamine","Diabetes","Hypertension","Antacid","Antibiotic","Hypertension","Supplement"},
MATCH(B728,{"Paracetamol","Amoxicillin","Ibuprofen","Cetirizine","Metformin","Amlodipine","Omeprazole","Azithromycin","Losartan","Vitamin C"},0))</f>
        <v>Painkiller</v>
      </c>
      <c r="D728" t="str" cm="1">
        <f t="array" aca="1" ref="D728" ca="1">INDEX({"MedSupply Co","HealthCorp","PharmaPlus","GlobalMed"}, RANDBETWEEN(1,4))</f>
        <v>PharmaPlus</v>
      </c>
      <c r="E728">
        <f t="shared" ca="1" si="111"/>
        <v>1</v>
      </c>
      <c r="F728">
        <f t="shared" ca="1" si="112"/>
        <v>79</v>
      </c>
      <c r="G728">
        <f t="shared" ca="1" si="113"/>
        <v>1.22</v>
      </c>
      <c r="H728" s="1">
        <f t="shared" ca="1" si="114"/>
        <v>46343</v>
      </c>
      <c r="I728" s="1">
        <f t="shared" ca="1" si="115"/>
        <v>46028</v>
      </c>
      <c r="J728">
        <f t="shared" ca="1" si="116"/>
        <v>1.22</v>
      </c>
      <c r="K728" t="str">
        <f t="shared" ca="1" si="117"/>
        <v>Low Stock</v>
      </c>
      <c r="L728" s="2">
        <f t="shared" ca="1" si="118"/>
        <v>224</v>
      </c>
      <c r="M728" t="str">
        <f t="shared" ca="1" si="119"/>
        <v>Safe</v>
      </c>
    </row>
    <row r="729" spans="1:13" x14ac:dyDescent="0.25">
      <c r="A729" t="str">
        <f t="shared" si="110"/>
        <v>M728</v>
      </c>
      <c r="B729" t="str" cm="1">
        <f t="array" aca="1" ref="B729" ca="1">INDEX({"Paracetamol","Amoxicillin","Ibuprofen","Cetirizine","Metformin","Amlodipine","Omeprazole","Azithromycin","Losartan","Vitamin C"}, RANDBETWEEN(1,10))</f>
        <v>Paracetamol</v>
      </c>
      <c r="C729" t="str" cm="1">
        <f t="array" aca="1" ref="C729" ca="1">INDEX({"Painkiller","Antibiotic","Painkiller","Antihistamine","Diabetes","Hypertension","Antacid","Antibiotic","Hypertension","Supplement"},
MATCH(B729,{"Paracetamol","Amoxicillin","Ibuprofen","Cetirizine","Metformin","Amlodipine","Omeprazole","Azithromycin","Losartan","Vitamin C"},0))</f>
        <v>Painkiller</v>
      </c>
      <c r="D729" t="str" cm="1">
        <f t="array" aca="1" ref="D729" ca="1">INDEX({"MedSupply Co","HealthCorp","PharmaPlus","GlobalMed"}, RANDBETWEEN(1,4))</f>
        <v>PharmaPlus</v>
      </c>
      <c r="E729">
        <f t="shared" ca="1" si="111"/>
        <v>156</v>
      </c>
      <c r="F729">
        <f t="shared" ca="1" si="112"/>
        <v>82</v>
      </c>
      <c r="G729">
        <f t="shared" ca="1" si="113"/>
        <v>0.96</v>
      </c>
      <c r="H729" s="1">
        <f t="shared" ca="1" si="114"/>
        <v>46334</v>
      </c>
      <c r="I729" s="1">
        <f t="shared" ca="1" si="115"/>
        <v>46113</v>
      </c>
      <c r="J729">
        <f t="shared" ca="1" si="116"/>
        <v>149.76</v>
      </c>
      <c r="K729" t="str">
        <f t="shared" ca="1" si="117"/>
        <v>In Stock</v>
      </c>
      <c r="L729" s="2">
        <f t="shared" ca="1" si="118"/>
        <v>215</v>
      </c>
      <c r="M729" t="str">
        <f t="shared" ca="1" si="119"/>
        <v>Safe</v>
      </c>
    </row>
    <row r="730" spans="1:13" x14ac:dyDescent="0.25">
      <c r="A730" t="str">
        <f t="shared" si="110"/>
        <v>M729</v>
      </c>
      <c r="B730" t="str" cm="1">
        <f t="array" aca="1" ref="B730" ca="1">INDEX({"Paracetamol","Amoxicillin","Ibuprofen","Cetirizine","Metformin","Amlodipine","Omeprazole","Azithromycin","Losartan","Vitamin C"}, RANDBETWEEN(1,10))</f>
        <v>Amlodipine</v>
      </c>
      <c r="C730" t="str" cm="1">
        <f t="array" aca="1" ref="C730" ca="1">INDEX({"Painkiller","Antibiotic","Painkiller","Antihistamine","Diabetes","Hypertension","Antacid","Antibiotic","Hypertension","Supplement"},
MATCH(B730,{"Paracetamol","Amoxicillin","Ibuprofen","Cetirizine","Metformin","Amlodipine","Omeprazole","Azithromycin","Losartan","Vitamin C"},0))</f>
        <v>Hypertension</v>
      </c>
      <c r="D730" t="str" cm="1">
        <f t="array" aca="1" ref="D730" ca="1">INDEX({"MedSupply Co","HealthCorp","PharmaPlus","GlobalMed"}, RANDBETWEEN(1,4))</f>
        <v>GlobalMed</v>
      </c>
      <c r="E730">
        <f t="shared" ca="1" si="111"/>
        <v>146</v>
      </c>
      <c r="F730">
        <f t="shared" ca="1" si="112"/>
        <v>79</v>
      </c>
      <c r="G730">
        <f t="shared" ca="1" si="113"/>
        <v>0.79</v>
      </c>
      <c r="H730" s="1">
        <f t="shared" ca="1" si="114"/>
        <v>46209</v>
      </c>
      <c r="I730" s="1">
        <f t="shared" ca="1" si="115"/>
        <v>46064</v>
      </c>
      <c r="J730">
        <f t="shared" ca="1" si="116"/>
        <v>115.34</v>
      </c>
      <c r="K730" t="str">
        <f t="shared" ca="1" si="117"/>
        <v>In Stock</v>
      </c>
      <c r="L730" s="2">
        <f t="shared" ca="1" si="118"/>
        <v>90</v>
      </c>
      <c r="M730" t="str">
        <f t="shared" ca="1" si="119"/>
        <v>Safe</v>
      </c>
    </row>
    <row r="731" spans="1:13" x14ac:dyDescent="0.25">
      <c r="A731" t="str">
        <f t="shared" si="110"/>
        <v>M730</v>
      </c>
      <c r="B731" t="str" cm="1">
        <f t="array" aca="1" ref="B731" ca="1">INDEX({"Paracetamol","Amoxicillin","Ibuprofen","Cetirizine","Metformin","Amlodipine","Omeprazole","Azithromycin","Losartan","Vitamin C"}, RANDBETWEEN(1,10))</f>
        <v>Amoxicillin</v>
      </c>
      <c r="C731" t="str" cm="1">
        <f t="array" aca="1" ref="C731" ca="1">INDEX({"Painkiller","Antibiotic","Painkiller","Antihistamine","Diabetes","Hypertension","Antacid","Antibiotic","Hypertension","Supplement"},
MATCH(B731,{"Paracetamol","Amoxicillin","Ibuprofen","Cetirizine","Metformin","Amlodipine","Omeprazole","Azithromycin","Losartan","Vitamin C"},0))</f>
        <v>Antibiotic</v>
      </c>
      <c r="D731" t="str" cm="1">
        <f t="array" aca="1" ref="D731" ca="1">INDEX({"MedSupply Co","HealthCorp","PharmaPlus","GlobalMed"}, RANDBETWEEN(1,4))</f>
        <v>GlobalMed</v>
      </c>
      <c r="E731">
        <f t="shared" ca="1" si="111"/>
        <v>19</v>
      </c>
      <c r="F731">
        <f t="shared" ca="1" si="112"/>
        <v>22</v>
      </c>
      <c r="G731">
        <f t="shared" ca="1" si="113"/>
        <v>1.96</v>
      </c>
      <c r="H731" s="1">
        <f t="shared" ca="1" si="114"/>
        <v>46347</v>
      </c>
      <c r="I731" s="1">
        <f t="shared" ca="1" si="115"/>
        <v>46114</v>
      </c>
      <c r="J731">
        <f t="shared" ca="1" si="116"/>
        <v>37.24</v>
      </c>
      <c r="K731" t="str">
        <f t="shared" ca="1" si="117"/>
        <v>Low Stock</v>
      </c>
      <c r="L731" s="2">
        <f t="shared" ca="1" si="118"/>
        <v>228</v>
      </c>
      <c r="M731" t="str">
        <f t="shared" ca="1" si="119"/>
        <v>Safe</v>
      </c>
    </row>
    <row r="732" spans="1:13" x14ac:dyDescent="0.25">
      <c r="A732" t="str">
        <f t="shared" si="110"/>
        <v>M731</v>
      </c>
      <c r="B732" t="str" cm="1">
        <f t="array" aca="1" ref="B732" ca="1">INDEX({"Paracetamol","Amoxicillin","Ibuprofen","Cetirizine","Metformin","Amlodipine","Omeprazole","Azithromycin","Losartan","Vitamin C"}, RANDBETWEEN(1,10))</f>
        <v>Ibuprofen</v>
      </c>
      <c r="C732" t="str" cm="1">
        <f t="array" aca="1" ref="C732" ca="1">INDEX({"Painkiller","Antibiotic","Painkiller","Antihistamine","Diabetes","Hypertension","Antacid","Antibiotic","Hypertension","Supplement"},
MATCH(B732,{"Paracetamol","Amoxicillin","Ibuprofen","Cetirizine","Metformin","Amlodipine","Omeprazole","Azithromycin","Losartan","Vitamin C"},0))</f>
        <v>Painkiller</v>
      </c>
      <c r="D732" t="str" cm="1">
        <f t="array" aca="1" ref="D732" ca="1">INDEX({"MedSupply Co","HealthCorp","PharmaPlus","GlobalMed"}, RANDBETWEEN(1,4))</f>
        <v>GlobalMed</v>
      </c>
      <c r="E732">
        <f t="shared" ca="1" si="111"/>
        <v>171</v>
      </c>
      <c r="F732">
        <f t="shared" ca="1" si="112"/>
        <v>74</v>
      </c>
      <c r="G732">
        <f t="shared" ca="1" si="113"/>
        <v>1.42</v>
      </c>
      <c r="H732" s="1">
        <f t="shared" ca="1" si="114"/>
        <v>46346</v>
      </c>
      <c r="I732" s="1">
        <f t="shared" ca="1" si="115"/>
        <v>46011</v>
      </c>
      <c r="J732">
        <f t="shared" ca="1" si="116"/>
        <v>242.82</v>
      </c>
      <c r="K732" t="str">
        <f t="shared" ca="1" si="117"/>
        <v>In Stock</v>
      </c>
      <c r="L732" s="2">
        <f t="shared" ca="1" si="118"/>
        <v>227</v>
      </c>
      <c r="M732" t="str">
        <f t="shared" ca="1" si="119"/>
        <v>Safe</v>
      </c>
    </row>
    <row r="733" spans="1:13" x14ac:dyDescent="0.25">
      <c r="A733" t="str">
        <f t="shared" si="110"/>
        <v>M732</v>
      </c>
      <c r="B733" t="str" cm="1">
        <f t="array" aca="1" ref="B733" ca="1">INDEX({"Paracetamol","Amoxicillin","Ibuprofen","Cetirizine","Metformin","Amlodipine","Omeprazole","Azithromycin","Losartan","Vitamin C"}, RANDBETWEEN(1,10))</f>
        <v>Paracetamol</v>
      </c>
      <c r="C733" t="str" cm="1">
        <f t="array" aca="1" ref="C733" ca="1">INDEX({"Painkiller","Antibiotic","Painkiller","Antihistamine","Diabetes","Hypertension","Antacid","Antibiotic","Hypertension","Supplement"},
MATCH(B733,{"Paracetamol","Amoxicillin","Ibuprofen","Cetirizine","Metformin","Amlodipine","Omeprazole","Azithromycin","Losartan","Vitamin C"},0))</f>
        <v>Painkiller</v>
      </c>
      <c r="D733" t="str" cm="1">
        <f t="array" aca="1" ref="D733" ca="1">INDEX({"MedSupply Co","HealthCorp","PharmaPlus","GlobalMed"}, RANDBETWEEN(1,4))</f>
        <v>MedSupply Co</v>
      </c>
      <c r="E733">
        <f t="shared" ca="1" si="111"/>
        <v>56</v>
      </c>
      <c r="F733">
        <f t="shared" ca="1" si="112"/>
        <v>46</v>
      </c>
      <c r="G733">
        <f t="shared" ca="1" si="113"/>
        <v>1.38</v>
      </c>
      <c r="H733" s="1">
        <f t="shared" ca="1" si="114"/>
        <v>46289</v>
      </c>
      <c r="I733" s="1">
        <f t="shared" ca="1" si="115"/>
        <v>46073</v>
      </c>
      <c r="J733">
        <f t="shared" ca="1" si="116"/>
        <v>77.28</v>
      </c>
      <c r="K733" t="str">
        <f t="shared" ca="1" si="117"/>
        <v>In Stock</v>
      </c>
      <c r="L733" s="2">
        <f t="shared" ca="1" si="118"/>
        <v>170</v>
      </c>
      <c r="M733" t="str">
        <f t="shared" ca="1" si="119"/>
        <v>Safe</v>
      </c>
    </row>
    <row r="734" spans="1:13" x14ac:dyDescent="0.25">
      <c r="A734" t="str">
        <f t="shared" si="110"/>
        <v>M733</v>
      </c>
      <c r="B734" t="str" cm="1">
        <f t="array" aca="1" ref="B734" ca="1">INDEX({"Paracetamol","Amoxicillin","Ibuprofen","Cetirizine","Metformin","Amlodipine","Omeprazole","Azithromycin","Losartan","Vitamin C"}, RANDBETWEEN(1,10))</f>
        <v>Omeprazole</v>
      </c>
      <c r="C734" t="str" cm="1">
        <f t="array" aca="1" ref="C734" ca="1">INDEX({"Painkiller","Antibiotic","Painkiller","Antihistamine","Diabetes","Hypertension","Antacid","Antibiotic","Hypertension","Supplement"},
MATCH(B734,{"Paracetamol","Amoxicillin","Ibuprofen","Cetirizine","Metformin","Amlodipine","Omeprazole","Azithromycin","Losartan","Vitamin C"},0))</f>
        <v>Antacid</v>
      </c>
      <c r="D734" t="str" cm="1">
        <f t="array" aca="1" ref="D734" ca="1">INDEX({"MedSupply Co","HealthCorp","PharmaPlus","GlobalMed"}, RANDBETWEEN(1,4))</f>
        <v>HealthCorp</v>
      </c>
      <c r="E734">
        <f t="shared" ca="1" si="111"/>
        <v>113</v>
      </c>
      <c r="F734">
        <f t="shared" ca="1" si="112"/>
        <v>52</v>
      </c>
      <c r="G734">
        <f t="shared" ca="1" si="113"/>
        <v>0.68</v>
      </c>
      <c r="H734" s="1">
        <f t="shared" ca="1" si="114"/>
        <v>46170</v>
      </c>
      <c r="I734" s="1">
        <f t="shared" ca="1" si="115"/>
        <v>45941</v>
      </c>
      <c r="J734">
        <f t="shared" ca="1" si="116"/>
        <v>76.84</v>
      </c>
      <c r="K734" t="str">
        <f t="shared" ca="1" si="117"/>
        <v>In Stock</v>
      </c>
      <c r="L734" s="2">
        <f t="shared" ca="1" si="118"/>
        <v>51</v>
      </c>
      <c r="M734" t="str">
        <f t="shared" ca="1" si="119"/>
        <v>Safe</v>
      </c>
    </row>
    <row r="735" spans="1:13" x14ac:dyDescent="0.25">
      <c r="A735" t="str">
        <f t="shared" si="110"/>
        <v>M734</v>
      </c>
      <c r="B735" t="str" cm="1">
        <f t="array" aca="1" ref="B735" ca="1">INDEX({"Paracetamol","Amoxicillin","Ibuprofen","Cetirizine","Metformin","Amlodipine","Omeprazole","Azithromycin","Losartan","Vitamin C"}, RANDBETWEEN(1,10))</f>
        <v>Ibuprofen</v>
      </c>
      <c r="C735" t="str" cm="1">
        <f t="array" aca="1" ref="C735" ca="1">INDEX({"Painkiller","Antibiotic","Painkiller","Antihistamine","Diabetes","Hypertension","Antacid","Antibiotic","Hypertension","Supplement"},
MATCH(B735,{"Paracetamol","Amoxicillin","Ibuprofen","Cetirizine","Metformin","Amlodipine","Omeprazole","Azithromycin","Losartan","Vitamin C"},0))</f>
        <v>Painkiller</v>
      </c>
      <c r="D735" t="str" cm="1">
        <f t="array" aca="1" ref="D735" ca="1">INDEX({"MedSupply Co","HealthCorp","PharmaPlus","GlobalMed"}, RANDBETWEEN(1,4))</f>
        <v>PharmaPlus</v>
      </c>
      <c r="E735">
        <f t="shared" ca="1" si="111"/>
        <v>139</v>
      </c>
      <c r="F735">
        <f t="shared" ca="1" si="112"/>
        <v>62</v>
      </c>
      <c r="G735">
        <f t="shared" ca="1" si="113"/>
        <v>1.1000000000000001</v>
      </c>
      <c r="H735" s="1">
        <f t="shared" ca="1" si="114"/>
        <v>46409</v>
      </c>
      <c r="I735" s="1">
        <f t="shared" ca="1" si="115"/>
        <v>46060</v>
      </c>
      <c r="J735">
        <f t="shared" ca="1" si="116"/>
        <v>152.9</v>
      </c>
      <c r="K735" t="str">
        <f t="shared" ca="1" si="117"/>
        <v>In Stock</v>
      </c>
      <c r="L735" s="2">
        <f t="shared" ca="1" si="118"/>
        <v>290</v>
      </c>
      <c r="M735" t="str">
        <f t="shared" ca="1" si="119"/>
        <v>Safe</v>
      </c>
    </row>
    <row r="736" spans="1:13" x14ac:dyDescent="0.25">
      <c r="A736" t="str">
        <f t="shared" si="110"/>
        <v>M735</v>
      </c>
      <c r="B736" t="str" cm="1">
        <f t="array" aca="1" ref="B736" ca="1">INDEX({"Paracetamol","Amoxicillin","Ibuprofen","Cetirizine","Metformin","Amlodipine","Omeprazole","Azithromycin","Losartan","Vitamin C"}, RANDBETWEEN(1,10))</f>
        <v>Cetirizine</v>
      </c>
      <c r="C736" t="str" cm="1">
        <f t="array" aca="1" ref="C736" ca="1">INDEX({"Painkiller","Antibiotic","Painkiller","Antihistamine","Diabetes","Hypertension","Antacid","Antibiotic","Hypertension","Supplement"},
MATCH(B736,{"Paracetamol","Amoxicillin","Ibuprofen","Cetirizine","Metformin","Amlodipine","Omeprazole","Azithromycin","Losartan","Vitamin C"},0))</f>
        <v>Antihistamine</v>
      </c>
      <c r="D736" t="str" cm="1">
        <f t="array" aca="1" ref="D736" ca="1">INDEX({"MedSupply Co","HealthCorp","PharmaPlus","GlobalMed"}, RANDBETWEEN(1,4))</f>
        <v>HealthCorp</v>
      </c>
      <c r="E736">
        <f t="shared" ca="1" si="111"/>
        <v>158</v>
      </c>
      <c r="F736">
        <f t="shared" ca="1" si="112"/>
        <v>55</v>
      </c>
      <c r="G736">
        <f t="shared" ca="1" si="113"/>
        <v>0.63</v>
      </c>
      <c r="H736" s="1">
        <f t="shared" ca="1" si="114"/>
        <v>46377</v>
      </c>
      <c r="I736" s="1">
        <f t="shared" ca="1" si="115"/>
        <v>45983</v>
      </c>
      <c r="J736">
        <f t="shared" ca="1" si="116"/>
        <v>99.54</v>
      </c>
      <c r="K736" t="str">
        <f t="shared" ca="1" si="117"/>
        <v>In Stock</v>
      </c>
      <c r="L736" s="2">
        <f t="shared" ca="1" si="118"/>
        <v>258</v>
      </c>
      <c r="M736" t="str">
        <f t="shared" ca="1" si="119"/>
        <v>Safe</v>
      </c>
    </row>
    <row r="737" spans="1:13" x14ac:dyDescent="0.25">
      <c r="A737" t="str">
        <f t="shared" si="110"/>
        <v>M736</v>
      </c>
      <c r="B737" t="str" cm="1">
        <f t="array" aca="1" ref="B737" ca="1">INDEX({"Paracetamol","Amoxicillin","Ibuprofen","Cetirizine","Metformin","Amlodipine","Omeprazole","Azithromycin","Losartan","Vitamin C"}, RANDBETWEEN(1,10))</f>
        <v>Omeprazole</v>
      </c>
      <c r="C737" t="str" cm="1">
        <f t="array" aca="1" ref="C737" ca="1">INDEX({"Painkiller","Antibiotic","Painkiller","Antihistamine","Diabetes","Hypertension","Antacid","Antibiotic","Hypertension","Supplement"},
MATCH(B737,{"Paracetamol","Amoxicillin","Ibuprofen","Cetirizine","Metformin","Amlodipine","Omeprazole","Azithromycin","Losartan","Vitamin C"},0))</f>
        <v>Antacid</v>
      </c>
      <c r="D737" t="str" cm="1">
        <f t="array" aca="1" ref="D737" ca="1">INDEX({"MedSupply Co","HealthCorp","PharmaPlus","GlobalMed"}, RANDBETWEEN(1,4))</f>
        <v>HealthCorp</v>
      </c>
      <c r="E737">
        <f t="shared" ca="1" si="111"/>
        <v>77</v>
      </c>
      <c r="F737">
        <f t="shared" ca="1" si="112"/>
        <v>64</v>
      </c>
      <c r="G737">
        <f t="shared" ca="1" si="113"/>
        <v>1.1100000000000001</v>
      </c>
      <c r="H737" s="1">
        <f t="shared" ca="1" si="114"/>
        <v>46237</v>
      </c>
      <c r="I737" s="1">
        <f t="shared" ca="1" si="115"/>
        <v>46032</v>
      </c>
      <c r="J737">
        <f t="shared" ca="1" si="116"/>
        <v>85.470000000000013</v>
      </c>
      <c r="K737" t="str">
        <f t="shared" ca="1" si="117"/>
        <v>In Stock</v>
      </c>
      <c r="L737" s="2">
        <f t="shared" ca="1" si="118"/>
        <v>118</v>
      </c>
      <c r="M737" t="str">
        <f t="shared" ca="1" si="119"/>
        <v>Safe</v>
      </c>
    </row>
    <row r="738" spans="1:13" x14ac:dyDescent="0.25">
      <c r="A738" t="str">
        <f t="shared" si="110"/>
        <v>M737</v>
      </c>
      <c r="B738" t="str" cm="1">
        <f t="array" aca="1" ref="B738" ca="1">INDEX({"Paracetamol","Amoxicillin","Ibuprofen","Cetirizine","Metformin","Amlodipine","Omeprazole","Azithromycin","Losartan","Vitamin C"}, RANDBETWEEN(1,10))</f>
        <v>Paracetamol</v>
      </c>
      <c r="C738" t="str" cm="1">
        <f t="array" aca="1" ref="C738" ca="1">INDEX({"Painkiller","Antibiotic","Painkiller","Antihistamine","Diabetes","Hypertension","Antacid","Antibiotic","Hypertension","Supplement"},
MATCH(B738,{"Paracetamol","Amoxicillin","Ibuprofen","Cetirizine","Metformin","Amlodipine","Omeprazole","Azithromycin","Losartan","Vitamin C"},0))</f>
        <v>Painkiller</v>
      </c>
      <c r="D738" t="str" cm="1">
        <f t="array" aca="1" ref="D738" ca="1">INDEX({"MedSupply Co","HealthCorp","PharmaPlus","GlobalMed"}, RANDBETWEEN(1,4))</f>
        <v>HealthCorp</v>
      </c>
      <c r="E738">
        <f t="shared" ca="1" si="111"/>
        <v>124</v>
      </c>
      <c r="F738">
        <f t="shared" ca="1" si="112"/>
        <v>36</v>
      </c>
      <c r="G738">
        <f t="shared" ca="1" si="113"/>
        <v>1.65</v>
      </c>
      <c r="H738" s="1">
        <f t="shared" ca="1" si="114"/>
        <v>46363</v>
      </c>
      <c r="I738" s="1">
        <f t="shared" ca="1" si="115"/>
        <v>45966</v>
      </c>
      <c r="J738">
        <f t="shared" ca="1" si="116"/>
        <v>204.6</v>
      </c>
      <c r="K738" t="str">
        <f t="shared" ca="1" si="117"/>
        <v>In Stock</v>
      </c>
      <c r="L738" s="2">
        <f t="shared" ca="1" si="118"/>
        <v>244</v>
      </c>
      <c r="M738" t="str">
        <f t="shared" ca="1" si="119"/>
        <v>Safe</v>
      </c>
    </row>
    <row r="739" spans="1:13" x14ac:dyDescent="0.25">
      <c r="A739" t="str">
        <f t="shared" si="110"/>
        <v>M738</v>
      </c>
      <c r="B739" t="str" cm="1">
        <f t="array" aca="1" ref="B739" ca="1">INDEX({"Paracetamol","Amoxicillin","Ibuprofen","Cetirizine","Metformin","Amlodipine","Omeprazole","Azithromycin","Losartan","Vitamin C"}, RANDBETWEEN(1,10))</f>
        <v>Amlodipine</v>
      </c>
      <c r="C739" t="str" cm="1">
        <f t="array" aca="1" ref="C739" ca="1">INDEX({"Painkiller","Antibiotic","Painkiller","Antihistamine","Diabetes","Hypertension","Antacid","Antibiotic","Hypertension","Supplement"},
MATCH(B739,{"Paracetamol","Amoxicillin","Ibuprofen","Cetirizine","Metformin","Amlodipine","Omeprazole","Azithromycin","Losartan","Vitamin C"},0))</f>
        <v>Hypertension</v>
      </c>
      <c r="D739" t="str" cm="1">
        <f t="array" aca="1" ref="D739" ca="1">INDEX({"MedSupply Co","HealthCorp","PharmaPlus","GlobalMed"}, RANDBETWEEN(1,4))</f>
        <v>MedSupply Co</v>
      </c>
      <c r="E739">
        <f t="shared" ca="1" si="111"/>
        <v>126</v>
      </c>
      <c r="F739">
        <f t="shared" ca="1" si="112"/>
        <v>57</v>
      </c>
      <c r="G739">
        <f t="shared" ca="1" si="113"/>
        <v>1.2</v>
      </c>
      <c r="H739" s="1">
        <f t="shared" ca="1" si="114"/>
        <v>46395</v>
      </c>
      <c r="I739" s="1">
        <f t="shared" ca="1" si="115"/>
        <v>45941</v>
      </c>
      <c r="J739">
        <f t="shared" ca="1" si="116"/>
        <v>151.19999999999999</v>
      </c>
      <c r="K739" t="str">
        <f t="shared" ca="1" si="117"/>
        <v>In Stock</v>
      </c>
      <c r="L739" s="2">
        <f t="shared" ca="1" si="118"/>
        <v>276</v>
      </c>
      <c r="M739" t="str">
        <f t="shared" ca="1" si="119"/>
        <v>Safe</v>
      </c>
    </row>
    <row r="740" spans="1:13" x14ac:dyDescent="0.25">
      <c r="A740" t="str">
        <f t="shared" si="110"/>
        <v>M739</v>
      </c>
      <c r="B740" t="str" cm="1">
        <f t="array" aca="1" ref="B740" ca="1">INDEX({"Paracetamol","Amoxicillin","Ibuprofen","Cetirizine","Metformin","Amlodipine","Omeprazole","Azithromycin","Losartan","Vitamin C"}, RANDBETWEEN(1,10))</f>
        <v>Amlodipine</v>
      </c>
      <c r="C740" t="str" cm="1">
        <f t="array" aca="1" ref="C740" ca="1">INDEX({"Painkiller","Antibiotic","Painkiller","Antihistamine","Diabetes","Hypertension","Antacid","Antibiotic","Hypertension","Supplement"},
MATCH(B740,{"Paracetamol","Amoxicillin","Ibuprofen","Cetirizine","Metformin","Amlodipine","Omeprazole","Azithromycin","Losartan","Vitamin C"},0))</f>
        <v>Hypertension</v>
      </c>
      <c r="D740" t="str" cm="1">
        <f t="array" aca="1" ref="D740" ca="1">INDEX({"MedSupply Co","HealthCorp","PharmaPlus","GlobalMed"}, RANDBETWEEN(1,4))</f>
        <v>HealthCorp</v>
      </c>
      <c r="E740">
        <f t="shared" ca="1" si="111"/>
        <v>68</v>
      </c>
      <c r="F740">
        <f t="shared" ca="1" si="112"/>
        <v>53</v>
      </c>
      <c r="G740">
        <f t="shared" ca="1" si="113"/>
        <v>1.52</v>
      </c>
      <c r="H740" s="1">
        <f t="shared" ca="1" si="114"/>
        <v>46277</v>
      </c>
      <c r="I740" s="1">
        <f t="shared" ca="1" si="115"/>
        <v>46043</v>
      </c>
      <c r="J740">
        <f t="shared" ca="1" si="116"/>
        <v>103.36</v>
      </c>
      <c r="K740" t="str">
        <f t="shared" ca="1" si="117"/>
        <v>In Stock</v>
      </c>
      <c r="L740" s="2">
        <f t="shared" ca="1" si="118"/>
        <v>158</v>
      </c>
      <c r="M740" t="str">
        <f t="shared" ca="1" si="119"/>
        <v>Safe</v>
      </c>
    </row>
    <row r="741" spans="1:13" x14ac:dyDescent="0.25">
      <c r="A741" t="str">
        <f t="shared" si="110"/>
        <v>M740</v>
      </c>
      <c r="B741" t="str" cm="1">
        <f t="array" aca="1" ref="B741" ca="1">INDEX({"Paracetamol","Amoxicillin","Ibuprofen","Cetirizine","Metformin","Amlodipine","Omeprazole","Azithromycin","Losartan","Vitamin C"}, RANDBETWEEN(1,10))</f>
        <v>Paracetamol</v>
      </c>
      <c r="C741" t="str" cm="1">
        <f t="array" aca="1" ref="C741" ca="1">INDEX({"Painkiller","Antibiotic","Painkiller","Antihistamine","Diabetes","Hypertension","Antacid","Antibiotic","Hypertension","Supplement"},
MATCH(B741,{"Paracetamol","Amoxicillin","Ibuprofen","Cetirizine","Metformin","Amlodipine","Omeprazole","Azithromycin","Losartan","Vitamin C"},0))</f>
        <v>Painkiller</v>
      </c>
      <c r="D741" t="str" cm="1">
        <f t="array" aca="1" ref="D741" ca="1">INDEX({"MedSupply Co","HealthCorp","PharmaPlus","GlobalMed"}, RANDBETWEEN(1,4))</f>
        <v>PharmaPlus</v>
      </c>
      <c r="E741">
        <f t="shared" ca="1" si="111"/>
        <v>198</v>
      </c>
      <c r="F741">
        <f t="shared" ca="1" si="112"/>
        <v>63</v>
      </c>
      <c r="G741">
        <f t="shared" ca="1" si="113"/>
        <v>1.69</v>
      </c>
      <c r="H741" s="1">
        <f t="shared" ca="1" si="114"/>
        <v>46408</v>
      </c>
      <c r="I741" s="1">
        <f t="shared" ca="1" si="115"/>
        <v>45951</v>
      </c>
      <c r="J741">
        <f t="shared" ca="1" si="116"/>
        <v>334.62</v>
      </c>
      <c r="K741" t="str">
        <f t="shared" ca="1" si="117"/>
        <v>In Stock</v>
      </c>
      <c r="L741" s="2">
        <f t="shared" ca="1" si="118"/>
        <v>289</v>
      </c>
      <c r="M741" t="str">
        <f t="shared" ca="1" si="119"/>
        <v>Safe</v>
      </c>
    </row>
    <row r="742" spans="1:13" x14ac:dyDescent="0.25">
      <c r="A742" t="str">
        <f t="shared" si="110"/>
        <v>M741</v>
      </c>
      <c r="B742" t="str" cm="1">
        <f t="array" aca="1" ref="B742" ca="1">INDEX({"Paracetamol","Amoxicillin","Ibuprofen","Cetirizine","Metformin","Amlodipine","Omeprazole","Azithromycin","Losartan","Vitamin C"}, RANDBETWEEN(1,10))</f>
        <v>Paracetamol</v>
      </c>
      <c r="C742" t="str" cm="1">
        <f t="array" aca="1" ref="C742" ca="1">INDEX({"Painkiller","Antibiotic","Painkiller","Antihistamine","Diabetes","Hypertension","Antacid","Antibiotic","Hypertension","Supplement"},
MATCH(B742,{"Paracetamol","Amoxicillin","Ibuprofen","Cetirizine","Metformin","Amlodipine","Omeprazole","Azithromycin","Losartan","Vitamin C"},0))</f>
        <v>Painkiller</v>
      </c>
      <c r="D742" t="str" cm="1">
        <f t="array" aca="1" ref="D742" ca="1">INDEX({"MedSupply Co","HealthCorp","PharmaPlus","GlobalMed"}, RANDBETWEEN(1,4))</f>
        <v>MedSupply Co</v>
      </c>
      <c r="E742">
        <f t="shared" ca="1" si="111"/>
        <v>162</v>
      </c>
      <c r="F742">
        <f t="shared" ca="1" si="112"/>
        <v>90</v>
      </c>
      <c r="G742">
        <f t="shared" ca="1" si="113"/>
        <v>0.5</v>
      </c>
      <c r="H742" s="1">
        <f t="shared" ca="1" si="114"/>
        <v>46477</v>
      </c>
      <c r="I742" s="1">
        <f t="shared" ca="1" si="115"/>
        <v>46029</v>
      </c>
      <c r="J742">
        <f t="shared" ca="1" si="116"/>
        <v>81</v>
      </c>
      <c r="K742" t="str">
        <f t="shared" ca="1" si="117"/>
        <v>In Stock</v>
      </c>
      <c r="L742" s="2">
        <f t="shared" ca="1" si="118"/>
        <v>358</v>
      </c>
      <c r="M742" t="str">
        <f t="shared" ca="1" si="119"/>
        <v>Safe</v>
      </c>
    </row>
    <row r="743" spans="1:13" x14ac:dyDescent="0.25">
      <c r="A743" t="str">
        <f t="shared" si="110"/>
        <v>M742</v>
      </c>
      <c r="B743" t="str" cm="1">
        <f t="array" aca="1" ref="B743" ca="1">INDEX({"Paracetamol","Amoxicillin","Ibuprofen","Cetirizine","Metformin","Amlodipine","Omeprazole","Azithromycin","Losartan","Vitamin C"}, RANDBETWEEN(1,10))</f>
        <v>Azithromycin</v>
      </c>
      <c r="C743" t="str" cm="1">
        <f t="array" aca="1" ref="C743" ca="1">INDEX({"Painkiller","Antibiotic","Painkiller","Antihistamine","Diabetes","Hypertension","Antacid","Antibiotic","Hypertension","Supplement"},
MATCH(B743,{"Paracetamol","Amoxicillin","Ibuprofen","Cetirizine","Metformin","Amlodipine","Omeprazole","Azithromycin","Losartan","Vitamin C"},0))</f>
        <v>Antibiotic</v>
      </c>
      <c r="D743" t="str" cm="1">
        <f t="array" aca="1" ref="D743" ca="1">INDEX({"MedSupply Co","HealthCorp","PharmaPlus","GlobalMed"}, RANDBETWEEN(1,4))</f>
        <v>GlobalMed</v>
      </c>
      <c r="E743">
        <f t="shared" ca="1" si="111"/>
        <v>196</v>
      </c>
      <c r="F743">
        <f t="shared" ca="1" si="112"/>
        <v>89</v>
      </c>
      <c r="G743">
        <f t="shared" ca="1" si="113"/>
        <v>1.01</v>
      </c>
      <c r="H743" s="1">
        <f t="shared" ca="1" si="114"/>
        <v>46362</v>
      </c>
      <c r="I743" s="1">
        <f t="shared" ca="1" si="115"/>
        <v>46012</v>
      </c>
      <c r="J743">
        <f t="shared" ca="1" si="116"/>
        <v>197.96</v>
      </c>
      <c r="K743" t="str">
        <f t="shared" ca="1" si="117"/>
        <v>In Stock</v>
      </c>
      <c r="L743" s="2">
        <f t="shared" ca="1" si="118"/>
        <v>243</v>
      </c>
      <c r="M743" t="str">
        <f t="shared" ca="1" si="119"/>
        <v>Safe</v>
      </c>
    </row>
    <row r="744" spans="1:13" x14ac:dyDescent="0.25">
      <c r="A744" t="str">
        <f t="shared" si="110"/>
        <v>M743</v>
      </c>
      <c r="B744" t="str" cm="1">
        <f t="array" aca="1" ref="B744" ca="1">INDEX({"Paracetamol","Amoxicillin","Ibuprofen","Cetirizine","Metformin","Amlodipine","Omeprazole","Azithromycin","Losartan","Vitamin C"}, RANDBETWEEN(1,10))</f>
        <v>Vitamin C</v>
      </c>
      <c r="C744" t="str" cm="1">
        <f t="array" aca="1" ref="C744" ca="1">INDEX({"Painkiller","Antibiotic","Painkiller","Antihistamine","Diabetes","Hypertension","Antacid","Antibiotic","Hypertension","Supplement"},
MATCH(B744,{"Paracetamol","Amoxicillin","Ibuprofen","Cetirizine","Metformin","Amlodipine","Omeprazole","Azithromycin","Losartan","Vitamin C"},0))</f>
        <v>Supplement</v>
      </c>
      <c r="D744" t="str" cm="1">
        <f t="array" aca="1" ref="D744" ca="1">INDEX({"MedSupply Co","HealthCorp","PharmaPlus","GlobalMed"}, RANDBETWEEN(1,4))</f>
        <v>PharmaPlus</v>
      </c>
      <c r="E744">
        <f t="shared" ca="1" si="111"/>
        <v>42</v>
      </c>
      <c r="F744">
        <f t="shared" ca="1" si="112"/>
        <v>97</v>
      </c>
      <c r="G744">
        <f t="shared" ca="1" si="113"/>
        <v>1.73</v>
      </c>
      <c r="H744" s="1">
        <f t="shared" ca="1" si="114"/>
        <v>46295</v>
      </c>
      <c r="I744" s="1">
        <f t="shared" ca="1" si="115"/>
        <v>46096</v>
      </c>
      <c r="J744">
        <f t="shared" ca="1" si="116"/>
        <v>72.66</v>
      </c>
      <c r="K744" t="str">
        <f t="shared" ca="1" si="117"/>
        <v>Low Stock</v>
      </c>
      <c r="L744" s="2">
        <f t="shared" ca="1" si="118"/>
        <v>176</v>
      </c>
      <c r="M744" t="str">
        <f t="shared" ca="1" si="119"/>
        <v>Safe</v>
      </c>
    </row>
    <row r="745" spans="1:13" x14ac:dyDescent="0.25">
      <c r="A745" t="str">
        <f t="shared" si="110"/>
        <v>M744</v>
      </c>
      <c r="B745" t="str" cm="1">
        <f t="array" aca="1" ref="B745" ca="1">INDEX({"Paracetamol","Amoxicillin","Ibuprofen","Cetirizine","Metformin","Amlodipine","Omeprazole","Azithromycin","Losartan","Vitamin C"}, RANDBETWEEN(1,10))</f>
        <v>Ibuprofen</v>
      </c>
      <c r="C745" t="str" cm="1">
        <f t="array" aca="1" ref="C745" ca="1">INDEX({"Painkiller","Antibiotic","Painkiller","Antihistamine","Diabetes","Hypertension","Antacid","Antibiotic","Hypertension","Supplement"},
MATCH(B745,{"Paracetamol","Amoxicillin","Ibuprofen","Cetirizine","Metformin","Amlodipine","Omeprazole","Azithromycin","Losartan","Vitamin C"},0))</f>
        <v>Painkiller</v>
      </c>
      <c r="D745" t="str" cm="1">
        <f t="array" aca="1" ref="D745" ca="1">INDEX({"MedSupply Co","HealthCorp","PharmaPlus","GlobalMed"}, RANDBETWEEN(1,4))</f>
        <v>GlobalMed</v>
      </c>
      <c r="E745">
        <f t="shared" ca="1" si="111"/>
        <v>28</v>
      </c>
      <c r="F745">
        <f t="shared" ca="1" si="112"/>
        <v>26</v>
      </c>
      <c r="G745">
        <f t="shared" ca="1" si="113"/>
        <v>1.82</v>
      </c>
      <c r="H745" s="1">
        <f t="shared" ca="1" si="114"/>
        <v>46291</v>
      </c>
      <c r="I745" s="1">
        <f t="shared" ca="1" si="115"/>
        <v>46017</v>
      </c>
      <c r="J745">
        <f t="shared" ca="1" si="116"/>
        <v>50.96</v>
      </c>
      <c r="K745" t="str">
        <f t="shared" ca="1" si="117"/>
        <v>In Stock</v>
      </c>
      <c r="L745" s="2">
        <f t="shared" ca="1" si="118"/>
        <v>172</v>
      </c>
      <c r="M745" t="str">
        <f t="shared" ca="1" si="119"/>
        <v>Safe</v>
      </c>
    </row>
    <row r="746" spans="1:13" x14ac:dyDescent="0.25">
      <c r="A746" t="str">
        <f t="shared" si="110"/>
        <v>M745</v>
      </c>
      <c r="B746" t="str" cm="1">
        <f t="array" aca="1" ref="B746" ca="1">INDEX({"Paracetamol","Amoxicillin","Ibuprofen","Cetirizine","Metformin","Amlodipine","Omeprazole","Azithromycin","Losartan","Vitamin C"}, RANDBETWEEN(1,10))</f>
        <v>Losartan</v>
      </c>
      <c r="C746" t="str" cm="1">
        <f t="array" aca="1" ref="C746" ca="1">INDEX({"Painkiller","Antibiotic","Painkiller","Antihistamine","Diabetes","Hypertension","Antacid","Antibiotic","Hypertension","Supplement"},
MATCH(B746,{"Paracetamol","Amoxicillin","Ibuprofen","Cetirizine","Metformin","Amlodipine","Omeprazole","Azithromycin","Losartan","Vitamin C"},0))</f>
        <v>Hypertension</v>
      </c>
      <c r="D746" t="str" cm="1">
        <f t="array" aca="1" ref="D746" ca="1">INDEX({"MedSupply Co","HealthCorp","PharmaPlus","GlobalMed"}, RANDBETWEEN(1,4))</f>
        <v>PharmaPlus</v>
      </c>
      <c r="E746">
        <f t="shared" ca="1" si="111"/>
        <v>25</v>
      </c>
      <c r="F746">
        <f t="shared" ca="1" si="112"/>
        <v>90</v>
      </c>
      <c r="G746">
        <f t="shared" ca="1" si="113"/>
        <v>1.97</v>
      </c>
      <c r="H746" s="1">
        <f t="shared" ca="1" si="114"/>
        <v>46331</v>
      </c>
      <c r="I746" s="1">
        <f t="shared" ca="1" si="115"/>
        <v>46113</v>
      </c>
      <c r="J746">
        <f t="shared" ca="1" si="116"/>
        <v>49.25</v>
      </c>
      <c r="K746" t="str">
        <f t="shared" ca="1" si="117"/>
        <v>Low Stock</v>
      </c>
      <c r="L746" s="2">
        <f t="shared" ca="1" si="118"/>
        <v>212</v>
      </c>
      <c r="M746" t="str">
        <f t="shared" ca="1" si="119"/>
        <v>Safe</v>
      </c>
    </row>
    <row r="747" spans="1:13" x14ac:dyDescent="0.25">
      <c r="A747" t="str">
        <f t="shared" si="110"/>
        <v>M746</v>
      </c>
      <c r="B747" t="str" cm="1">
        <f t="array" aca="1" ref="B747" ca="1">INDEX({"Paracetamol","Amoxicillin","Ibuprofen","Cetirizine","Metformin","Amlodipine","Omeprazole","Azithromycin","Losartan","Vitamin C"}, RANDBETWEEN(1,10))</f>
        <v>Cetirizine</v>
      </c>
      <c r="C747" t="str" cm="1">
        <f t="array" aca="1" ref="C747" ca="1">INDEX({"Painkiller","Antibiotic","Painkiller","Antihistamine","Diabetes","Hypertension","Antacid","Antibiotic","Hypertension","Supplement"},
MATCH(B747,{"Paracetamol","Amoxicillin","Ibuprofen","Cetirizine","Metformin","Amlodipine","Omeprazole","Azithromycin","Losartan","Vitamin C"},0))</f>
        <v>Antihistamine</v>
      </c>
      <c r="D747" t="str" cm="1">
        <f t="array" aca="1" ref="D747" ca="1">INDEX({"MedSupply Co","HealthCorp","PharmaPlus","GlobalMed"}, RANDBETWEEN(1,4))</f>
        <v>HealthCorp</v>
      </c>
      <c r="E747">
        <f t="shared" ca="1" si="111"/>
        <v>102</v>
      </c>
      <c r="F747">
        <f t="shared" ca="1" si="112"/>
        <v>47</v>
      </c>
      <c r="G747">
        <f t="shared" ca="1" si="113"/>
        <v>0.53</v>
      </c>
      <c r="H747" s="1">
        <f t="shared" ca="1" si="114"/>
        <v>46255</v>
      </c>
      <c r="I747" s="1">
        <f t="shared" ca="1" si="115"/>
        <v>46075</v>
      </c>
      <c r="J747">
        <f t="shared" ca="1" si="116"/>
        <v>54.06</v>
      </c>
      <c r="K747" t="str">
        <f t="shared" ca="1" si="117"/>
        <v>In Stock</v>
      </c>
      <c r="L747" s="2">
        <f t="shared" ca="1" si="118"/>
        <v>136</v>
      </c>
      <c r="M747" t="str">
        <f t="shared" ca="1" si="119"/>
        <v>Safe</v>
      </c>
    </row>
    <row r="748" spans="1:13" x14ac:dyDescent="0.25">
      <c r="A748" t="str">
        <f t="shared" si="110"/>
        <v>M747</v>
      </c>
      <c r="B748" t="str" cm="1">
        <f t="array" aca="1" ref="B748" ca="1">INDEX({"Paracetamol","Amoxicillin","Ibuprofen","Cetirizine","Metformin","Amlodipine","Omeprazole","Azithromycin","Losartan","Vitamin C"}, RANDBETWEEN(1,10))</f>
        <v>Amoxicillin</v>
      </c>
      <c r="C748" t="str" cm="1">
        <f t="array" aca="1" ref="C748" ca="1">INDEX({"Painkiller","Antibiotic","Painkiller","Antihistamine","Diabetes","Hypertension","Antacid","Antibiotic","Hypertension","Supplement"},
MATCH(B748,{"Paracetamol","Amoxicillin","Ibuprofen","Cetirizine","Metformin","Amlodipine","Omeprazole","Azithromycin","Losartan","Vitamin C"},0))</f>
        <v>Antibiotic</v>
      </c>
      <c r="D748" t="str" cm="1">
        <f t="array" aca="1" ref="D748" ca="1">INDEX({"MedSupply Co","HealthCorp","PharmaPlus","GlobalMed"}, RANDBETWEEN(1,4))</f>
        <v>GlobalMed</v>
      </c>
      <c r="E748">
        <f t="shared" ca="1" si="111"/>
        <v>104</v>
      </c>
      <c r="F748">
        <f t="shared" ca="1" si="112"/>
        <v>30</v>
      </c>
      <c r="G748">
        <f t="shared" ca="1" si="113"/>
        <v>1.97</v>
      </c>
      <c r="H748" s="1">
        <f t="shared" ca="1" si="114"/>
        <v>46196</v>
      </c>
      <c r="I748" s="1">
        <f t="shared" ca="1" si="115"/>
        <v>45940</v>
      </c>
      <c r="J748">
        <f t="shared" ca="1" si="116"/>
        <v>204.88</v>
      </c>
      <c r="K748" t="str">
        <f t="shared" ca="1" si="117"/>
        <v>In Stock</v>
      </c>
      <c r="L748" s="2">
        <f t="shared" ca="1" si="118"/>
        <v>77</v>
      </c>
      <c r="M748" t="str">
        <f t="shared" ca="1" si="119"/>
        <v>Safe</v>
      </c>
    </row>
    <row r="749" spans="1:13" x14ac:dyDescent="0.25">
      <c r="A749" t="str">
        <f t="shared" si="110"/>
        <v>M748</v>
      </c>
      <c r="B749" t="str" cm="1">
        <f t="array" aca="1" ref="B749" ca="1">INDEX({"Paracetamol","Amoxicillin","Ibuprofen","Cetirizine","Metformin","Amlodipine","Omeprazole","Azithromycin","Losartan","Vitamin C"}, RANDBETWEEN(1,10))</f>
        <v>Azithromycin</v>
      </c>
      <c r="C749" t="str" cm="1">
        <f t="array" aca="1" ref="C749" ca="1">INDEX({"Painkiller","Antibiotic","Painkiller","Antihistamine","Diabetes","Hypertension","Antacid","Antibiotic","Hypertension","Supplement"},
MATCH(B749,{"Paracetamol","Amoxicillin","Ibuprofen","Cetirizine","Metformin","Amlodipine","Omeprazole","Azithromycin","Losartan","Vitamin C"},0))</f>
        <v>Antibiotic</v>
      </c>
      <c r="D749" t="str" cm="1">
        <f t="array" aca="1" ref="D749" ca="1">INDEX({"MedSupply Co","HealthCorp","PharmaPlus","GlobalMed"}, RANDBETWEEN(1,4))</f>
        <v>HealthCorp</v>
      </c>
      <c r="E749">
        <f t="shared" ca="1" si="111"/>
        <v>117</v>
      </c>
      <c r="F749">
        <f t="shared" ca="1" si="112"/>
        <v>38</v>
      </c>
      <c r="G749">
        <f t="shared" ca="1" si="113"/>
        <v>1.96</v>
      </c>
      <c r="H749" s="1">
        <f t="shared" ca="1" si="114"/>
        <v>46369</v>
      </c>
      <c r="I749" s="1">
        <f t="shared" ca="1" si="115"/>
        <v>46040</v>
      </c>
      <c r="J749">
        <f t="shared" ca="1" si="116"/>
        <v>229.32</v>
      </c>
      <c r="K749" t="str">
        <f t="shared" ca="1" si="117"/>
        <v>In Stock</v>
      </c>
      <c r="L749" s="2">
        <f t="shared" ca="1" si="118"/>
        <v>250</v>
      </c>
      <c r="M749" t="str">
        <f t="shared" ca="1" si="119"/>
        <v>Safe</v>
      </c>
    </row>
    <row r="750" spans="1:13" x14ac:dyDescent="0.25">
      <c r="A750" t="str">
        <f t="shared" si="110"/>
        <v>M749</v>
      </c>
      <c r="B750" t="str" cm="1">
        <f t="array" aca="1" ref="B750" ca="1">INDEX({"Paracetamol","Amoxicillin","Ibuprofen","Cetirizine","Metformin","Amlodipine","Omeprazole","Azithromycin","Losartan","Vitamin C"}, RANDBETWEEN(1,10))</f>
        <v>Cetirizine</v>
      </c>
      <c r="C750" t="str" cm="1">
        <f t="array" aca="1" ref="C750" ca="1">INDEX({"Painkiller","Antibiotic","Painkiller","Antihistamine","Diabetes","Hypertension","Antacid","Antibiotic","Hypertension","Supplement"},
MATCH(B750,{"Paracetamol","Amoxicillin","Ibuprofen","Cetirizine","Metformin","Amlodipine","Omeprazole","Azithromycin","Losartan","Vitamin C"},0))</f>
        <v>Antihistamine</v>
      </c>
      <c r="D750" t="str" cm="1">
        <f t="array" aca="1" ref="D750" ca="1">INDEX({"MedSupply Co","HealthCorp","PharmaPlus","GlobalMed"}, RANDBETWEEN(1,4))</f>
        <v>PharmaPlus</v>
      </c>
      <c r="E750">
        <f t="shared" ca="1" si="111"/>
        <v>139</v>
      </c>
      <c r="F750">
        <f t="shared" ca="1" si="112"/>
        <v>70</v>
      </c>
      <c r="G750">
        <f t="shared" ca="1" si="113"/>
        <v>1.83</v>
      </c>
      <c r="H750" s="1">
        <f t="shared" ca="1" si="114"/>
        <v>46375</v>
      </c>
      <c r="I750" s="1">
        <f t="shared" ca="1" si="115"/>
        <v>46030</v>
      </c>
      <c r="J750">
        <f t="shared" ca="1" si="116"/>
        <v>254.37</v>
      </c>
      <c r="K750" t="str">
        <f t="shared" ca="1" si="117"/>
        <v>In Stock</v>
      </c>
      <c r="L750" s="2">
        <f t="shared" ca="1" si="118"/>
        <v>256</v>
      </c>
      <c r="M750" t="str">
        <f t="shared" ca="1" si="119"/>
        <v>Safe</v>
      </c>
    </row>
    <row r="751" spans="1:13" x14ac:dyDescent="0.25">
      <c r="A751" t="str">
        <f t="shared" si="110"/>
        <v>M750</v>
      </c>
      <c r="B751" t="str" cm="1">
        <f t="array" aca="1" ref="B751" ca="1">INDEX({"Paracetamol","Amoxicillin","Ibuprofen","Cetirizine","Metformin","Amlodipine","Omeprazole","Azithromycin","Losartan","Vitamin C"}, RANDBETWEEN(1,10))</f>
        <v>Ibuprofen</v>
      </c>
      <c r="C751" t="str" cm="1">
        <f t="array" aca="1" ref="C751" ca="1">INDEX({"Painkiller","Antibiotic","Painkiller","Antihistamine","Diabetes","Hypertension","Antacid","Antibiotic","Hypertension","Supplement"},
MATCH(B751,{"Paracetamol","Amoxicillin","Ibuprofen","Cetirizine","Metformin","Amlodipine","Omeprazole","Azithromycin","Losartan","Vitamin C"},0))</f>
        <v>Painkiller</v>
      </c>
      <c r="D751" t="str" cm="1">
        <f t="array" aca="1" ref="D751" ca="1">INDEX({"MedSupply Co","HealthCorp","PharmaPlus","GlobalMed"}, RANDBETWEEN(1,4))</f>
        <v>PharmaPlus</v>
      </c>
      <c r="E751">
        <f t="shared" ca="1" si="111"/>
        <v>90</v>
      </c>
      <c r="F751">
        <f t="shared" ca="1" si="112"/>
        <v>99</v>
      </c>
      <c r="G751">
        <f t="shared" ca="1" si="113"/>
        <v>1.87</v>
      </c>
      <c r="H751" s="1">
        <f t="shared" ca="1" si="114"/>
        <v>46436</v>
      </c>
      <c r="I751" s="1">
        <f t="shared" ca="1" si="115"/>
        <v>45951</v>
      </c>
      <c r="J751">
        <f t="shared" ca="1" si="116"/>
        <v>168.3</v>
      </c>
      <c r="K751" t="str">
        <f t="shared" ca="1" si="117"/>
        <v>Low Stock</v>
      </c>
      <c r="L751" s="2">
        <f t="shared" ca="1" si="118"/>
        <v>317</v>
      </c>
      <c r="M751" t="str">
        <f t="shared" ca="1" si="119"/>
        <v>Safe</v>
      </c>
    </row>
    <row r="752" spans="1:13" x14ac:dyDescent="0.25">
      <c r="A752" t="str">
        <f t="shared" si="110"/>
        <v>M751</v>
      </c>
      <c r="B752" t="str" cm="1">
        <f t="array" aca="1" ref="B752" ca="1">INDEX({"Paracetamol","Amoxicillin","Ibuprofen","Cetirizine","Metformin","Amlodipine","Omeprazole","Azithromycin","Losartan","Vitamin C"}, RANDBETWEEN(1,10))</f>
        <v>Losartan</v>
      </c>
      <c r="C752" t="str" cm="1">
        <f t="array" aca="1" ref="C752" ca="1">INDEX({"Painkiller","Antibiotic","Painkiller","Antihistamine","Diabetes","Hypertension","Antacid","Antibiotic","Hypertension","Supplement"},
MATCH(B752,{"Paracetamol","Amoxicillin","Ibuprofen","Cetirizine","Metformin","Amlodipine","Omeprazole","Azithromycin","Losartan","Vitamin C"},0))</f>
        <v>Hypertension</v>
      </c>
      <c r="D752" t="str" cm="1">
        <f t="array" aca="1" ref="D752" ca="1">INDEX({"MedSupply Co","HealthCorp","PharmaPlus","GlobalMed"}, RANDBETWEEN(1,4))</f>
        <v>HealthCorp</v>
      </c>
      <c r="E752">
        <f t="shared" ca="1" si="111"/>
        <v>38</v>
      </c>
      <c r="F752">
        <f t="shared" ca="1" si="112"/>
        <v>23</v>
      </c>
      <c r="G752">
        <f t="shared" ca="1" si="113"/>
        <v>0.84</v>
      </c>
      <c r="H752" s="1">
        <f t="shared" ca="1" si="114"/>
        <v>46194</v>
      </c>
      <c r="I752" s="1">
        <f t="shared" ca="1" si="115"/>
        <v>46076</v>
      </c>
      <c r="J752">
        <f t="shared" ca="1" si="116"/>
        <v>31.919999999999998</v>
      </c>
      <c r="K752" t="str">
        <f t="shared" ca="1" si="117"/>
        <v>In Stock</v>
      </c>
      <c r="L752" s="2">
        <f t="shared" ca="1" si="118"/>
        <v>75</v>
      </c>
      <c r="M752" t="str">
        <f t="shared" ca="1" si="119"/>
        <v>Safe</v>
      </c>
    </row>
    <row r="753" spans="1:13" x14ac:dyDescent="0.25">
      <c r="A753" t="str">
        <f t="shared" si="110"/>
        <v>M752</v>
      </c>
      <c r="B753" t="str" cm="1">
        <f t="array" aca="1" ref="B753" ca="1">INDEX({"Paracetamol","Amoxicillin","Ibuprofen","Cetirizine","Metformin","Amlodipine","Omeprazole","Azithromycin","Losartan","Vitamin C"}, RANDBETWEEN(1,10))</f>
        <v>Omeprazole</v>
      </c>
      <c r="C753" t="str" cm="1">
        <f t="array" aca="1" ref="C753" ca="1">INDEX({"Painkiller","Antibiotic","Painkiller","Antihistamine","Diabetes","Hypertension","Antacid","Antibiotic","Hypertension","Supplement"},
MATCH(B753,{"Paracetamol","Amoxicillin","Ibuprofen","Cetirizine","Metformin","Amlodipine","Omeprazole","Azithromycin","Losartan","Vitamin C"},0))</f>
        <v>Antacid</v>
      </c>
      <c r="D753" t="str" cm="1">
        <f t="array" aca="1" ref="D753" ca="1">INDEX({"MedSupply Co","HealthCorp","PharmaPlus","GlobalMed"}, RANDBETWEEN(1,4))</f>
        <v>PharmaPlus</v>
      </c>
      <c r="E753">
        <f t="shared" ca="1" si="111"/>
        <v>43</v>
      </c>
      <c r="F753">
        <f t="shared" ca="1" si="112"/>
        <v>22</v>
      </c>
      <c r="G753">
        <f t="shared" ca="1" si="113"/>
        <v>0.59</v>
      </c>
      <c r="H753" s="1">
        <f t="shared" ca="1" si="114"/>
        <v>46371</v>
      </c>
      <c r="I753" s="1">
        <f t="shared" ca="1" si="115"/>
        <v>45996</v>
      </c>
      <c r="J753">
        <f t="shared" ca="1" si="116"/>
        <v>25.369999999999997</v>
      </c>
      <c r="K753" t="str">
        <f t="shared" ca="1" si="117"/>
        <v>In Stock</v>
      </c>
      <c r="L753" s="2">
        <f t="shared" ca="1" si="118"/>
        <v>252</v>
      </c>
      <c r="M753" t="str">
        <f t="shared" ca="1" si="119"/>
        <v>Safe</v>
      </c>
    </row>
    <row r="754" spans="1:13" x14ac:dyDescent="0.25">
      <c r="A754" t="str">
        <f t="shared" si="110"/>
        <v>M753</v>
      </c>
      <c r="B754" t="str" cm="1">
        <f t="array" aca="1" ref="B754" ca="1">INDEX({"Paracetamol","Amoxicillin","Ibuprofen","Cetirizine","Metformin","Amlodipine","Omeprazole","Azithromycin","Losartan","Vitamin C"}, RANDBETWEEN(1,10))</f>
        <v>Azithromycin</v>
      </c>
      <c r="C754" t="str" cm="1">
        <f t="array" aca="1" ref="C754" ca="1">INDEX({"Painkiller","Antibiotic","Painkiller","Antihistamine","Diabetes","Hypertension","Antacid","Antibiotic","Hypertension","Supplement"},
MATCH(B754,{"Paracetamol","Amoxicillin","Ibuprofen","Cetirizine","Metformin","Amlodipine","Omeprazole","Azithromycin","Losartan","Vitamin C"},0))</f>
        <v>Antibiotic</v>
      </c>
      <c r="D754" t="str" cm="1">
        <f t="array" aca="1" ref="D754" ca="1">INDEX({"MedSupply Co","HealthCorp","PharmaPlus","GlobalMed"}, RANDBETWEEN(1,4))</f>
        <v>MedSupply Co</v>
      </c>
      <c r="E754">
        <f t="shared" ca="1" si="111"/>
        <v>118</v>
      </c>
      <c r="F754">
        <f t="shared" ca="1" si="112"/>
        <v>83</v>
      </c>
      <c r="G754">
        <f t="shared" ca="1" si="113"/>
        <v>0.86</v>
      </c>
      <c r="H754" s="1">
        <f t="shared" ca="1" si="114"/>
        <v>46320</v>
      </c>
      <c r="I754" s="1">
        <f t="shared" ca="1" si="115"/>
        <v>46008</v>
      </c>
      <c r="J754">
        <f t="shared" ca="1" si="116"/>
        <v>101.48</v>
      </c>
      <c r="K754" t="str">
        <f t="shared" ca="1" si="117"/>
        <v>In Stock</v>
      </c>
      <c r="L754" s="2">
        <f t="shared" ca="1" si="118"/>
        <v>201</v>
      </c>
      <c r="M754" t="str">
        <f t="shared" ca="1" si="119"/>
        <v>Safe</v>
      </c>
    </row>
    <row r="755" spans="1:13" x14ac:dyDescent="0.25">
      <c r="A755" t="str">
        <f t="shared" si="110"/>
        <v>M754</v>
      </c>
      <c r="B755" t="str" cm="1">
        <f t="array" aca="1" ref="B755" ca="1">INDEX({"Paracetamol","Amoxicillin","Ibuprofen","Cetirizine","Metformin","Amlodipine","Omeprazole","Azithromycin","Losartan","Vitamin C"}, RANDBETWEEN(1,10))</f>
        <v>Azithromycin</v>
      </c>
      <c r="C755" t="str" cm="1">
        <f t="array" aca="1" ref="C755" ca="1">INDEX({"Painkiller","Antibiotic","Painkiller","Antihistamine","Diabetes","Hypertension","Antacid","Antibiotic","Hypertension","Supplement"},
MATCH(B755,{"Paracetamol","Amoxicillin","Ibuprofen","Cetirizine","Metformin","Amlodipine","Omeprazole","Azithromycin","Losartan","Vitamin C"},0))</f>
        <v>Antibiotic</v>
      </c>
      <c r="D755" t="str" cm="1">
        <f t="array" aca="1" ref="D755" ca="1">INDEX({"MedSupply Co","HealthCorp","PharmaPlus","GlobalMed"}, RANDBETWEEN(1,4))</f>
        <v>GlobalMed</v>
      </c>
      <c r="E755">
        <f t="shared" ca="1" si="111"/>
        <v>105</v>
      </c>
      <c r="F755">
        <f t="shared" ca="1" si="112"/>
        <v>90</v>
      </c>
      <c r="G755">
        <f t="shared" ca="1" si="113"/>
        <v>0.78</v>
      </c>
      <c r="H755" s="1">
        <f t="shared" ca="1" si="114"/>
        <v>46190</v>
      </c>
      <c r="I755" s="1">
        <f t="shared" ca="1" si="115"/>
        <v>46078</v>
      </c>
      <c r="J755">
        <f t="shared" ca="1" si="116"/>
        <v>81.900000000000006</v>
      </c>
      <c r="K755" t="str">
        <f t="shared" ca="1" si="117"/>
        <v>In Stock</v>
      </c>
      <c r="L755" s="2">
        <f t="shared" ca="1" si="118"/>
        <v>71</v>
      </c>
      <c r="M755" t="str">
        <f t="shared" ca="1" si="119"/>
        <v>Safe</v>
      </c>
    </row>
    <row r="756" spans="1:13" x14ac:dyDescent="0.25">
      <c r="A756" t="str">
        <f t="shared" si="110"/>
        <v>M755</v>
      </c>
      <c r="B756" t="str" cm="1">
        <f t="array" aca="1" ref="B756" ca="1">INDEX({"Paracetamol","Amoxicillin","Ibuprofen","Cetirizine","Metformin","Amlodipine","Omeprazole","Azithromycin","Losartan","Vitamin C"}, RANDBETWEEN(1,10))</f>
        <v>Amlodipine</v>
      </c>
      <c r="C756" t="str" cm="1">
        <f t="array" aca="1" ref="C756" ca="1">INDEX({"Painkiller","Antibiotic","Painkiller","Antihistamine","Diabetes","Hypertension","Antacid","Antibiotic","Hypertension","Supplement"},
MATCH(B756,{"Paracetamol","Amoxicillin","Ibuprofen","Cetirizine","Metformin","Amlodipine","Omeprazole","Azithromycin","Losartan","Vitamin C"},0))</f>
        <v>Hypertension</v>
      </c>
      <c r="D756" t="str" cm="1">
        <f t="array" aca="1" ref="D756" ca="1">INDEX({"MedSupply Co","HealthCorp","PharmaPlus","GlobalMed"}, RANDBETWEEN(1,4))</f>
        <v>GlobalMed</v>
      </c>
      <c r="E756">
        <f t="shared" ca="1" si="111"/>
        <v>107</v>
      </c>
      <c r="F756">
        <f t="shared" ca="1" si="112"/>
        <v>94</v>
      </c>
      <c r="G756">
        <f t="shared" ca="1" si="113"/>
        <v>1.68</v>
      </c>
      <c r="H756" s="1">
        <f t="shared" ca="1" si="114"/>
        <v>46165</v>
      </c>
      <c r="I756" s="1">
        <f t="shared" ca="1" si="115"/>
        <v>46083</v>
      </c>
      <c r="J756">
        <f t="shared" ca="1" si="116"/>
        <v>179.76</v>
      </c>
      <c r="K756" t="str">
        <f t="shared" ca="1" si="117"/>
        <v>In Stock</v>
      </c>
      <c r="L756" s="2">
        <f t="shared" ca="1" si="118"/>
        <v>46</v>
      </c>
      <c r="M756" t="str">
        <f t="shared" ca="1" si="119"/>
        <v>Safe</v>
      </c>
    </row>
    <row r="757" spans="1:13" x14ac:dyDescent="0.25">
      <c r="A757" t="str">
        <f t="shared" si="110"/>
        <v>M756</v>
      </c>
      <c r="B757" t="str" cm="1">
        <f t="array" aca="1" ref="B757" ca="1">INDEX({"Paracetamol","Amoxicillin","Ibuprofen","Cetirizine","Metformin","Amlodipine","Omeprazole","Azithromycin","Losartan","Vitamin C"}, RANDBETWEEN(1,10))</f>
        <v>Vitamin C</v>
      </c>
      <c r="C757" t="str" cm="1">
        <f t="array" aca="1" ref="C757" ca="1">INDEX({"Painkiller","Antibiotic","Painkiller","Antihistamine","Diabetes","Hypertension","Antacid","Antibiotic","Hypertension","Supplement"},
MATCH(B757,{"Paracetamol","Amoxicillin","Ibuprofen","Cetirizine","Metformin","Amlodipine","Omeprazole","Azithromycin","Losartan","Vitamin C"},0))</f>
        <v>Supplement</v>
      </c>
      <c r="D757" t="str" cm="1">
        <f t="array" aca="1" ref="D757" ca="1">INDEX({"MedSupply Co","HealthCorp","PharmaPlus","GlobalMed"}, RANDBETWEEN(1,4))</f>
        <v>MedSupply Co</v>
      </c>
      <c r="E757">
        <f t="shared" ca="1" si="111"/>
        <v>35</v>
      </c>
      <c r="F757">
        <f t="shared" ca="1" si="112"/>
        <v>85</v>
      </c>
      <c r="G757">
        <f t="shared" ca="1" si="113"/>
        <v>1.5</v>
      </c>
      <c r="H757" s="1">
        <f t="shared" ca="1" si="114"/>
        <v>46239</v>
      </c>
      <c r="I757" s="1">
        <f t="shared" ca="1" si="115"/>
        <v>45975</v>
      </c>
      <c r="J757">
        <f t="shared" ca="1" si="116"/>
        <v>52.5</v>
      </c>
      <c r="K757" t="str">
        <f t="shared" ca="1" si="117"/>
        <v>Low Stock</v>
      </c>
      <c r="L757" s="2">
        <f t="shared" ca="1" si="118"/>
        <v>120</v>
      </c>
      <c r="M757" t="str">
        <f t="shared" ca="1" si="119"/>
        <v>Safe</v>
      </c>
    </row>
    <row r="758" spans="1:13" x14ac:dyDescent="0.25">
      <c r="A758" t="str">
        <f t="shared" si="110"/>
        <v>M757</v>
      </c>
      <c r="B758" t="str" cm="1">
        <f t="array" aca="1" ref="B758" ca="1">INDEX({"Paracetamol","Amoxicillin","Ibuprofen","Cetirizine","Metformin","Amlodipine","Omeprazole","Azithromycin","Losartan","Vitamin C"}, RANDBETWEEN(1,10))</f>
        <v>Ibuprofen</v>
      </c>
      <c r="C758" t="str" cm="1">
        <f t="array" aca="1" ref="C758" ca="1">INDEX({"Painkiller","Antibiotic","Painkiller","Antihistamine","Diabetes","Hypertension","Antacid","Antibiotic","Hypertension","Supplement"},
MATCH(B758,{"Paracetamol","Amoxicillin","Ibuprofen","Cetirizine","Metformin","Amlodipine","Omeprazole","Azithromycin","Losartan","Vitamin C"},0))</f>
        <v>Painkiller</v>
      </c>
      <c r="D758" t="str" cm="1">
        <f t="array" aca="1" ref="D758" ca="1">INDEX({"MedSupply Co","HealthCorp","PharmaPlus","GlobalMed"}, RANDBETWEEN(1,4))</f>
        <v>PharmaPlus</v>
      </c>
      <c r="E758">
        <f t="shared" ca="1" si="111"/>
        <v>198</v>
      </c>
      <c r="F758">
        <f t="shared" ca="1" si="112"/>
        <v>80</v>
      </c>
      <c r="G758">
        <f t="shared" ca="1" si="113"/>
        <v>0.68</v>
      </c>
      <c r="H758" s="1">
        <f t="shared" ca="1" si="114"/>
        <v>46229</v>
      </c>
      <c r="I758" s="1">
        <f t="shared" ca="1" si="115"/>
        <v>46078</v>
      </c>
      <c r="J758">
        <f t="shared" ca="1" si="116"/>
        <v>134.64000000000001</v>
      </c>
      <c r="K758" t="str">
        <f t="shared" ca="1" si="117"/>
        <v>In Stock</v>
      </c>
      <c r="L758" s="2">
        <f t="shared" ca="1" si="118"/>
        <v>110</v>
      </c>
      <c r="M758" t="str">
        <f t="shared" ca="1" si="119"/>
        <v>Safe</v>
      </c>
    </row>
    <row r="759" spans="1:13" x14ac:dyDescent="0.25">
      <c r="A759" t="str">
        <f t="shared" si="110"/>
        <v>M758</v>
      </c>
      <c r="B759" t="str" cm="1">
        <f t="array" aca="1" ref="B759" ca="1">INDEX({"Paracetamol","Amoxicillin","Ibuprofen","Cetirizine","Metformin","Amlodipine","Omeprazole","Azithromycin","Losartan","Vitamin C"}, RANDBETWEEN(1,10))</f>
        <v>Losartan</v>
      </c>
      <c r="C759" t="str" cm="1">
        <f t="array" aca="1" ref="C759" ca="1">INDEX({"Painkiller","Antibiotic","Painkiller","Antihistamine","Diabetes","Hypertension","Antacid","Antibiotic","Hypertension","Supplement"},
MATCH(B759,{"Paracetamol","Amoxicillin","Ibuprofen","Cetirizine","Metformin","Amlodipine","Omeprazole","Azithromycin","Losartan","Vitamin C"},0))</f>
        <v>Hypertension</v>
      </c>
      <c r="D759" t="str" cm="1">
        <f t="array" aca="1" ref="D759" ca="1">INDEX({"MedSupply Co","HealthCorp","PharmaPlus","GlobalMed"}, RANDBETWEEN(1,4))</f>
        <v>GlobalMed</v>
      </c>
      <c r="E759">
        <f t="shared" ca="1" si="111"/>
        <v>85</v>
      </c>
      <c r="F759">
        <f t="shared" ca="1" si="112"/>
        <v>78</v>
      </c>
      <c r="G759">
        <f t="shared" ca="1" si="113"/>
        <v>1.7</v>
      </c>
      <c r="H759" s="1">
        <f t="shared" ca="1" si="114"/>
        <v>46259</v>
      </c>
      <c r="I759" s="1">
        <f t="shared" ca="1" si="115"/>
        <v>46107</v>
      </c>
      <c r="J759">
        <f t="shared" ca="1" si="116"/>
        <v>144.5</v>
      </c>
      <c r="K759" t="str">
        <f t="shared" ca="1" si="117"/>
        <v>In Stock</v>
      </c>
      <c r="L759" s="2">
        <f t="shared" ca="1" si="118"/>
        <v>140</v>
      </c>
      <c r="M759" t="str">
        <f t="shared" ca="1" si="119"/>
        <v>Safe</v>
      </c>
    </row>
    <row r="760" spans="1:13" x14ac:dyDescent="0.25">
      <c r="A760" t="str">
        <f t="shared" si="110"/>
        <v>M759</v>
      </c>
      <c r="B760" t="str" cm="1">
        <f t="array" aca="1" ref="B760" ca="1">INDEX({"Paracetamol","Amoxicillin","Ibuprofen","Cetirizine","Metformin","Amlodipine","Omeprazole","Azithromycin","Losartan","Vitamin C"}, RANDBETWEEN(1,10))</f>
        <v>Omeprazole</v>
      </c>
      <c r="C760" t="str" cm="1">
        <f t="array" aca="1" ref="C760" ca="1">INDEX({"Painkiller","Antibiotic","Painkiller","Antihistamine","Diabetes","Hypertension","Antacid","Antibiotic","Hypertension","Supplement"},
MATCH(B760,{"Paracetamol","Amoxicillin","Ibuprofen","Cetirizine","Metformin","Amlodipine","Omeprazole","Azithromycin","Losartan","Vitamin C"},0))</f>
        <v>Antacid</v>
      </c>
      <c r="D760" t="str" cm="1">
        <f t="array" aca="1" ref="D760" ca="1">INDEX({"MedSupply Co","HealthCorp","PharmaPlus","GlobalMed"}, RANDBETWEEN(1,4))</f>
        <v>PharmaPlus</v>
      </c>
      <c r="E760">
        <f t="shared" ca="1" si="111"/>
        <v>180</v>
      </c>
      <c r="F760">
        <f t="shared" ca="1" si="112"/>
        <v>21</v>
      </c>
      <c r="G760">
        <f t="shared" ca="1" si="113"/>
        <v>0.78</v>
      </c>
      <c r="H760" s="1">
        <f t="shared" ca="1" si="114"/>
        <v>46454</v>
      </c>
      <c r="I760" s="1">
        <f t="shared" ca="1" si="115"/>
        <v>45979</v>
      </c>
      <c r="J760">
        <f t="shared" ca="1" si="116"/>
        <v>140.4</v>
      </c>
      <c r="K760" t="str">
        <f t="shared" ca="1" si="117"/>
        <v>In Stock</v>
      </c>
      <c r="L760" s="2">
        <f t="shared" ca="1" si="118"/>
        <v>335</v>
      </c>
      <c r="M760" t="str">
        <f t="shared" ca="1" si="119"/>
        <v>Safe</v>
      </c>
    </row>
    <row r="761" spans="1:13" x14ac:dyDescent="0.25">
      <c r="A761" t="str">
        <f t="shared" si="110"/>
        <v>M760</v>
      </c>
      <c r="B761" t="str" cm="1">
        <f t="array" aca="1" ref="B761" ca="1">INDEX({"Paracetamol","Amoxicillin","Ibuprofen","Cetirizine","Metformin","Amlodipine","Omeprazole","Azithromycin","Losartan","Vitamin C"}, RANDBETWEEN(1,10))</f>
        <v>Omeprazole</v>
      </c>
      <c r="C761" t="str" cm="1">
        <f t="array" aca="1" ref="C761" ca="1">INDEX({"Painkiller","Antibiotic","Painkiller","Antihistamine","Diabetes","Hypertension","Antacid","Antibiotic","Hypertension","Supplement"},
MATCH(B761,{"Paracetamol","Amoxicillin","Ibuprofen","Cetirizine","Metformin","Amlodipine","Omeprazole","Azithromycin","Losartan","Vitamin C"},0))</f>
        <v>Antacid</v>
      </c>
      <c r="D761" t="str" cm="1">
        <f t="array" aca="1" ref="D761" ca="1">INDEX({"MedSupply Co","HealthCorp","PharmaPlus","GlobalMed"}, RANDBETWEEN(1,4))</f>
        <v>MedSupply Co</v>
      </c>
      <c r="E761">
        <f t="shared" ca="1" si="111"/>
        <v>90</v>
      </c>
      <c r="F761">
        <f t="shared" ca="1" si="112"/>
        <v>39</v>
      </c>
      <c r="G761">
        <f t="shared" ca="1" si="113"/>
        <v>0.68</v>
      </c>
      <c r="H761" s="1">
        <f t="shared" ca="1" si="114"/>
        <v>46261</v>
      </c>
      <c r="I761" s="1">
        <f t="shared" ca="1" si="115"/>
        <v>46065</v>
      </c>
      <c r="J761">
        <f t="shared" ca="1" si="116"/>
        <v>61.2</v>
      </c>
      <c r="K761" t="str">
        <f t="shared" ca="1" si="117"/>
        <v>In Stock</v>
      </c>
      <c r="L761" s="2">
        <f t="shared" ca="1" si="118"/>
        <v>142</v>
      </c>
      <c r="M761" t="str">
        <f t="shared" ca="1" si="119"/>
        <v>Safe</v>
      </c>
    </row>
    <row r="762" spans="1:13" x14ac:dyDescent="0.25">
      <c r="A762" t="str">
        <f t="shared" si="110"/>
        <v>M761</v>
      </c>
      <c r="B762" t="str" cm="1">
        <f t="array" aca="1" ref="B762" ca="1">INDEX({"Paracetamol","Amoxicillin","Ibuprofen","Cetirizine","Metformin","Amlodipine","Omeprazole","Azithromycin","Losartan","Vitamin C"}, RANDBETWEEN(1,10))</f>
        <v>Azithromycin</v>
      </c>
      <c r="C762" t="str" cm="1">
        <f t="array" aca="1" ref="C762" ca="1">INDEX({"Painkiller","Antibiotic","Painkiller","Antihistamine","Diabetes","Hypertension","Antacid","Antibiotic","Hypertension","Supplement"},
MATCH(B762,{"Paracetamol","Amoxicillin","Ibuprofen","Cetirizine","Metformin","Amlodipine","Omeprazole","Azithromycin","Losartan","Vitamin C"},0))</f>
        <v>Antibiotic</v>
      </c>
      <c r="D762" t="str" cm="1">
        <f t="array" aca="1" ref="D762" ca="1">INDEX({"MedSupply Co","HealthCorp","PharmaPlus","GlobalMed"}, RANDBETWEEN(1,4))</f>
        <v>MedSupply Co</v>
      </c>
      <c r="E762">
        <f t="shared" ca="1" si="111"/>
        <v>163</v>
      </c>
      <c r="F762">
        <f t="shared" ca="1" si="112"/>
        <v>90</v>
      </c>
      <c r="G762">
        <f t="shared" ca="1" si="113"/>
        <v>1.03</v>
      </c>
      <c r="H762" s="1">
        <f t="shared" ca="1" si="114"/>
        <v>46233</v>
      </c>
      <c r="I762" s="1">
        <f t="shared" ca="1" si="115"/>
        <v>46017</v>
      </c>
      <c r="J762">
        <f t="shared" ca="1" si="116"/>
        <v>167.89000000000001</v>
      </c>
      <c r="K762" t="str">
        <f t="shared" ca="1" si="117"/>
        <v>In Stock</v>
      </c>
      <c r="L762" s="2">
        <f t="shared" ca="1" si="118"/>
        <v>114</v>
      </c>
      <c r="M762" t="str">
        <f t="shared" ca="1" si="119"/>
        <v>Safe</v>
      </c>
    </row>
    <row r="763" spans="1:13" x14ac:dyDescent="0.25">
      <c r="A763" t="str">
        <f t="shared" si="110"/>
        <v>M762</v>
      </c>
      <c r="B763" t="str" cm="1">
        <f t="array" aca="1" ref="B763" ca="1">INDEX({"Paracetamol","Amoxicillin","Ibuprofen","Cetirizine","Metformin","Amlodipine","Omeprazole","Azithromycin","Losartan","Vitamin C"}, RANDBETWEEN(1,10))</f>
        <v>Omeprazole</v>
      </c>
      <c r="C763" t="str" cm="1">
        <f t="array" aca="1" ref="C763" ca="1">INDEX({"Painkiller","Antibiotic","Painkiller","Antihistamine","Diabetes","Hypertension","Antacid","Antibiotic","Hypertension","Supplement"},
MATCH(B763,{"Paracetamol","Amoxicillin","Ibuprofen","Cetirizine","Metformin","Amlodipine","Omeprazole","Azithromycin","Losartan","Vitamin C"},0))</f>
        <v>Antacid</v>
      </c>
      <c r="D763" t="str" cm="1">
        <f t="array" aca="1" ref="D763" ca="1">INDEX({"MedSupply Co","HealthCorp","PharmaPlus","GlobalMed"}, RANDBETWEEN(1,4))</f>
        <v>MedSupply Co</v>
      </c>
      <c r="E763">
        <f t="shared" ca="1" si="111"/>
        <v>27</v>
      </c>
      <c r="F763">
        <f t="shared" ca="1" si="112"/>
        <v>76</v>
      </c>
      <c r="G763">
        <f t="shared" ca="1" si="113"/>
        <v>0.97</v>
      </c>
      <c r="H763" s="1">
        <f t="shared" ca="1" si="114"/>
        <v>46350</v>
      </c>
      <c r="I763" s="1">
        <f t="shared" ca="1" si="115"/>
        <v>46056</v>
      </c>
      <c r="J763">
        <f t="shared" ca="1" si="116"/>
        <v>26.189999999999998</v>
      </c>
      <c r="K763" t="str">
        <f t="shared" ca="1" si="117"/>
        <v>Low Stock</v>
      </c>
      <c r="L763" s="2">
        <f t="shared" ca="1" si="118"/>
        <v>231</v>
      </c>
      <c r="M763" t="str">
        <f t="shared" ca="1" si="119"/>
        <v>Safe</v>
      </c>
    </row>
    <row r="764" spans="1:13" x14ac:dyDescent="0.25">
      <c r="A764" t="str">
        <f t="shared" si="110"/>
        <v>M763</v>
      </c>
      <c r="B764" t="str" cm="1">
        <f t="array" aca="1" ref="B764" ca="1">INDEX({"Paracetamol","Amoxicillin","Ibuprofen","Cetirizine","Metformin","Amlodipine","Omeprazole","Azithromycin","Losartan","Vitamin C"}, RANDBETWEEN(1,10))</f>
        <v>Ibuprofen</v>
      </c>
      <c r="C764" t="str" cm="1">
        <f t="array" aca="1" ref="C764" ca="1">INDEX({"Painkiller","Antibiotic","Painkiller","Antihistamine","Diabetes","Hypertension","Antacid","Antibiotic","Hypertension","Supplement"},
MATCH(B764,{"Paracetamol","Amoxicillin","Ibuprofen","Cetirizine","Metformin","Amlodipine","Omeprazole","Azithromycin","Losartan","Vitamin C"},0))</f>
        <v>Painkiller</v>
      </c>
      <c r="D764" t="str" cm="1">
        <f t="array" aca="1" ref="D764" ca="1">INDEX({"MedSupply Co","HealthCorp","PharmaPlus","GlobalMed"}, RANDBETWEEN(1,4))</f>
        <v>PharmaPlus</v>
      </c>
      <c r="E764">
        <f t="shared" ca="1" si="111"/>
        <v>198</v>
      </c>
      <c r="F764">
        <f t="shared" ca="1" si="112"/>
        <v>47</v>
      </c>
      <c r="G764">
        <f t="shared" ca="1" si="113"/>
        <v>1.64</v>
      </c>
      <c r="H764" s="1">
        <f t="shared" ca="1" si="114"/>
        <v>46470</v>
      </c>
      <c r="I764" s="1">
        <f t="shared" ca="1" si="115"/>
        <v>45993</v>
      </c>
      <c r="J764">
        <f t="shared" ca="1" si="116"/>
        <v>324.71999999999997</v>
      </c>
      <c r="K764" t="str">
        <f t="shared" ca="1" si="117"/>
        <v>In Stock</v>
      </c>
      <c r="L764" s="2">
        <f t="shared" ca="1" si="118"/>
        <v>351</v>
      </c>
      <c r="M764" t="str">
        <f t="shared" ca="1" si="119"/>
        <v>Safe</v>
      </c>
    </row>
    <row r="765" spans="1:13" x14ac:dyDescent="0.25">
      <c r="A765" t="str">
        <f t="shared" si="110"/>
        <v>M764</v>
      </c>
      <c r="B765" t="str" cm="1">
        <f t="array" aca="1" ref="B765" ca="1">INDEX({"Paracetamol","Amoxicillin","Ibuprofen","Cetirizine","Metformin","Amlodipine","Omeprazole","Azithromycin","Losartan","Vitamin C"}, RANDBETWEEN(1,10))</f>
        <v>Amlodipine</v>
      </c>
      <c r="C765" t="str" cm="1">
        <f t="array" aca="1" ref="C765" ca="1">INDEX({"Painkiller","Antibiotic","Painkiller","Antihistamine","Diabetes","Hypertension","Antacid","Antibiotic","Hypertension","Supplement"},
MATCH(B765,{"Paracetamol","Amoxicillin","Ibuprofen","Cetirizine","Metformin","Amlodipine","Omeprazole","Azithromycin","Losartan","Vitamin C"},0))</f>
        <v>Hypertension</v>
      </c>
      <c r="D765" t="str" cm="1">
        <f t="array" aca="1" ref="D765" ca="1">INDEX({"MedSupply Co","HealthCorp","PharmaPlus","GlobalMed"}, RANDBETWEEN(1,4))</f>
        <v>HealthCorp</v>
      </c>
      <c r="E765">
        <f t="shared" ca="1" si="111"/>
        <v>43</v>
      </c>
      <c r="F765">
        <f t="shared" ca="1" si="112"/>
        <v>96</v>
      </c>
      <c r="G765">
        <f t="shared" ca="1" si="113"/>
        <v>1.17</v>
      </c>
      <c r="H765" s="1">
        <f t="shared" ca="1" si="114"/>
        <v>46230</v>
      </c>
      <c r="I765" s="1">
        <f t="shared" ca="1" si="115"/>
        <v>46026</v>
      </c>
      <c r="J765">
        <f t="shared" ca="1" si="116"/>
        <v>50.309999999999995</v>
      </c>
      <c r="K765" t="str">
        <f t="shared" ca="1" si="117"/>
        <v>Low Stock</v>
      </c>
      <c r="L765" s="2">
        <f t="shared" ca="1" si="118"/>
        <v>111</v>
      </c>
      <c r="M765" t="str">
        <f t="shared" ca="1" si="119"/>
        <v>Safe</v>
      </c>
    </row>
    <row r="766" spans="1:13" x14ac:dyDescent="0.25">
      <c r="A766" t="str">
        <f t="shared" si="110"/>
        <v>M765</v>
      </c>
      <c r="B766" t="str" cm="1">
        <f t="array" aca="1" ref="B766" ca="1">INDEX({"Paracetamol","Amoxicillin","Ibuprofen","Cetirizine","Metformin","Amlodipine","Omeprazole","Azithromycin","Losartan","Vitamin C"}, RANDBETWEEN(1,10))</f>
        <v>Omeprazole</v>
      </c>
      <c r="C766" t="str" cm="1">
        <f t="array" aca="1" ref="C766" ca="1">INDEX({"Painkiller","Antibiotic","Painkiller","Antihistamine","Diabetes","Hypertension","Antacid","Antibiotic","Hypertension","Supplement"},
MATCH(B766,{"Paracetamol","Amoxicillin","Ibuprofen","Cetirizine","Metformin","Amlodipine","Omeprazole","Azithromycin","Losartan","Vitamin C"},0))</f>
        <v>Antacid</v>
      </c>
      <c r="D766" t="str" cm="1">
        <f t="array" aca="1" ref="D766" ca="1">INDEX({"MedSupply Co","HealthCorp","PharmaPlus","GlobalMed"}, RANDBETWEEN(1,4))</f>
        <v>GlobalMed</v>
      </c>
      <c r="E766">
        <f t="shared" ca="1" si="111"/>
        <v>182</v>
      </c>
      <c r="F766">
        <f t="shared" ca="1" si="112"/>
        <v>25</v>
      </c>
      <c r="G766">
        <f t="shared" ca="1" si="113"/>
        <v>0.82</v>
      </c>
      <c r="H766" s="1">
        <f t="shared" ca="1" si="114"/>
        <v>46181</v>
      </c>
      <c r="I766" s="1">
        <f t="shared" ca="1" si="115"/>
        <v>46115</v>
      </c>
      <c r="J766">
        <f t="shared" ca="1" si="116"/>
        <v>149.23999999999998</v>
      </c>
      <c r="K766" t="str">
        <f t="shared" ca="1" si="117"/>
        <v>In Stock</v>
      </c>
      <c r="L766" s="2">
        <f t="shared" ca="1" si="118"/>
        <v>62</v>
      </c>
      <c r="M766" t="str">
        <f t="shared" ca="1" si="119"/>
        <v>Safe</v>
      </c>
    </row>
    <row r="767" spans="1:13" x14ac:dyDescent="0.25">
      <c r="A767" t="str">
        <f t="shared" si="110"/>
        <v>M766</v>
      </c>
      <c r="B767" t="str" cm="1">
        <f t="array" aca="1" ref="B767" ca="1">INDEX({"Paracetamol","Amoxicillin","Ibuprofen","Cetirizine","Metformin","Amlodipine","Omeprazole","Azithromycin","Losartan","Vitamin C"}, RANDBETWEEN(1,10))</f>
        <v>Omeprazole</v>
      </c>
      <c r="C767" t="str" cm="1">
        <f t="array" aca="1" ref="C767" ca="1">INDEX({"Painkiller","Antibiotic","Painkiller","Antihistamine","Diabetes","Hypertension","Antacid","Antibiotic","Hypertension","Supplement"},
MATCH(B767,{"Paracetamol","Amoxicillin","Ibuprofen","Cetirizine","Metformin","Amlodipine","Omeprazole","Azithromycin","Losartan","Vitamin C"},0))</f>
        <v>Antacid</v>
      </c>
      <c r="D767" t="str" cm="1">
        <f t="array" aca="1" ref="D767" ca="1">INDEX({"MedSupply Co","HealthCorp","PharmaPlus","GlobalMed"}, RANDBETWEEN(1,4))</f>
        <v>PharmaPlus</v>
      </c>
      <c r="E767">
        <f t="shared" ca="1" si="111"/>
        <v>23</v>
      </c>
      <c r="F767">
        <f t="shared" ca="1" si="112"/>
        <v>68</v>
      </c>
      <c r="G767">
        <f t="shared" ca="1" si="113"/>
        <v>1.26</v>
      </c>
      <c r="H767" s="1">
        <f t="shared" ca="1" si="114"/>
        <v>46372</v>
      </c>
      <c r="I767" s="1">
        <f t="shared" ca="1" si="115"/>
        <v>45947</v>
      </c>
      <c r="J767">
        <f t="shared" ca="1" si="116"/>
        <v>28.98</v>
      </c>
      <c r="K767" t="str">
        <f t="shared" ca="1" si="117"/>
        <v>Low Stock</v>
      </c>
      <c r="L767" s="2">
        <f t="shared" ca="1" si="118"/>
        <v>253</v>
      </c>
      <c r="M767" t="str">
        <f t="shared" ca="1" si="119"/>
        <v>Safe</v>
      </c>
    </row>
    <row r="768" spans="1:13" x14ac:dyDescent="0.25">
      <c r="A768" t="str">
        <f t="shared" si="110"/>
        <v>M767</v>
      </c>
      <c r="B768" t="str" cm="1">
        <f t="array" aca="1" ref="B768" ca="1">INDEX({"Paracetamol","Amoxicillin","Ibuprofen","Cetirizine","Metformin","Amlodipine","Omeprazole","Azithromycin","Losartan","Vitamin C"}, RANDBETWEEN(1,10))</f>
        <v>Omeprazole</v>
      </c>
      <c r="C768" t="str" cm="1">
        <f t="array" aca="1" ref="C768" ca="1">INDEX({"Painkiller","Antibiotic","Painkiller","Antihistamine","Diabetes","Hypertension","Antacid","Antibiotic","Hypertension","Supplement"},
MATCH(B768,{"Paracetamol","Amoxicillin","Ibuprofen","Cetirizine","Metformin","Amlodipine","Omeprazole","Azithromycin","Losartan","Vitamin C"},0))</f>
        <v>Antacid</v>
      </c>
      <c r="D768" t="str" cm="1">
        <f t="array" aca="1" ref="D768" ca="1">INDEX({"MedSupply Co","HealthCorp","PharmaPlus","GlobalMed"}, RANDBETWEEN(1,4))</f>
        <v>GlobalMed</v>
      </c>
      <c r="E768">
        <f t="shared" ca="1" si="111"/>
        <v>48</v>
      </c>
      <c r="F768">
        <f t="shared" ca="1" si="112"/>
        <v>86</v>
      </c>
      <c r="G768">
        <f t="shared" ca="1" si="113"/>
        <v>1.3</v>
      </c>
      <c r="H768" s="1">
        <f t="shared" ca="1" si="114"/>
        <v>46350</v>
      </c>
      <c r="I768" s="1">
        <f t="shared" ca="1" si="115"/>
        <v>45960</v>
      </c>
      <c r="J768">
        <f t="shared" ca="1" si="116"/>
        <v>62.400000000000006</v>
      </c>
      <c r="K768" t="str">
        <f t="shared" ca="1" si="117"/>
        <v>Low Stock</v>
      </c>
      <c r="L768" s="2">
        <f t="shared" ca="1" si="118"/>
        <v>231</v>
      </c>
      <c r="M768" t="str">
        <f t="shared" ca="1" si="119"/>
        <v>Safe</v>
      </c>
    </row>
    <row r="769" spans="1:13" x14ac:dyDescent="0.25">
      <c r="A769" t="str">
        <f t="shared" si="110"/>
        <v>M768</v>
      </c>
      <c r="B769" t="str" cm="1">
        <f t="array" aca="1" ref="B769" ca="1">INDEX({"Paracetamol","Amoxicillin","Ibuprofen","Cetirizine","Metformin","Amlodipine","Omeprazole","Azithromycin","Losartan","Vitamin C"}, RANDBETWEEN(1,10))</f>
        <v>Azithromycin</v>
      </c>
      <c r="C769" t="str" cm="1">
        <f t="array" aca="1" ref="C769" ca="1">INDEX({"Painkiller","Antibiotic","Painkiller","Antihistamine","Diabetes","Hypertension","Antacid","Antibiotic","Hypertension","Supplement"},
MATCH(B769,{"Paracetamol","Amoxicillin","Ibuprofen","Cetirizine","Metformin","Amlodipine","Omeprazole","Azithromycin","Losartan","Vitamin C"},0))</f>
        <v>Antibiotic</v>
      </c>
      <c r="D769" t="str" cm="1">
        <f t="array" aca="1" ref="D769" ca="1">INDEX({"MedSupply Co","HealthCorp","PharmaPlus","GlobalMed"}, RANDBETWEEN(1,4))</f>
        <v>GlobalMed</v>
      </c>
      <c r="E769">
        <f t="shared" ca="1" si="111"/>
        <v>3</v>
      </c>
      <c r="F769">
        <f t="shared" ca="1" si="112"/>
        <v>62</v>
      </c>
      <c r="G769">
        <f t="shared" ca="1" si="113"/>
        <v>1.89</v>
      </c>
      <c r="H769" s="1">
        <f t="shared" ca="1" si="114"/>
        <v>46149</v>
      </c>
      <c r="I769" s="1">
        <f t="shared" ca="1" si="115"/>
        <v>46099</v>
      </c>
      <c r="J769">
        <f t="shared" ca="1" si="116"/>
        <v>5.67</v>
      </c>
      <c r="K769" t="str">
        <f t="shared" ca="1" si="117"/>
        <v>Low Stock</v>
      </c>
      <c r="L769" s="2">
        <f t="shared" ca="1" si="118"/>
        <v>30</v>
      </c>
      <c r="M769" t="str">
        <f t="shared" ca="1" si="119"/>
        <v>Expiring Soon</v>
      </c>
    </row>
    <row r="770" spans="1:13" x14ac:dyDescent="0.25">
      <c r="A770" t="str">
        <f t="shared" si="110"/>
        <v>M769</v>
      </c>
      <c r="B770" t="str" cm="1">
        <f t="array" aca="1" ref="B770" ca="1">INDEX({"Paracetamol","Amoxicillin","Ibuprofen","Cetirizine","Metformin","Amlodipine","Omeprazole","Azithromycin","Losartan","Vitamin C"}, RANDBETWEEN(1,10))</f>
        <v>Amoxicillin</v>
      </c>
      <c r="C770" t="str" cm="1">
        <f t="array" aca="1" ref="C770" ca="1">INDEX({"Painkiller","Antibiotic","Painkiller","Antihistamine","Diabetes","Hypertension","Antacid","Antibiotic","Hypertension","Supplement"},
MATCH(B770,{"Paracetamol","Amoxicillin","Ibuprofen","Cetirizine","Metformin","Amlodipine","Omeprazole","Azithromycin","Losartan","Vitamin C"},0))</f>
        <v>Antibiotic</v>
      </c>
      <c r="D770" t="str" cm="1">
        <f t="array" aca="1" ref="D770" ca="1">INDEX({"MedSupply Co","HealthCorp","PharmaPlus","GlobalMed"}, RANDBETWEEN(1,4))</f>
        <v>HealthCorp</v>
      </c>
      <c r="E770">
        <f t="shared" ca="1" si="111"/>
        <v>184</v>
      </c>
      <c r="F770">
        <f t="shared" ca="1" si="112"/>
        <v>90</v>
      </c>
      <c r="G770">
        <f t="shared" ca="1" si="113"/>
        <v>1.02</v>
      </c>
      <c r="H770" s="1">
        <f t="shared" ca="1" si="114"/>
        <v>46201</v>
      </c>
      <c r="I770" s="1">
        <f t="shared" ca="1" si="115"/>
        <v>45969</v>
      </c>
      <c r="J770">
        <f t="shared" ca="1" si="116"/>
        <v>187.68</v>
      </c>
      <c r="K770" t="str">
        <f t="shared" ca="1" si="117"/>
        <v>In Stock</v>
      </c>
      <c r="L770" s="2">
        <f t="shared" ca="1" si="118"/>
        <v>82</v>
      </c>
      <c r="M770" t="str">
        <f t="shared" ca="1" si="119"/>
        <v>Safe</v>
      </c>
    </row>
    <row r="771" spans="1:13" x14ac:dyDescent="0.25">
      <c r="A771" t="str">
        <f t="shared" ref="A771:A834" si="120">"M"&amp;TEXT(ROW(A770),"000")</f>
        <v>M770</v>
      </c>
      <c r="B771" t="str" cm="1">
        <f t="array" aca="1" ref="B771" ca="1">INDEX({"Paracetamol","Amoxicillin","Ibuprofen","Cetirizine","Metformin","Amlodipine","Omeprazole","Azithromycin","Losartan","Vitamin C"}, RANDBETWEEN(1,10))</f>
        <v>Ibuprofen</v>
      </c>
      <c r="C771" t="str" cm="1">
        <f t="array" aca="1" ref="C771" ca="1">INDEX({"Painkiller","Antibiotic","Painkiller","Antihistamine","Diabetes","Hypertension","Antacid","Antibiotic","Hypertension","Supplement"},
MATCH(B771,{"Paracetamol","Amoxicillin","Ibuprofen","Cetirizine","Metformin","Amlodipine","Omeprazole","Azithromycin","Losartan","Vitamin C"},0))</f>
        <v>Painkiller</v>
      </c>
      <c r="D771" t="str" cm="1">
        <f t="array" aca="1" ref="D771" ca="1">INDEX({"MedSupply Co","HealthCorp","PharmaPlus","GlobalMed"}, RANDBETWEEN(1,4))</f>
        <v>PharmaPlus</v>
      </c>
      <c r="E771">
        <f t="shared" ref="E771:E834" ca="1" si="121">RANDBETWEEN(0,200)</f>
        <v>14</v>
      </c>
      <c r="F771">
        <f t="shared" ref="F771:F834" ca="1" si="122">RANDBETWEEN(20,100)</f>
        <v>51</v>
      </c>
      <c r="G771">
        <f t="shared" ref="G771:G834" ca="1" si="123">ROUND(RANDBETWEEN(50,200)/100,2)</f>
        <v>1.02</v>
      </c>
      <c r="H771" s="1">
        <f t="shared" ref="H771:H834" ca="1" si="124">TODAY()+RANDBETWEEN(30,365)</f>
        <v>46481</v>
      </c>
      <c r="I771" s="1">
        <f t="shared" ref="I771:I834" ca="1" si="125">TODAY()-RANDBETWEEN(1,180)</f>
        <v>46014</v>
      </c>
      <c r="J771">
        <f t="shared" ref="J771:J834" ca="1" si="126">E771*G771</f>
        <v>14.280000000000001</v>
      </c>
      <c r="K771" t="str">
        <f t="shared" ref="K771:K834" ca="1" si="127">IF(E771=0,"Out of Stock",IF(E771&lt;F771,"Low Stock","In Stock"))</f>
        <v>Low Stock</v>
      </c>
      <c r="L771" s="2">
        <f t="shared" ref="L771:L834" ca="1" si="128">H771-TODAY()</f>
        <v>362</v>
      </c>
      <c r="M771" t="str">
        <f t="shared" ref="M771:M834" ca="1" si="129">IF(H771&lt;=TODAY()+30,"Expiring Soon","Safe")</f>
        <v>Safe</v>
      </c>
    </row>
    <row r="772" spans="1:13" x14ac:dyDescent="0.25">
      <c r="A772" t="str">
        <f t="shared" si="120"/>
        <v>M771</v>
      </c>
      <c r="B772" t="str" cm="1">
        <f t="array" aca="1" ref="B772" ca="1">INDEX({"Paracetamol","Amoxicillin","Ibuprofen","Cetirizine","Metformin","Amlodipine","Omeprazole","Azithromycin","Losartan","Vitamin C"}, RANDBETWEEN(1,10))</f>
        <v>Cetirizine</v>
      </c>
      <c r="C772" t="str" cm="1">
        <f t="array" aca="1" ref="C772" ca="1">INDEX({"Painkiller","Antibiotic","Painkiller","Antihistamine","Diabetes","Hypertension","Antacid","Antibiotic","Hypertension","Supplement"},
MATCH(B772,{"Paracetamol","Amoxicillin","Ibuprofen","Cetirizine","Metformin","Amlodipine","Omeprazole","Azithromycin","Losartan","Vitamin C"},0))</f>
        <v>Antihistamine</v>
      </c>
      <c r="D772" t="str" cm="1">
        <f t="array" aca="1" ref="D772" ca="1">INDEX({"MedSupply Co","HealthCorp","PharmaPlus","GlobalMed"}, RANDBETWEEN(1,4))</f>
        <v>GlobalMed</v>
      </c>
      <c r="E772">
        <f t="shared" ca="1" si="121"/>
        <v>147</v>
      </c>
      <c r="F772">
        <f t="shared" ca="1" si="122"/>
        <v>60</v>
      </c>
      <c r="G772">
        <f t="shared" ca="1" si="123"/>
        <v>1.03</v>
      </c>
      <c r="H772" s="1">
        <f t="shared" ca="1" si="124"/>
        <v>46154</v>
      </c>
      <c r="I772" s="1">
        <f t="shared" ca="1" si="125"/>
        <v>46031</v>
      </c>
      <c r="J772">
        <f t="shared" ca="1" si="126"/>
        <v>151.41</v>
      </c>
      <c r="K772" t="str">
        <f t="shared" ca="1" si="127"/>
        <v>In Stock</v>
      </c>
      <c r="L772" s="2">
        <f t="shared" ca="1" si="128"/>
        <v>35</v>
      </c>
      <c r="M772" t="str">
        <f t="shared" ca="1" si="129"/>
        <v>Safe</v>
      </c>
    </row>
    <row r="773" spans="1:13" x14ac:dyDescent="0.25">
      <c r="A773" t="str">
        <f t="shared" si="120"/>
        <v>M772</v>
      </c>
      <c r="B773" t="str" cm="1">
        <f t="array" aca="1" ref="B773" ca="1">INDEX({"Paracetamol","Amoxicillin","Ibuprofen","Cetirizine","Metformin","Amlodipine","Omeprazole","Azithromycin","Losartan","Vitamin C"}, RANDBETWEEN(1,10))</f>
        <v>Metformin</v>
      </c>
      <c r="C773" t="str" cm="1">
        <f t="array" aca="1" ref="C773" ca="1">INDEX({"Painkiller","Antibiotic","Painkiller","Antihistamine","Diabetes","Hypertension","Antacid","Antibiotic","Hypertension","Supplement"},
MATCH(B773,{"Paracetamol","Amoxicillin","Ibuprofen","Cetirizine","Metformin","Amlodipine","Omeprazole","Azithromycin","Losartan","Vitamin C"},0))</f>
        <v>Diabetes</v>
      </c>
      <c r="D773" t="str" cm="1">
        <f t="array" aca="1" ref="D773" ca="1">INDEX({"MedSupply Co","HealthCorp","PharmaPlus","GlobalMed"}, RANDBETWEEN(1,4))</f>
        <v>GlobalMed</v>
      </c>
      <c r="E773">
        <f t="shared" ca="1" si="121"/>
        <v>73</v>
      </c>
      <c r="F773">
        <f t="shared" ca="1" si="122"/>
        <v>98</v>
      </c>
      <c r="G773">
        <f t="shared" ca="1" si="123"/>
        <v>1.75</v>
      </c>
      <c r="H773" s="1">
        <f t="shared" ca="1" si="124"/>
        <v>46217</v>
      </c>
      <c r="I773" s="1">
        <f t="shared" ca="1" si="125"/>
        <v>46109</v>
      </c>
      <c r="J773">
        <f t="shared" ca="1" si="126"/>
        <v>127.75</v>
      </c>
      <c r="K773" t="str">
        <f t="shared" ca="1" si="127"/>
        <v>Low Stock</v>
      </c>
      <c r="L773" s="2">
        <f t="shared" ca="1" si="128"/>
        <v>98</v>
      </c>
      <c r="M773" t="str">
        <f t="shared" ca="1" si="129"/>
        <v>Safe</v>
      </c>
    </row>
    <row r="774" spans="1:13" x14ac:dyDescent="0.25">
      <c r="A774" t="str">
        <f t="shared" si="120"/>
        <v>M773</v>
      </c>
      <c r="B774" t="str" cm="1">
        <f t="array" aca="1" ref="B774" ca="1">INDEX({"Paracetamol","Amoxicillin","Ibuprofen","Cetirizine","Metformin","Amlodipine","Omeprazole","Azithromycin","Losartan","Vitamin C"}, RANDBETWEEN(1,10))</f>
        <v>Azithromycin</v>
      </c>
      <c r="C774" t="str" cm="1">
        <f t="array" aca="1" ref="C774" ca="1">INDEX({"Painkiller","Antibiotic","Painkiller","Antihistamine","Diabetes","Hypertension","Antacid","Antibiotic","Hypertension","Supplement"},
MATCH(B774,{"Paracetamol","Amoxicillin","Ibuprofen","Cetirizine","Metformin","Amlodipine","Omeprazole","Azithromycin","Losartan","Vitamin C"},0))</f>
        <v>Antibiotic</v>
      </c>
      <c r="D774" t="str" cm="1">
        <f t="array" aca="1" ref="D774" ca="1">INDEX({"MedSupply Co","HealthCorp","PharmaPlus","GlobalMed"}, RANDBETWEEN(1,4))</f>
        <v>MedSupply Co</v>
      </c>
      <c r="E774">
        <f t="shared" ca="1" si="121"/>
        <v>162</v>
      </c>
      <c r="F774">
        <f t="shared" ca="1" si="122"/>
        <v>28</v>
      </c>
      <c r="G774">
        <f t="shared" ca="1" si="123"/>
        <v>0.82</v>
      </c>
      <c r="H774" s="1">
        <f t="shared" ca="1" si="124"/>
        <v>46266</v>
      </c>
      <c r="I774" s="1">
        <f t="shared" ca="1" si="125"/>
        <v>46045</v>
      </c>
      <c r="J774">
        <f t="shared" ca="1" si="126"/>
        <v>132.84</v>
      </c>
      <c r="K774" t="str">
        <f t="shared" ca="1" si="127"/>
        <v>In Stock</v>
      </c>
      <c r="L774" s="2">
        <f t="shared" ca="1" si="128"/>
        <v>147</v>
      </c>
      <c r="M774" t="str">
        <f t="shared" ca="1" si="129"/>
        <v>Safe</v>
      </c>
    </row>
    <row r="775" spans="1:13" x14ac:dyDescent="0.25">
      <c r="A775" t="str">
        <f t="shared" si="120"/>
        <v>M774</v>
      </c>
      <c r="B775" t="str" cm="1">
        <f t="array" aca="1" ref="B775" ca="1">INDEX({"Paracetamol","Amoxicillin","Ibuprofen","Cetirizine","Metformin","Amlodipine","Omeprazole","Azithromycin","Losartan","Vitamin C"}, RANDBETWEEN(1,10))</f>
        <v>Amoxicillin</v>
      </c>
      <c r="C775" t="str" cm="1">
        <f t="array" aca="1" ref="C775" ca="1">INDEX({"Painkiller","Antibiotic","Painkiller","Antihistamine","Diabetes","Hypertension","Antacid","Antibiotic","Hypertension","Supplement"},
MATCH(B775,{"Paracetamol","Amoxicillin","Ibuprofen","Cetirizine","Metformin","Amlodipine","Omeprazole","Azithromycin","Losartan","Vitamin C"},0))</f>
        <v>Antibiotic</v>
      </c>
      <c r="D775" t="str" cm="1">
        <f t="array" aca="1" ref="D775" ca="1">INDEX({"MedSupply Co","HealthCorp","PharmaPlus","GlobalMed"}, RANDBETWEEN(1,4))</f>
        <v>HealthCorp</v>
      </c>
      <c r="E775">
        <f t="shared" ca="1" si="121"/>
        <v>127</v>
      </c>
      <c r="F775">
        <f t="shared" ca="1" si="122"/>
        <v>51</v>
      </c>
      <c r="G775">
        <f t="shared" ca="1" si="123"/>
        <v>1.83</v>
      </c>
      <c r="H775" s="1">
        <f t="shared" ca="1" si="124"/>
        <v>46390</v>
      </c>
      <c r="I775" s="1">
        <f t="shared" ca="1" si="125"/>
        <v>45941</v>
      </c>
      <c r="J775">
        <f t="shared" ca="1" si="126"/>
        <v>232.41</v>
      </c>
      <c r="K775" t="str">
        <f t="shared" ca="1" si="127"/>
        <v>In Stock</v>
      </c>
      <c r="L775" s="2">
        <f t="shared" ca="1" si="128"/>
        <v>271</v>
      </c>
      <c r="M775" t="str">
        <f t="shared" ca="1" si="129"/>
        <v>Safe</v>
      </c>
    </row>
    <row r="776" spans="1:13" x14ac:dyDescent="0.25">
      <c r="A776" t="str">
        <f t="shared" si="120"/>
        <v>M775</v>
      </c>
      <c r="B776" t="str" cm="1">
        <f t="array" aca="1" ref="B776" ca="1">INDEX({"Paracetamol","Amoxicillin","Ibuprofen","Cetirizine","Metformin","Amlodipine","Omeprazole","Azithromycin","Losartan","Vitamin C"}, RANDBETWEEN(1,10))</f>
        <v>Omeprazole</v>
      </c>
      <c r="C776" t="str" cm="1">
        <f t="array" aca="1" ref="C776" ca="1">INDEX({"Painkiller","Antibiotic","Painkiller","Antihistamine","Diabetes","Hypertension","Antacid","Antibiotic","Hypertension","Supplement"},
MATCH(B776,{"Paracetamol","Amoxicillin","Ibuprofen","Cetirizine","Metformin","Amlodipine","Omeprazole","Azithromycin","Losartan","Vitamin C"},0))</f>
        <v>Antacid</v>
      </c>
      <c r="D776" t="str" cm="1">
        <f t="array" aca="1" ref="D776" ca="1">INDEX({"MedSupply Co","HealthCorp","PharmaPlus","GlobalMed"}, RANDBETWEEN(1,4))</f>
        <v>HealthCorp</v>
      </c>
      <c r="E776">
        <f t="shared" ca="1" si="121"/>
        <v>138</v>
      </c>
      <c r="F776">
        <f t="shared" ca="1" si="122"/>
        <v>55</v>
      </c>
      <c r="G776">
        <f t="shared" ca="1" si="123"/>
        <v>1.99</v>
      </c>
      <c r="H776" s="1">
        <f t="shared" ca="1" si="124"/>
        <v>46166</v>
      </c>
      <c r="I776" s="1">
        <f t="shared" ca="1" si="125"/>
        <v>46000</v>
      </c>
      <c r="J776">
        <f t="shared" ca="1" si="126"/>
        <v>274.62</v>
      </c>
      <c r="K776" t="str">
        <f t="shared" ca="1" si="127"/>
        <v>In Stock</v>
      </c>
      <c r="L776" s="2">
        <f t="shared" ca="1" si="128"/>
        <v>47</v>
      </c>
      <c r="M776" t="str">
        <f t="shared" ca="1" si="129"/>
        <v>Safe</v>
      </c>
    </row>
    <row r="777" spans="1:13" x14ac:dyDescent="0.25">
      <c r="A777" t="str">
        <f t="shared" si="120"/>
        <v>M776</v>
      </c>
      <c r="B777" t="str" cm="1">
        <f t="array" aca="1" ref="B777" ca="1">INDEX({"Paracetamol","Amoxicillin","Ibuprofen","Cetirizine","Metformin","Amlodipine","Omeprazole","Azithromycin","Losartan","Vitamin C"}, RANDBETWEEN(1,10))</f>
        <v>Azithromycin</v>
      </c>
      <c r="C777" t="str" cm="1">
        <f t="array" aca="1" ref="C777" ca="1">INDEX({"Painkiller","Antibiotic","Painkiller","Antihistamine","Diabetes","Hypertension","Antacid","Antibiotic","Hypertension","Supplement"},
MATCH(B777,{"Paracetamol","Amoxicillin","Ibuprofen","Cetirizine","Metformin","Amlodipine","Omeprazole","Azithromycin","Losartan","Vitamin C"},0))</f>
        <v>Antibiotic</v>
      </c>
      <c r="D777" t="str" cm="1">
        <f t="array" aca="1" ref="D777" ca="1">INDEX({"MedSupply Co","HealthCorp","PharmaPlus","GlobalMed"}, RANDBETWEEN(1,4))</f>
        <v>MedSupply Co</v>
      </c>
      <c r="E777">
        <f t="shared" ca="1" si="121"/>
        <v>96</v>
      </c>
      <c r="F777">
        <f t="shared" ca="1" si="122"/>
        <v>87</v>
      </c>
      <c r="G777">
        <f t="shared" ca="1" si="123"/>
        <v>0.81</v>
      </c>
      <c r="H777" s="1">
        <f t="shared" ca="1" si="124"/>
        <v>46219</v>
      </c>
      <c r="I777" s="1">
        <f t="shared" ca="1" si="125"/>
        <v>46016</v>
      </c>
      <c r="J777">
        <f t="shared" ca="1" si="126"/>
        <v>77.760000000000005</v>
      </c>
      <c r="K777" t="str">
        <f t="shared" ca="1" si="127"/>
        <v>In Stock</v>
      </c>
      <c r="L777" s="2">
        <f t="shared" ca="1" si="128"/>
        <v>100</v>
      </c>
      <c r="M777" t="str">
        <f t="shared" ca="1" si="129"/>
        <v>Safe</v>
      </c>
    </row>
    <row r="778" spans="1:13" x14ac:dyDescent="0.25">
      <c r="A778" t="str">
        <f t="shared" si="120"/>
        <v>M777</v>
      </c>
      <c r="B778" t="str" cm="1">
        <f t="array" aca="1" ref="B778" ca="1">INDEX({"Paracetamol","Amoxicillin","Ibuprofen","Cetirizine","Metformin","Amlodipine","Omeprazole","Azithromycin","Losartan","Vitamin C"}, RANDBETWEEN(1,10))</f>
        <v>Azithromycin</v>
      </c>
      <c r="C778" t="str" cm="1">
        <f t="array" aca="1" ref="C778" ca="1">INDEX({"Painkiller","Antibiotic","Painkiller","Antihistamine","Diabetes","Hypertension","Antacid","Antibiotic","Hypertension","Supplement"},
MATCH(B778,{"Paracetamol","Amoxicillin","Ibuprofen","Cetirizine","Metformin","Amlodipine","Omeprazole","Azithromycin","Losartan","Vitamin C"},0))</f>
        <v>Antibiotic</v>
      </c>
      <c r="D778" t="str" cm="1">
        <f t="array" aca="1" ref="D778" ca="1">INDEX({"MedSupply Co","HealthCorp","PharmaPlus","GlobalMed"}, RANDBETWEEN(1,4))</f>
        <v>PharmaPlus</v>
      </c>
      <c r="E778">
        <f t="shared" ca="1" si="121"/>
        <v>106</v>
      </c>
      <c r="F778">
        <f t="shared" ca="1" si="122"/>
        <v>65</v>
      </c>
      <c r="G778">
        <f t="shared" ca="1" si="123"/>
        <v>1.65</v>
      </c>
      <c r="H778" s="1">
        <f t="shared" ca="1" si="124"/>
        <v>46471</v>
      </c>
      <c r="I778" s="1">
        <f t="shared" ca="1" si="125"/>
        <v>46021</v>
      </c>
      <c r="J778">
        <f t="shared" ca="1" si="126"/>
        <v>174.89999999999998</v>
      </c>
      <c r="K778" t="str">
        <f t="shared" ca="1" si="127"/>
        <v>In Stock</v>
      </c>
      <c r="L778" s="2">
        <f t="shared" ca="1" si="128"/>
        <v>352</v>
      </c>
      <c r="M778" t="str">
        <f t="shared" ca="1" si="129"/>
        <v>Safe</v>
      </c>
    </row>
    <row r="779" spans="1:13" x14ac:dyDescent="0.25">
      <c r="A779" t="str">
        <f t="shared" si="120"/>
        <v>M778</v>
      </c>
      <c r="B779" t="str" cm="1">
        <f t="array" aca="1" ref="B779" ca="1">INDEX({"Paracetamol","Amoxicillin","Ibuprofen","Cetirizine","Metformin","Amlodipine","Omeprazole","Azithromycin","Losartan","Vitamin C"}, RANDBETWEEN(1,10))</f>
        <v>Vitamin C</v>
      </c>
      <c r="C779" t="str" cm="1">
        <f t="array" aca="1" ref="C779" ca="1">INDEX({"Painkiller","Antibiotic","Painkiller","Antihistamine","Diabetes","Hypertension","Antacid","Antibiotic","Hypertension","Supplement"},
MATCH(B779,{"Paracetamol","Amoxicillin","Ibuprofen","Cetirizine","Metformin","Amlodipine","Omeprazole","Azithromycin","Losartan","Vitamin C"},0))</f>
        <v>Supplement</v>
      </c>
      <c r="D779" t="str" cm="1">
        <f t="array" aca="1" ref="D779" ca="1">INDEX({"MedSupply Co","HealthCorp","PharmaPlus","GlobalMed"}, RANDBETWEEN(1,4))</f>
        <v>HealthCorp</v>
      </c>
      <c r="E779">
        <f t="shared" ca="1" si="121"/>
        <v>5</v>
      </c>
      <c r="F779">
        <f t="shared" ca="1" si="122"/>
        <v>62</v>
      </c>
      <c r="G779">
        <f t="shared" ca="1" si="123"/>
        <v>1.47</v>
      </c>
      <c r="H779" s="1">
        <f t="shared" ca="1" si="124"/>
        <v>46346</v>
      </c>
      <c r="I779" s="1">
        <f t="shared" ca="1" si="125"/>
        <v>46036</v>
      </c>
      <c r="J779">
        <f t="shared" ca="1" si="126"/>
        <v>7.35</v>
      </c>
      <c r="K779" t="str">
        <f t="shared" ca="1" si="127"/>
        <v>Low Stock</v>
      </c>
      <c r="L779" s="2">
        <f t="shared" ca="1" si="128"/>
        <v>227</v>
      </c>
      <c r="M779" t="str">
        <f t="shared" ca="1" si="129"/>
        <v>Safe</v>
      </c>
    </row>
    <row r="780" spans="1:13" x14ac:dyDescent="0.25">
      <c r="A780" t="str">
        <f t="shared" si="120"/>
        <v>M779</v>
      </c>
      <c r="B780" t="str" cm="1">
        <f t="array" aca="1" ref="B780" ca="1">INDEX({"Paracetamol","Amoxicillin","Ibuprofen","Cetirizine","Metformin","Amlodipine","Omeprazole","Azithromycin","Losartan","Vitamin C"}, RANDBETWEEN(1,10))</f>
        <v>Cetirizine</v>
      </c>
      <c r="C780" t="str" cm="1">
        <f t="array" aca="1" ref="C780" ca="1">INDEX({"Painkiller","Antibiotic","Painkiller","Antihistamine","Diabetes","Hypertension","Antacid","Antibiotic","Hypertension","Supplement"},
MATCH(B780,{"Paracetamol","Amoxicillin","Ibuprofen","Cetirizine","Metformin","Amlodipine","Omeprazole","Azithromycin","Losartan","Vitamin C"},0))</f>
        <v>Antihistamine</v>
      </c>
      <c r="D780" t="str" cm="1">
        <f t="array" aca="1" ref="D780" ca="1">INDEX({"MedSupply Co","HealthCorp","PharmaPlus","GlobalMed"}, RANDBETWEEN(1,4))</f>
        <v>MedSupply Co</v>
      </c>
      <c r="E780">
        <f t="shared" ca="1" si="121"/>
        <v>67</v>
      </c>
      <c r="F780">
        <f t="shared" ca="1" si="122"/>
        <v>76</v>
      </c>
      <c r="G780">
        <f t="shared" ca="1" si="123"/>
        <v>0.92</v>
      </c>
      <c r="H780" s="1">
        <f t="shared" ca="1" si="124"/>
        <v>46321</v>
      </c>
      <c r="I780" s="1">
        <f t="shared" ca="1" si="125"/>
        <v>45974</v>
      </c>
      <c r="J780">
        <f t="shared" ca="1" si="126"/>
        <v>61.64</v>
      </c>
      <c r="K780" t="str">
        <f t="shared" ca="1" si="127"/>
        <v>Low Stock</v>
      </c>
      <c r="L780" s="2">
        <f t="shared" ca="1" si="128"/>
        <v>202</v>
      </c>
      <c r="M780" t="str">
        <f t="shared" ca="1" si="129"/>
        <v>Safe</v>
      </c>
    </row>
    <row r="781" spans="1:13" x14ac:dyDescent="0.25">
      <c r="A781" t="str">
        <f t="shared" si="120"/>
        <v>M780</v>
      </c>
      <c r="B781" t="str" cm="1">
        <f t="array" aca="1" ref="B781" ca="1">INDEX({"Paracetamol","Amoxicillin","Ibuprofen","Cetirizine","Metformin","Amlodipine","Omeprazole","Azithromycin","Losartan","Vitamin C"}, RANDBETWEEN(1,10))</f>
        <v>Amoxicillin</v>
      </c>
      <c r="C781" t="str" cm="1">
        <f t="array" aca="1" ref="C781" ca="1">INDEX({"Painkiller","Antibiotic","Painkiller","Antihistamine","Diabetes","Hypertension","Antacid","Antibiotic","Hypertension","Supplement"},
MATCH(B781,{"Paracetamol","Amoxicillin","Ibuprofen","Cetirizine","Metformin","Amlodipine","Omeprazole","Azithromycin","Losartan","Vitamin C"},0))</f>
        <v>Antibiotic</v>
      </c>
      <c r="D781" t="str" cm="1">
        <f t="array" aca="1" ref="D781" ca="1">INDEX({"MedSupply Co","HealthCorp","PharmaPlus","GlobalMed"}, RANDBETWEEN(1,4))</f>
        <v>HealthCorp</v>
      </c>
      <c r="E781">
        <f t="shared" ca="1" si="121"/>
        <v>115</v>
      </c>
      <c r="F781">
        <f t="shared" ca="1" si="122"/>
        <v>25</v>
      </c>
      <c r="G781">
        <f t="shared" ca="1" si="123"/>
        <v>0.63</v>
      </c>
      <c r="H781" s="1">
        <f t="shared" ca="1" si="124"/>
        <v>46377</v>
      </c>
      <c r="I781" s="1">
        <f t="shared" ca="1" si="125"/>
        <v>45988</v>
      </c>
      <c r="J781">
        <f t="shared" ca="1" si="126"/>
        <v>72.45</v>
      </c>
      <c r="K781" t="str">
        <f t="shared" ca="1" si="127"/>
        <v>In Stock</v>
      </c>
      <c r="L781" s="2">
        <f t="shared" ca="1" si="128"/>
        <v>258</v>
      </c>
      <c r="M781" t="str">
        <f t="shared" ca="1" si="129"/>
        <v>Safe</v>
      </c>
    </row>
    <row r="782" spans="1:13" x14ac:dyDescent="0.25">
      <c r="A782" t="str">
        <f t="shared" si="120"/>
        <v>M781</v>
      </c>
      <c r="B782" t="str" cm="1">
        <f t="array" aca="1" ref="B782" ca="1">INDEX({"Paracetamol","Amoxicillin","Ibuprofen","Cetirizine","Metformin","Amlodipine","Omeprazole","Azithromycin","Losartan","Vitamin C"}, RANDBETWEEN(1,10))</f>
        <v>Losartan</v>
      </c>
      <c r="C782" t="str" cm="1">
        <f t="array" aca="1" ref="C782" ca="1">INDEX({"Painkiller","Antibiotic","Painkiller","Antihistamine","Diabetes","Hypertension","Antacid","Antibiotic","Hypertension","Supplement"},
MATCH(B782,{"Paracetamol","Amoxicillin","Ibuprofen","Cetirizine","Metformin","Amlodipine","Omeprazole","Azithromycin","Losartan","Vitamin C"},0))</f>
        <v>Hypertension</v>
      </c>
      <c r="D782" t="str" cm="1">
        <f t="array" aca="1" ref="D782" ca="1">INDEX({"MedSupply Co","HealthCorp","PharmaPlus","GlobalMed"}, RANDBETWEEN(1,4))</f>
        <v>PharmaPlus</v>
      </c>
      <c r="E782">
        <f t="shared" ca="1" si="121"/>
        <v>168</v>
      </c>
      <c r="F782">
        <f t="shared" ca="1" si="122"/>
        <v>33</v>
      </c>
      <c r="G782">
        <f t="shared" ca="1" si="123"/>
        <v>0.82</v>
      </c>
      <c r="H782" s="1">
        <f t="shared" ca="1" si="124"/>
        <v>46345</v>
      </c>
      <c r="I782" s="1">
        <f t="shared" ca="1" si="125"/>
        <v>46082</v>
      </c>
      <c r="J782">
        <f t="shared" ca="1" si="126"/>
        <v>137.76</v>
      </c>
      <c r="K782" t="str">
        <f t="shared" ca="1" si="127"/>
        <v>In Stock</v>
      </c>
      <c r="L782" s="2">
        <f t="shared" ca="1" si="128"/>
        <v>226</v>
      </c>
      <c r="M782" t="str">
        <f t="shared" ca="1" si="129"/>
        <v>Safe</v>
      </c>
    </row>
    <row r="783" spans="1:13" x14ac:dyDescent="0.25">
      <c r="A783" t="str">
        <f t="shared" si="120"/>
        <v>M782</v>
      </c>
      <c r="B783" t="str" cm="1">
        <f t="array" aca="1" ref="B783" ca="1">INDEX({"Paracetamol","Amoxicillin","Ibuprofen","Cetirizine","Metformin","Amlodipine","Omeprazole","Azithromycin","Losartan","Vitamin C"}, RANDBETWEEN(1,10))</f>
        <v>Omeprazole</v>
      </c>
      <c r="C783" t="str" cm="1">
        <f t="array" aca="1" ref="C783" ca="1">INDEX({"Painkiller","Antibiotic","Painkiller","Antihistamine","Diabetes","Hypertension","Antacid","Antibiotic","Hypertension","Supplement"},
MATCH(B783,{"Paracetamol","Amoxicillin","Ibuprofen","Cetirizine","Metformin","Amlodipine","Omeprazole","Azithromycin","Losartan","Vitamin C"},0))</f>
        <v>Antacid</v>
      </c>
      <c r="D783" t="str" cm="1">
        <f t="array" aca="1" ref="D783" ca="1">INDEX({"MedSupply Co","HealthCorp","PharmaPlus","GlobalMed"}, RANDBETWEEN(1,4))</f>
        <v>MedSupply Co</v>
      </c>
      <c r="E783">
        <f t="shared" ca="1" si="121"/>
        <v>91</v>
      </c>
      <c r="F783">
        <f t="shared" ca="1" si="122"/>
        <v>69</v>
      </c>
      <c r="G783">
        <f t="shared" ca="1" si="123"/>
        <v>1.42</v>
      </c>
      <c r="H783" s="1">
        <f t="shared" ca="1" si="124"/>
        <v>46235</v>
      </c>
      <c r="I783" s="1">
        <f t="shared" ca="1" si="125"/>
        <v>45958</v>
      </c>
      <c r="J783">
        <f t="shared" ca="1" si="126"/>
        <v>129.22</v>
      </c>
      <c r="K783" t="str">
        <f t="shared" ca="1" si="127"/>
        <v>In Stock</v>
      </c>
      <c r="L783" s="2">
        <f t="shared" ca="1" si="128"/>
        <v>116</v>
      </c>
      <c r="M783" t="str">
        <f t="shared" ca="1" si="129"/>
        <v>Safe</v>
      </c>
    </row>
    <row r="784" spans="1:13" x14ac:dyDescent="0.25">
      <c r="A784" t="str">
        <f t="shared" si="120"/>
        <v>M783</v>
      </c>
      <c r="B784" t="str" cm="1">
        <f t="array" aca="1" ref="B784" ca="1">INDEX({"Paracetamol","Amoxicillin","Ibuprofen","Cetirizine","Metformin","Amlodipine","Omeprazole","Azithromycin","Losartan","Vitamin C"}, RANDBETWEEN(1,10))</f>
        <v>Amlodipine</v>
      </c>
      <c r="C784" t="str" cm="1">
        <f t="array" aca="1" ref="C784" ca="1">INDEX({"Painkiller","Antibiotic","Painkiller","Antihistamine","Diabetes","Hypertension","Antacid","Antibiotic","Hypertension","Supplement"},
MATCH(B784,{"Paracetamol","Amoxicillin","Ibuprofen","Cetirizine","Metformin","Amlodipine","Omeprazole","Azithromycin","Losartan","Vitamin C"},0))</f>
        <v>Hypertension</v>
      </c>
      <c r="D784" t="str" cm="1">
        <f t="array" aca="1" ref="D784" ca="1">INDEX({"MedSupply Co","HealthCorp","PharmaPlus","GlobalMed"}, RANDBETWEEN(1,4))</f>
        <v>GlobalMed</v>
      </c>
      <c r="E784">
        <f t="shared" ca="1" si="121"/>
        <v>6</v>
      </c>
      <c r="F784">
        <f t="shared" ca="1" si="122"/>
        <v>21</v>
      </c>
      <c r="G784">
        <f t="shared" ca="1" si="123"/>
        <v>0.84</v>
      </c>
      <c r="H784" s="1">
        <f t="shared" ca="1" si="124"/>
        <v>46229</v>
      </c>
      <c r="I784" s="1">
        <f t="shared" ca="1" si="125"/>
        <v>46044</v>
      </c>
      <c r="J784">
        <f t="shared" ca="1" si="126"/>
        <v>5.04</v>
      </c>
      <c r="K784" t="str">
        <f t="shared" ca="1" si="127"/>
        <v>Low Stock</v>
      </c>
      <c r="L784" s="2">
        <f t="shared" ca="1" si="128"/>
        <v>110</v>
      </c>
      <c r="M784" t="str">
        <f t="shared" ca="1" si="129"/>
        <v>Safe</v>
      </c>
    </row>
    <row r="785" spans="1:13" x14ac:dyDescent="0.25">
      <c r="A785" t="str">
        <f t="shared" si="120"/>
        <v>M784</v>
      </c>
      <c r="B785" t="str" cm="1">
        <f t="array" aca="1" ref="B785" ca="1">INDEX({"Paracetamol","Amoxicillin","Ibuprofen","Cetirizine","Metformin","Amlodipine","Omeprazole","Azithromycin","Losartan","Vitamin C"}, RANDBETWEEN(1,10))</f>
        <v>Amlodipine</v>
      </c>
      <c r="C785" t="str" cm="1">
        <f t="array" aca="1" ref="C785" ca="1">INDEX({"Painkiller","Antibiotic","Painkiller","Antihistamine","Diabetes","Hypertension","Antacid","Antibiotic","Hypertension","Supplement"},
MATCH(B785,{"Paracetamol","Amoxicillin","Ibuprofen","Cetirizine","Metformin","Amlodipine","Omeprazole","Azithromycin","Losartan","Vitamin C"},0))</f>
        <v>Hypertension</v>
      </c>
      <c r="D785" t="str" cm="1">
        <f t="array" aca="1" ref="D785" ca="1">INDEX({"MedSupply Co","HealthCorp","PharmaPlus","GlobalMed"}, RANDBETWEEN(1,4))</f>
        <v>MedSupply Co</v>
      </c>
      <c r="E785">
        <f t="shared" ca="1" si="121"/>
        <v>145</v>
      </c>
      <c r="F785">
        <f t="shared" ca="1" si="122"/>
        <v>52</v>
      </c>
      <c r="G785">
        <f t="shared" ca="1" si="123"/>
        <v>1.78</v>
      </c>
      <c r="H785" s="1">
        <f t="shared" ca="1" si="124"/>
        <v>46299</v>
      </c>
      <c r="I785" s="1">
        <f t="shared" ca="1" si="125"/>
        <v>46017</v>
      </c>
      <c r="J785">
        <f t="shared" ca="1" si="126"/>
        <v>258.10000000000002</v>
      </c>
      <c r="K785" t="str">
        <f t="shared" ca="1" si="127"/>
        <v>In Stock</v>
      </c>
      <c r="L785" s="2">
        <f t="shared" ca="1" si="128"/>
        <v>180</v>
      </c>
      <c r="M785" t="str">
        <f t="shared" ca="1" si="129"/>
        <v>Safe</v>
      </c>
    </row>
    <row r="786" spans="1:13" x14ac:dyDescent="0.25">
      <c r="A786" t="str">
        <f t="shared" si="120"/>
        <v>M785</v>
      </c>
      <c r="B786" t="str" cm="1">
        <f t="array" aca="1" ref="B786" ca="1">INDEX({"Paracetamol","Amoxicillin","Ibuprofen","Cetirizine","Metformin","Amlodipine","Omeprazole","Azithromycin","Losartan","Vitamin C"}, RANDBETWEEN(1,10))</f>
        <v>Azithromycin</v>
      </c>
      <c r="C786" t="str" cm="1">
        <f t="array" aca="1" ref="C786" ca="1">INDEX({"Painkiller","Antibiotic","Painkiller","Antihistamine","Diabetes","Hypertension","Antacid","Antibiotic","Hypertension","Supplement"},
MATCH(B786,{"Paracetamol","Amoxicillin","Ibuprofen","Cetirizine","Metformin","Amlodipine","Omeprazole","Azithromycin","Losartan","Vitamin C"},0))</f>
        <v>Antibiotic</v>
      </c>
      <c r="D786" t="str" cm="1">
        <f t="array" aca="1" ref="D786" ca="1">INDEX({"MedSupply Co","HealthCorp","PharmaPlus","GlobalMed"}, RANDBETWEEN(1,4))</f>
        <v>MedSupply Co</v>
      </c>
      <c r="E786">
        <f t="shared" ca="1" si="121"/>
        <v>192</v>
      </c>
      <c r="F786">
        <f t="shared" ca="1" si="122"/>
        <v>32</v>
      </c>
      <c r="G786">
        <f t="shared" ca="1" si="123"/>
        <v>0.55000000000000004</v>
      </c>
      <c r="H786" s="1">
        <f t="shared" ca="1" si="124"/>
        <v>46412</v>
      </c>
      <c r="I786" s="1">
        <f t="shared" ca="1" si="125"/>
        <v>45974</v>
      </c>
      <c r="J786">
        <f t="shared" ca="1" si="126"/>
        <v>105.60000000000001</v>
      </c>
      <c r="K786" t="str">
        <f t="shared" ca="1" si="127"/>
        <v>In Stock</v>
      </c>
      <c r="L786" s="2">
        <f t="shared" ca="1" si="128"/>
        <v>293</v>
      </c>
      <c r="M786" t="str">
        <f t="shared" ca="1" si="129"/>
        <v>Safe</v>
      </c>
    </row>
    <row r="787" spans="1:13" x14ac:dyDescent="0.25">
      <c r="A787" t="str">
        <f t="shared" si="120"/>
        <v>M786</v>
      </c>
      <c r="B787" t="str" cm="1">
        <f t="array" aca="1" ref="B787" ca="1">INDEX({"Paracetamol","Amoxicillin","Ibuprofen","Cetirizine","Metformin","Amlodipine","Omeprazole","Azithromycin","Losartan","Vitamin C"}, RANDBETWEEN(1,10))</f>
        <v>Cetirizine</v>
      </c>
      <c r="C787" t="str" cm="1">
        <f t="array" aca="1" ref="C787" ca="1">INDEX({"Painkiller","Antibiotic","Painkiller","Antihistamine","Diabetes","Hypertension","Antacid","Antibiotic","Hypertension","Supplement"},
MATCH(B787,{"Paracetamol","Amoxicillin","Ibuprofen","Cetirizine","Metformin","Amlodipine","Omeprazole","Azithromycin","Losartan","Vitamin C"},0))</f>
        <v>Antihistamine</v>
      </c>
      <c r="D787" t="str" cm="1">
        <f t="array" aca="1" ref="D787" ca="1">INDEX({"MedSupply Co","HealthCorp","PharmaPlus","GlobalMed"}, RANDBETWEEN(1,4))</f>
        <v>HealthCorp</v>
      </c>
      <c r="E787">
        <f t="shared" ca="1" si="121"/>
        <v>124</v>
      </c>
      <c r="F787">
        <f t="shared" ca="1" si="122"/>
        <v>52</v>
      </c>
      <c r="G787">
        <f t="shared" ca="1" si="123"/>
        <v>0.75</v>
      </c>
      <c r="H787" s="1">
        <f t="shared" ca="1" si="124"/>
        <v>46179</v>
      </c>
      <c r="I787" s="1">
        <f t="shared" ca="1" si="125"/>
        <v>45970</v>
      </c>
      <c r="J787">
        <f t="shared" ca="1" si="126"/>
        <v>93</v>
      </c>
      <c r="K787" t="str">
        <f t="shared" ca="1" si="127"/>
        <v>In Stock</v>
      </c>
      <c r="L787" s="2">
        <f t="shared" ca="1" si="128"/>
        <v>60</v>
      </c>
      <c r="M787" t="str">
        <f t="shared" ca="1" si="129"/>
        <v>Safe</v>
      </c>
    </row>
    <row r="788" spans="1:13" x14ac:dyDescent="0.25">
      <c r="A788" t="str">
        <f t="shared" si="120"/>
        <v>M787</v>
      </c>
      <c r="B788" t="str" cm="1">
        <f t="array" aca="1" ref="B788" ca="1">INDEX({"Paracetamol","Amoxicillin","Ibuprofen","Cetirizine","Metformin","Amlodipine","Omeprazole","Azithromycin","Losartan","Vitamin C"}, RANDBETWEEN(1,10))</f>
        <v>Ibuprofen</v>
      </c>
      <c r="C788" t="str" cm="1">
        <f t="array" aca="1" ref="C788" ca="1">INDEX({"Painkiller","Antibiotic","Painkiller","Antihistamine","Diabetes","Hypertension","Antacid","Antibiotic","Hypertension","Supplement"},
MATCH(B788,{"Paracetamol","Amoxicillin","Ibuprofen","Cetirizine","Metformin","Amlodipine","Omeprazole","Azithromycin","Losartan","Vitamin C"},0))</f>
        <v>Painkiller</v>
      </c>
      <c r="D788" t="str" cm="1">
        <f t="array" aca="1" ref="D788" ca="1">INDEX({"MedSupply Co","HealthCorp","PharmaPlus","GlobalMed"}, RANDBETWEEN(1,4))</f>
        <v>GlobalMed</v>
      </c>
      <c r="E788">
        <f t="shared" ca="1" si="121"/>
        <v>24</v>
      </c>
      <c r="F788">
        <f t="shared" ca="1" si="122"/>
        <v>50</v>
      </c>
      <c r="G788">
        <f t="shared" ca="1" si="123"/>
        <v>1.64</v>
      </c>
      <c r="H788" s="1">
        <f t="shared" ca="1" si="124"/>
        <v>46203</v>
      </c>
      <c r="I788" s="1">
        <f t="shared" ca="1" si="125"/>
        <v>46070</v>
      </c>
      <c r="J788">
        <f t="shared" ca="1" si="126"/>
        <v>39.36</v>
      </c>
      <c r="K788" t="str">
        <f t="shared" ca="1" si="127"/>
        <v>Low Stock</v>
      </c>
      <c r="L788" s="2">
        <f t="shared" ca="1" si="128"/>
        <v>84</v>
      </c>
      <c r="M788" t="str">
        <f t="shared" ca="1" si="129"/>
        <v>Safe</v>
      </c>
    </row>
    <row r="789" spans="1:13" x14ac:dyDescent="0.25">
      <c r="A789" t="str">
        <f t="shared" si="120"/>
        <v>M788</v>
      </c>
      <c r="B789" t="str" cm="1">
        <f t="array" aca="1" ref="B789" ca="1">INDEX({"Paracetamol","Amoxicillin","Ibuprofen","Cetirizine","Metformin","Amlodipine","Omeprazole","Azithromycin","Losartan","Vitamin C"}, RANDBETWEEN(1,10))</f>
        <v>Omeprazole</v>
      </c>
      <c r="C789" t="str" cm="1">
        <f t="array" aca="1" ref="C789" ca="1">INDEX({"Painkiller","Antibiotic","Painkiller","Antihistamine","Diabetes","Hypertension","Antacid","Antibiotic","Hypertension","Supplement"},
MATCH(B789,{"Paracetamol","Amoxicillin","Ibuprofen","Cetirizine","Metformin","Amlodipine","Omeprazole","Azithromycin","Losartan","Vitamin C"},0))</f>
        <v>Antacid</v>
      </c>
      <c r="D789" t="str" cm="1">
        <f t="array" aca="1" ref="D789" ca="1">INDEX({"MedSupply Co","HealthCorp","PharmaPlus","GlobalMed"}, RANDBETWEEN(1,4))</f>
        <v>GlobalMed</v>
      </c>
      <c r="E789">
        <f t="shared" ca="1" si="121"/>
        <v>98</v>
      </c>
      <c r="F789">
        <f t="shared" ca="1" si="122"/>
        <v>65</v>
      </c>
      <c r="G789">
        <f t="shared" ca="1" si="123"/>
        <v>0.95</v>
      </c>
      <c r="H789" s="1">
        <f t="shared" ca="1" si="124"/>
        <v>46479</v>
      </c>
      <c r="I789" s="1">
        <f t="shared" ca="1" si="125"/>
        <v>46000</v>
      </c>
      <c r="J789">
        <f t="shared" ca="1" si="126"/>
        <v>93.1</v>
      </c>
      <c r="K789" t="str">
        <f t="shared" ca="1" si="127"/>
        <v>In Stock</v>
      </c>
      <c r="L789" s="2">
        <f t="shared" ca="1" si="128"/>
        <v>360</v>
      </c>
      <c r="M789" t="str">
        <f t="shared" ca="1" si="129"/>
        <v>Safe</v>
      </c>
    </row>
    <row r="790" spans="1:13" x14ac:dyDescent="0.25">
      <c r="A790" t="str">
        <f t="shared" si="120"/>
        <v>M789</v>
      </c>
      <c r="B790" t="str" cm="1">
        <f t="array" aca="1" ref="B790" ca="1">INDEX({"Paracetamol","Amoxicillin","Ibuprofen","Cetirizine","Metformin","Amlodipine","Omeprazole","Azithromycin","Losartan","Vitamin C"}, RANDBETWEEN(1,10))</f>
        <v>Cetirizine</v>
      </c>
      <c r="C790" t="str" cm="1">
        <f t="array" aca="1" ref="C790" ca="1">INDEX({"Painkiller","Antibiotic","Painkiller","Antihistamine","Diabetes","Hypertension","Antacid","Antibiotic","Hypertension","Supplement"},
MATCH(B790,{"Paracetamol","Amoxicillin","Ibuprofen","Cetirizine","Metformin","Amlodipine","Omeprazole","Azithromycin","Losartan","Vitamin C"},0))</f>
        <v>Antihistamine</v>
      </c>
      <c r="D790" t="str" cm="1">
        <f t="array" aca="1" ref="D790" ca="1">INDEX({"MedSupply Co","HealthCorp","PharmaPlus","GlobalMed"}, RANDBETWEEN(1,4))</f>
        <v>HealthCorp</v>
      </c>
      <c r="E790">
        <f t="shared" ca="1" si="121"/>
        <v>144</v>
      </c>
      <c r="F790">
        <f t="shared" ca="1" si="122"/>
        <v>31</v>
      </c>
      <c r="G790">
        <f t="shared" ca="1" si="123"/>
        <v>1.8</v>
      </c>
      <c r="H790" s="1">
        <f t="shared" ca="1" si="124"/>
        <v>46369</v>
      </c>
      <c r="I790" s="1">
        <f t="shared" ca="1" si="125"/>
        <v>46058</v>
      </c>
      <c r="J790">
        <f t="shared" ca="1" si="126"/>
        <v>259.2</v>
      </c>
      <c r="K790" t="str">
        <f t="shared" ca="1" si="127"/>
        <v>In Stock</v>
      </c>
      <c r="L790" s="2">
        <f t="shared" ca="1" si="128"/>
        <v>250</v>
      </c>
      <c r="M790" t="str">
        <f t="shared" ca="1" si="129"/>
        <v>Safe</v>
      </c>
    </row>
    <row r="791" spans="1:13" x14ac:dyDescent="0.25">
      <c r="A791" t="str">
        <f t="shared" si="120"/>
        <v>M790</v>
      </c>
      <c r="B791" t="str" cm="1">
        <f t="array" aca="1" ref="B791" ca="1">INDEX({"Paracetamol","Amoxicillin","Ibuprofen","Cetirizine","Metformin","Amlodipine","Omeprazole","Azithromycin","Losartan","Vitamin C"}, RANDBETWEEN(1,10))</f>
        <v>Cetirizine</v>
      </c>
      <c r="C791" t="str" cm="1">
        <f t="array" aca="1" ref="C791" ca="1">INDEX({"Painkiller","Antibiotic","Painkiller","Antihistamine","Diabetes","Hypertension","Antacid","Antibiotic","Hypertension","Supplement"},
MATCH(B791,{"Paracetamol","Amoxicillin","Ibuprofen","Cetirizine","Metformin","Amlodipine","Omeprazole","Azithromycin","Losartan","Vitamin C"},0))</f>
        <v>Antihistamine</v>
      </c>
      <c r="D791" t="str" cm="1">
        <f t="array" aca="1" ref="D791" ca="1">INDEX({"MedSupply Co","HealthCorp","PharmaPlus","GlobalMed"}, RANDBETWEEN(1,4))</f>
        <v>PharmaPlus</v>
      </c>
      <c r="E791">
        <f t="shared" ca="1" si="121"/>
        <v>131</v>
      </c>
      <c r="F791">
        <f t="shared" ca="1" si="122"/>
        <v>24</v>
      </c>
      <c r="G791">
        <f t="shared" ca="1" si="123"/>
        <v>1.19</v>
      </c>
      <c r="H791" s="1">
        <f t="shared" ca="1" si="124"/>
        <v>46463</v>
      </c>
      <c r="I791" s="1">
        <f t="shared" ca="1" si="125"/>
        <v>45965</v>
      </c>
      <c r="J791">
        <f t="shared" ca="1" si="126"/>
        <v>155.88999999999999</v>
      </c>
      <c r="K791" t="str">
        <f t="shared" ca="1" si="127"/>
        <v>In Stock</v>
      </c>
      <c r="L791" s="2">
        <f t="shared" ca="1" si="128"/>
        <v>344</v>
      </c>
      <c r="M791" t="str">
        <f t="shared" ca="1" si="129"/>
        <v>Safe</v>
      </c>
    </row>
    <row r="792" spans="1:13" x14ac:dyDescent="0.25">
      <c r="A792" t="str">
        <f t="shared" si="120"/>
        <v>M791</v>
      </c>
      <c r="B792" t="str" cm="1">
        <f t="array" aca="1" ref="B792" ca="1">INDEX({"Paracetamol","Amoxicillin","Ibuprofen","Cetirizine","Metformin","Amlodipine","Omeprazole","Azithromycin","Losartan","Vitamin C"}, RANDBETWEEN(1,10))</f>
        <v>Amlodipine</v>
      </c>
      <c r="C792" t="str" cm="1">
        <f t="array" aca="1" ref="C792" ca="1">INDEX({"Painkiller","Antibiotic","Painkiller","Antihistamine","Diabetes","Hypertension","Antacid","Antibiotic","Hypertension","Supplement"},
MATCH(B792,{"Paracetamol","Amoxicillin","Ibuprofen","Cetirizine","Metformin","Amlodipine","Omeprazole","Azithromycin","Losartan","Vitamin C"},0))</f>
        <v>Hypertension</v>
      </c>
      <c r="D792" t="str" cm="1">
        <f t="array" aca="1" ref="D792" ca="1">INDEX({"MedSupply Co","HealthCorp","PharmaPlus","GlobalMed"}, RANDBETWEEN(1,4))</f>
        <v>PharmaPlus</v>
      </c>
      <c r="E792">
        <f t="shared" ca="1" si="121"/>
        <v>43</v>
      </c>
      <c r="F792">
        <f t="shared" ca="1" si="122"/>
        <v>92</v>
      </c>
      <c r="G792">
        <f t="shared" ca="1" si="123"/>
        <v>1.7</v>
      </c>
      <c r="H792" s="1">
        <f t="shared" ca="1" si="124"/>
        <v>46359</v>
      </c>
      <c r="I792" s="1">
        <f t="shared" ca="1" si="125"/>
        <v>46103</v>
      </c>
      <c r="J792">
        <f t="shared" ca="1" si="126"/>
        <v>73.099999999999994</v>
      </c>
      <c r="K792" t="str">
        <f t="shared" ca="1" si="127"/>
        <v>Low Stock</v>
      </c>
      <c r="L792" s="2">
        <f t="shared" ca="1" si="128"/>
        <v>240</v>
      </c>
      <c r="M792" t="str">
        <f t="shared" ca="1" si="129"/>
        <v>Safe</v>
      </c>
    </row>
    <row r="793" spans="1:13" x14ac:dyDescent="0.25">
      <c r="A793" t="str">
        <f t="shared" si="120"/>
        <v>M792</v>
      </c>
      <c r="B793" t="str" cm="1">
        <f t="array" aca="1" ref="B793" ca="1">INDEX({"Paracetamol","Amoxicillin","Ibuprofen","Cetirizine","Metformin","Amlodipine","Omeprazole","Azithromycin","Losartan","Vitamin C"}, RANDBETWEEN(1,10))</f>
        <v>Cetirizine</v>
      </c>
      <c r="C793" t="str" cm="1">
        <f t="array" aca="1" ref="C793" ca="1">INDEX({"Painkiller","Antibiotic","Painkiller","Antihistamine","Diabetes","Hypertension","Antacid","Antibiotic","Hypertension","Supplement"},
MATCH(B793,{"Paracetamol","Amoxicillin","Ibuprofen","Cetirizine","Metformin","Amlodipine","Omeprazole","Azithromycin","Losartan","Vitamin C"},0))</f>
        <v>Antihistamine</v>
      </c>
      <c r="D793" t="str" cm="1">
        <f t="array" aca="1" ref="D793" ca="1">INDEX({"MedSupply Co","HealthCorp","PharmaPlus","GlobalMed"}, RANDBETWEEN(1,4))</f>
        <v>GlobalMed</v>
      </c>
      <c r="E793">
        <f t="shared" ca="1" si="121"/>
        <v>131</v>
      </c>
      <c r="F793">
        <f t="shared" ca="1" si="122"/>
        <v>70</v>
      </c>
      <c r="G793">
        <f t="shared" ca="1" si="123"/>
        <v>1.17</v>
      </c>
      <c r="H793" s="1">
        <f t="shared" ca="1" si="124"/>
        <v>46226</v>
      </c>
      <c r="I793" s="1">
        <f t="shared" ca="1" si="125"/>
        <v>46088</v>
      </c>
      <c r="J793">
        <f t="shared" ca="1" si="126"/>
        <v>153.26999999999998</v>
      </c>
      <c r="K793" t="str">
        <f t="shared" ca="1" si="127"/>
        <v>In Stock</v>
      </c>
      <c r="L793" s="2">
        <f t="shared" ca="1" si="128"/>
        <v>107</v>
      </c>
      <c r="M793" t="str">
        <f t="shared" ca="1" si="129"/>
        <v>Safe</v>
      </c>
    </row>
    <row r="794" spans="1:13" x14ac:dyDescent="0.25">
      <c r="A794" t="str">
        <f t="shared" si="120"/>
        <v>M793</v>
      </c>
      <c r="B794" t="str" cm="1">
        <f t="array" aca="1" ref="B794" ca="1">INDEX({"Paracetamol","Amoxicillin","Ibuprofen","Cetirizine","Metformin","Amlodipine","Omeprazole","Azithromycin","Losartan","Vitamin C"}, RANDBETWEEN(1,10))</f>
        <v>Losartan</v>
      </c>
      <c r="C794" t="str" cm="1">
        <f t="array" aca="1" ref="C794" ca="1">INDEX({"Painkiller","Antibiotic","Painkiller","Antihistamine","Diabetes","Hypertension","Antacid","Antibiotic","Hypertension","Supplement"},
MATCH(B794,{"Paracetamol","Amoxicillin","Ibuprofen","Cetirizine","Metformin","Amlodipine","Omeprazole","Azithromycin","Losartan","Vitamin C"},0))</f>
        <v>Hypertension</v>
      </c>
      <c r="D794" t="str" cm="1">
        <f t="array" aca="1" ref="D794" ca="1">INDEX({"MedSupply Co","HealthCorp","PharmaPlus","GlobalMed"}, RANDBETWEEN(1,4))</f>
        <v>PharmaPlus</v>
      </c>
      <c r="E794">
        <f t="shared" ca="1" si="121"/>
        <v>29</v>
      </c>
      <c r="F794">
        <f t="shared" ca="1" si="122"/>
        <v>22</v>
      </c>
      <c r="G794">
        <f t="shared" ca="1" si="123"/>
        <v>1.99</v>
      </c>
      <c r="H794" s="1">
        <f t="shared" ca="1" si="124"/>
        <v>46234</v>
      </c>
      <c r="I794" s="1">
        <f t="shared" ca="1" si="125"/>
        <v>45993</v>
      </c>
      <c r="J794">
        <f t="shared" ca="1" si="126"/>
        <v>57.71</v>
      </c>
      <c r="K794" t="str">
        <f t="shared" ca="1" si="127"/>
        <v>In Stock</v>
      </c>
      <c r="L794" s="2">
        <f t="shared" ca="1" si="128"/>
        <v>115</v>
      </c>
      <c r="M794" t="str">
        <f t="shared" ca="1" si="129"/>
        <v>Safe</v>
      </c>
    </row>
    <row r="795" spans="1:13" x14ac:dyDescent="0.25">
      <c r="A795" t="str">
        <f t="shared" si="120"/>
        <v>M794</v>
      </c>
      <c r="B795" t="str" cm="1">
        <f t="array" aca="1" ref="B795" ca="1">INDEX({"Paracetamol","Amoxicillin","Ibuprofen","Cetirizine","Metformin","Amlodipine","Omeprazole","Azithromycin","Losartan","Vitamin C"}, RANDBETWEEN(1,10))</f>
        <v>Losartan</v>
      </c>
      <c r="C795" t="str" cm="1">
        <f t="array" aca="1" ref="C795" ca="1">INDEX({"Painkiller","Antibiotic","Painkiller","Antihistamine","Diabetes","Hypertension","Antacid","Antibiotic","Hypertension","Supplement"},
MATCH(B795,{"Paracetamol","Amoxicillin","Ibuprofen","Cetirizine","Metformin","Amlodipine","Omeprazole","Azithromycin","Losartan","Vitamin C"},0))</f>
        <v>Hypertension</v>
      </c>
      <c r="D795" t="str" cm="1">
        <f t="array" aca="1" ref="D795" ca="1">INDEX({"MedSupply Co","HealthCorp","PharmaPlus","GlobalMed"}, RANDBETWEEN(1,4))</f>
        <v>MedSupply Co</v>
      </c>
      <c r="E795">
        <f t="shared" ca="1" si="121"/>
        <v>7</v>
      </c>
      <c r="F795">
        <f t="shared" ca="1" si="122"/>
        <v>71</v>
      </c>
      <c r="G795">
        <f t="shared" ca="1" si="123"/>
        <v>0.85</v>
      </c>
      <c r="H795" s="1">
        <f t="shared" ca="1" si="124"/>
        <v>46452</v>
      </c>
      <c r="I795" s="1">
        <f t="shared" ca="1" si="125"/>
        <v>46092</v>
      </c>
      <c r="J795">
        <f t="shared" ca="1" si="126"/>
        <v>5.95</v>
      </c>
      <c r="K795" t="str">
        <f t="shared" ca="1" si="127"/>
        <v>Low Stock</v>
      </c>
      <c r="L795" s="2">
        <f t="shared" ca="1" si="128"/>
        <v>333</v>
      </c>
      <c r="M795" t="str">
        <f t="shared" ca="1" si="129"/>
        <v>Safe</v>
      </c>
    </row>
    <row r="796" spans="1:13" x14ac:dyDescent="0.25">
      <c r="A796" t="str">
        <f t="shared" si="120"/>
        <v>M795</v>
      </c>
      <c r="B796" t="str" cm="1">
        <f t="array" aca="1" ref="B796" ca="1">INDEX({"Paracetamol","Amoxicillin","Ibuprofen","Cetirizine","Metformin","Amlodipine","Omeprazole","Azithromycin","Losartan","Vitamin C"}, RANDBETWEEN(1,10))</f>
        <v>Metformin</v>
      </c>
      <c r="C796" t="str" cm="1">
        <f t="array" aca="1" ref="C796" ca="1">INDEX({"Painkiller","Antibiotic","Painkiller","Antihistamine","Diabetes","Hypertension","Antacid","Antibiotic","Hypertension","Supplement"},
MATCH(B796,{"Paracetamol","Amoxicillin","Ibuprofen","Cetirizine","Metformin","Amlodipine","Omeprazole","Azithromycin","Losartan","Vitamin C"},0))</f>
        <v>Diabetes</v>
      </c>
      <c r="D796" t="str" cm="1">
        <f t="array" aca="1" ref="D796" ca="1">INDEX({"MedSupply Co","HealthCorp","PharmaPlus","GlobalMed"}, RANDBETWEEN(1,4))</f>
        <v>HealthCorp</v>
      </c>
      <c r="E796">
        <f t="shared" ca="1" si="121"/>
        <v>43</v>
      </c>
      <c r="F796">
        <f t="shared" ca="1" si="122"/>
        <v>53</v>
      </c>
      <c r="G796">
        <f t="shared" ca="1" si="123"/>
        <v>1.28</v>
      </c>
      <c r="H796" s="1">
        <f t="shared" ca="1" si="124"/>
        <v>46264</v>
      </c>
      <c r="I796" s="1">
        <f t="shared" ca="1" si="125"/>
        <v>46024</v>
      </c>
      <c r="J796">
        <f t="shared" ca="1" si="126"/>
        <v>55.04</v>
      </c>
      <c r="K796" t="str">
        <f t="shared" ca="1" si="127"/>
        <v>Low Stock</v>
      </c>
      <c r="L796" s="2">
        <f t="shared" ca="1" si="128"/>
        <v>145</v>
      </c>
      <c r="M796" t="str">
        <f t="shared" ca="1" si="129"/>
        <v>Safe</v>
      </c>
    </row>
    <row r="797" spans="1:13" x14ac:dyDescent="0.25">
      <c r="A797" t="str">
        <f t="shared" si="120"/>
        <v>M796</v>
      </c>
      <c r="B797" t="str" cm="1">
        <f t="array" aca="1" ref="B797" ca="1">INDEX({"Paracetamol","Amoxicillin","Ibuprofen","Cetirizine","Metformin","Amlodipine","Omeprazole","Azithromycin","Losartan","Vitamin C"}, RANDBETWEEN(1,10))</f>
        <v>Metformin</v>
      </c>
      <c r="C797" t="str" cm="1">
        <f t="array" aca="1" ref="C797" ca="1">INDEX({"Painkiller","Antibiotic","Painkiller","Antihistamine","Diabetes","Hypertension","Antacid","Antibiotic","Hypertension","Supplement"},
MATCH(B797,{"Paracetamol","Amoxicillin","Ibuprofen","Cetirizine","Metformin","Amlodipine","Omeprazole","Azithromycin","Losartan","Vitamin C"},0))</f>
        <v>Diabetes</v>
      </c>
      <c r="D797" t="str" cm="1">
        <f t="array" aca="1" ref="D797" ca="1">INDEX({"MedSupply Co","HealthCorp","PharmaPlus","GlobalMed"}, RANDBETWEEN(1,4))</f>
        <v>HealthCorp</v>
      </c>
      <c r="E797">
        <f t="shared" ca="1" si="121"/>
        <v>98</v>
      </c>
      <c r="F797">
        <f t="shared" ca="1" si="122"/>
        <v>38</v>
      </c>
      <c r="G797">
        <f t="shared" ca="1" si="123"/>
        <v>0.55000000000000004</v>
      </c>
      <c r="H797" s="1">
        <f t="shared" ca="1" si="124"/>
        <v>46406</v>
      </c>
      <c r="I797" s="1">
        <f t="shared" ca="1" si="125"/>
        <v>46069</v>
      </c>
      <c r="J797">
        <f t="shared" ca="1" si="126"/>
        <v>53.900000000000006</v>
      </c>
      <c r="K797" t="str">
        <f t="shared" ca="1" si="127"/>
        <v>In Stock</v>
      </c>
      <c r="L797" s="2">
        <f t="shared" ca="1" si="128"/>
        <v>287</v>
      </c>
      <c r="M797" t="str">
        <f t="shared" ca="1" si="129"/>
        <v>Safe</v>
      </c>
    </row>
    <row r="798" spans="1:13" x14ac:dyDescent="0.25">
      <c r="A798" t="str">
        <f t="shared" si="120"/>
        <v>M797</v>
      </c>
      <c r="B798" t="str" cm="1">
        <f t="array" aca="1" ref="B798" ca="1">INDEX({"Paracetamol","Amoxicillin","Ibuprofen","Cetirizine","Metformin","Amlodipine","Omeprazole","Azithromycin","Losartan","Vitamin C"}, RANDBETWEEN(1,10))</f>
        <v>Metformin</v>
      </c>
      <c r="C798" t="str" cm="1">
        <f t="array" aca="1" ref="C798" ca="1">INDEX({"Painkiller","Antibiotic","Painkiller","Antihistamine","Diabetes","Hypertension","Antacid","Antibiotic","Hypertension","Supplement"},
MATCH(B798,{"Paracetamol","Amoxicillin","Ibuprofen","Cetirizine","Metformin","Amlodipine","Omeprazole","Azithromycin","Losartan","Vitamin C"},0))</f>
        <v>Diabetes</v>
      </c>
      <c r="D798" t="str" cm="1">
        <f t="array" aca="1" ref="D798" ca="1">INDEX({"MedSupply Co","HealthCorp","PharmaPlus","GlobalMed"}, RANDBETWEEN(1,4))</f>
        <v>PharmaPlus</v>
      </c>
      <c r="E798">
        <f t="shared" ca="1" si="121"/>
        <v>167</v>
      </c>
      <c r="F798">
        <f t="shared" ca="1" si="122"/>
        <v>83</v>
      </c>
      <c r="G798">
        <f t="shared" ca="1" si="123"/>
        <v>1.01</v>
      </c>
      <c r="H798" s="1">
        <f t="shared" ca="1" si="124"/>
        <v>46342</v>
      </c>
      <c r="I798" s="1">
        <f t="shared" ca="1" si="125"/>
        <v>46069</v>
      </c>
      <c r="J798">
        <f t="shared" ca="1" si="126"/>
        <v>168.67</v>
      </c>
      <c r="K798" t="str">
        <f t="shared" ca="1" si="127"/>
        <v>In Stock</v>
      </c>
      <c r="L798" s="2">
        <f t="shared" ca="1" si="128"/>
        <v>223</v>
      </c>
      <c r="M798" t="str">
        <f t="shared" ca="1" si="129"/>
        <v>Safe</v>
      </c>
    </row>
    <row r="799" spans="1:13" x14ac:dyDescent="0.25">
      <c r="A799" t="str">
        <f t="shared" si="120"/>
        <v>M798</v>
      </c>
      <c r="B799" t="str" cm="1">
        <f t="array" aca="1" ref="B799" ca="1">INDEX({"Paracetamol","Amoxicillin","Ibuprofen","Cetirizine","Metformin","Amlodipine","Omeprazole","Azithromycin","Losartan","Vitamin C"}, RANDBETWEEN(1,10))</f>
        <v>Omeprazole</v>
      </c>
      <c r="C799" t="str" cm="1">
        <f t="array" aca="1" ref="C799" ca="1">INDEX({"Painkiller","Antibiotic","Painkiller","Antihistamine","Diabetes","Hypertension","Antacid","Antibiotic","Hypertension","Supplement"},
MATCH(B799,{"Paracetamol","Amoxicillin","Ibuprofen","Cetirizine","Metformin","Amlodipine","Omeprazole","Azithromycin","Losartan","Vitamin C"},0))</f>
        <v>Antacid</v>
      </c>
      <c r="D799" t="str" cm="1">
        <f t="array" aca="1" ref="D799" ca="1">INDEX({"MedSupply Co","HealthCorp","PharmaPlus","GlobalMed"}, RANDBETWEEN(1,4))</f>
        <v>PharmaPlus</v>
      </c>
      <c r="E799">
        <f t="shared" ca="1" si="121"/>
        <v>131</v>
      </c>
      <c r="F799">
        <f t="shared" ca="1" si="122"/>
        <v>60</v>
      </c>
      <c r="G799">
        <f t="shared" ca="1" si="123"/>
        <v>0.91</v>
      </c>
      <c r="H799" s="1">
        <f t="shared" ca="1" si="124"/>
        <v>46459</v>
      </c>
      <c r="I799" s="1">
        <f t="shared" ca="1" si="125"/>
        <v>46090</v>
      </c>
      <c r="J799">
        <f t="shared" ca="1" si="126"/>
        <v>119.21000000000001</v>
      </c>
      <c r="K799" t="str">
        <f t="shared" ca="1" si="127"/>
        <v>In Stock</v>
      </c>
      <c r="L799" s="2">
        <f t="shared" ca="1" si="128"/>
        <v>340</v>
      </c>
      <c r="M799" t="str">
        <f t="shared" ca="1" si="129"/>
        <v>Safe</v>
      </c>
    </row>
    <row r="800" spans="1:13" x14ac:dyDescent="0.25">
      <c r="A800" t="str">
        <f t="shared" si="120"/>
        <v>M799</v>
      </c>
      <c r="B800" t="str" cm="1">
        <f t="array" aca="1" ref="B800" ca="1">INDEX({"Paracetamol","Amoxicillin","Ibuprofen","Cetirizine","Metformin","Amlodipine","Omeprazole","Azithromycin","Losartan","Vitamin C"}, RANDBETWEEN(1,10))</f>
        <v>Ibuprofen</v>
      </c>
      <c r="C800" t="str" cm="1">
        <f t="array" aca="1" ref="C800" ca="1">INDEX({"Painkiller","Antibiotic","Painkiller","Antihistamine","Diabetes","Hypertension","Antacid","Antibiotic","Hypertension","Supplement"},
MATCH(B800,{"Paracetamol","Amoxicillin","Ibuprofen","Cetirizine","Metformin","Amlodipine","Omeprazole","Azithromycin","Losartan","Vitamin C"},0))</f>
        <v>Painkiller</v>
      </c>
      <c r="D800" t="str" cm="1">
        <f t="array" aca="1" ref="D800" ca="1">INDEX({"MedSupply Co","HealthCorp","PharmaPlus","GlobalMed"}, RANDBETWEEN(1,4))</f>
        <v>HealthCorp</v>
      </c>
      <c r="E800">
        <f t="shared" ca="1" si="121"/>
        <v>140</v>
      </c>
      <c r="F800">
        <f t="shared" ca="1" si="122"/>
        <v>54</v>
      </c>
      <c r="G800">
        <f t="shared" ca="1" si="123"/>
        <v>1.29</v>
      </c>
      <c r="H800" s="1">
        <f t="shared" ca="1" si="124"/>
        <v>46216</v>
      </c>
      <c r="I800" s="1">
        <f t="shared" ca="1" si="125"/>
        <v>46028</v>
      </c>
      <c r="J800">
        <f t="shared" ca="1" si="126"/>
        <v>180.6</v>
      </c>
      <c r="K800" t="str">
        <f t="shared" ca="1" si="127"/>
        <v>In Stock</v>
      </c>
      <c r="L800" s="2">
        <f t="shared" ca="1" si="128"/>
        <v>97</v>
      </c>
      <c r="M800" t="str">
        <f t="shared" ca="1" si="129"/>
        <v>Safe</v>
      </c>
    </row>
    <row r="801" spans="1:13" x14ac:dyDescent="0.25">
      <c r="A801" t="str">
        <f t="shared" si="120"/>
        <v>M800</v>
      </c>
      <c r="B801" t="str" cm="1">
        <f t="array" aca="1" ref="B801" ca="1">INDEX({"Paracetamol","Amoxicillin","Ibuprofen","Cetirizine","Metformin","Amlodipine","Omeprazole","Azithromycin","Losartan","Vitamin C"}, RANDBETWEEN(1,10))</f>
        <v>Losartan</v>
      </c>
      <c r="C801" t="str" cm="1">
        <f t="array" aca="1" ref="C801" ca="1">INDEX({"Painkiller","Antibiotic","Painkiller","Antihistamine","Diabetes","Hypertension","Antacid","Antibiotic","Hypertension","Supplement"},
MATCH(B801,{"Paracetamol","Amoxicillin","Ibuprofen","Cetirizine","Metformin","Amlodipine","Omeprazole","Azithromycin","Losartan","Vitamin C"},0))</f>
        <v>Hypertension</v>
      </c>
      <c r="D801" t="str" cm="1">
        <f t="array" aca="1" ref="D801" ca="1">INDEX({"MedSupply Co","HealthCorp","PharmaPlus","GlobalMed"}, RANDBETWEEN(1,4))</f>
        <v>PharmaPlus</v>
      </c>
      <c r="E801">
        <f t="shared" ca="1" si="121"/>
        <v>118</v>
      </c>
      <c r="F801">
        <f t="shared" ca="1" si="122"/>
        <v>87</v>
      </c>
      <c r="G801">
        <f t="shared" ca="1" si="123"/>
        <v>1.22</v>
      </c>
      <c r="H801" s="1">
        <f t="shared" ca="1" si="124"/>
        <v>46451</v>
      </c>
      <c r="I801" s="1">
        <f t="shared" ca="1" si="125"/>
        <v>46091</v>
      </c>
      <c r="J801">
        <f t="shared" ca="1" si="126"/>
        <v>143.96</v>
      </c>
      <c r="K801" t="str">
        <f t="shared" ca="1" si="127"/>
        <v>In Stock</v>
      </c>
      <c r="L801" s="2">
        <f t="shared" ca="1" si="128"/>
        <v>332</v>
      </c>
      <c r="M801" t="str">
        <f t="shared" ca="1" si="129"/>
        <v>Safe</v>
      </c>
    </row>
    <row r="802" spans="1:13" x14ac:dyDescent="0.25">
      <c r="A802" t="str">
        <f t="shared" si="120"/>
        <v>M801</v>
      </c>
      <c r="B802" t="str" cm="1">
        <f t="array" aca="1" ref="B802" ca="1">INDEX({"Paracetamol","Amoxicillin","Ibuprofen","Cetirizine","Metformin","Amlodipine","Omeprazole","Azithromycin","Losartan","Vitamin C"}, RANDBETWEEN(1,10))</f>
        <v>Vitamin C</v>
      </c>
      <c r="C802" t="str" cm="1">
        <f t="array" aca="1" ref="C802" ca="1">INDEX({"Painkiller","Antibiotic","Painkiller","Antihistamine","Diabetes","Hypertension","Antacid","Antibiotic","Hypertension","Supplement"},
MATCH(B802,{"Paracetamol","Amoxicillin","Ibuprofen","Cetirizine","Metformin","Amlodipine","Omeprazole","Azithromycin","Losartan","Vitamin C"},0))</f>
        <v>Supplement</v>
      </c>
      <c r="D802" t="str" cm="1">
        <f t="array" aca="1" ref="D802" ca="1">INDEX({"MedSupply Co","HealthCorp","PharmaPlus","GlobalMed"}, RANDBETWEEN(1,4))</f>
        <v>GlobalMed</v>
      </c>
      <c r="E802">
        <f t="shared" ca="1" si="121"/>
        <v>146</v>
      </c>
      <c r="F802">
        <f t="shared" ca="1" si="122"/>
        <v>97</v>
      </c>
      <c r="G802">
        <f t="shared" ca="1" si="123"/>
        <v>1.93</v>
      </c>
      <c r="H802" s="1">
        <f t="shared" ca="1" si="124"/>
        <v>46403</v>
      </c>
      <c r="I802" s="1">
        <f t="shared" ca="1" si="125"/>
        <v>45955</v>
      </c>
      <c r="J802">
        <f t="shared" ca="1" si="126"/>
        <v>281.77999999999997</v>
      </c>
      <c r="K802" t="str">
        <f t="shared" ca="1" si="127"/>
        <v>In Stock</v>
      </c>
      <c r="L802" s="2">
        <f t="shared" ca="1" si="128"/>
        <v>284</v>
      </c>
      <c r="M802" t="str">
        <f t="shared" ca="1" si="129"/>
        <v>Safe</v>
      </c>
    </row>
    <row r="803" spans="1:13" x14ac:dyDescent="0.25">
      <c r="A803" t="str">
        <f t="shared" si="120"/>
        <v>M802</v>
      </c>
      <c r="B803" t="str" cm="1">
        <f t="array" aca="1" ref="B803" ca="1">INDEX({"Paracetamol","Amoxicillin","Ibuprofen","Cetirizine","Metformin","Amlodipine","Omeprazole","Azithromycin","Losartan","Vitamin C"}, RANDBETWEEN(1,10))</f>
        <v>Paracetamol</v>
      </c>
      <c r="C803" t="str" cm="1">
        <f t="array" aca="1" ref="C803" ca="1">INDEX({"Painkiller","Antibiotic","Painkiller","Antihistamine","Diabetes","Hypertension","Antacid","Antibiotic","Hypertension","Supplement"},
MATCH(B803,{"Paracetamol","Amoxicillin","Ibuprofen","Cetirizine","Metformin","Amlodipine","Omeprazole","Azithromycin","Losartan","Vitamin C"},0))</f>
        <v>Painkiller</v>
      </c>
      <c r="D803" t="str" cm="1">
        <f t="array" aca="1" ref="D803" ca="1">INDEX({"MedSupply Co","HealthCorp","PharmaPlus","GlobalMed"}, RANDBETWEEN(1,4))</f>
        <v>GlobalMed</v>
      </c>
      <c r="E803">
        <f t="shared" ca="1" si="121"/>
        <v>28</v>
      </c>
      <c r="F803">
        <f t="shared" ca="1" si="122"/>
        <v>92</v>
      </c>
      <c r="G803">
        <f t="shared" ca="1" si="123"/>
        <v>0.54</v>
      </c>
      <c r="H803" s="1">
        <f t="shared" ca="1" si="124"/>
        <v>46277</v>
      </c>
      <c r="I803" s="1">
        <f t="shared" ca="1" si="125"/>
        <v>45992</v>
      </c>
      <c r="J803">
        <f t="shared" ca="1" si="126"/>
        <v>15.120000000000001</v>
      </c>
      <c r="K803" t="str">
        <f t="shared" ca="1" si="127"/>
        <v>Low Stock</v>
      </c>
      <c r="L803" s="2">
        <f t="shared" ca="1" si="128"/>
        <v>158</v>
      </c>
      <c r="M803" t="str">
        <f t="shared" ca="1" si="129"/>
        <v>Safe</v>
      </c>
    </row>
    <row r="804" spans="1:13" x14ac:dyDescent="0.25">
      <c r="A804" t="str">
        <f t="shared" si="120"/>
        <v>M803</v>
      </c>
      <c r="B804" t="str" cm="1">
        <f t="array" aca="1" ref="B804" ca="1">INDEX({"Paracetamol","Amoxicillin","Ibuprofen","Cetirizine","Metformin","Amlodipine","Omeprazole","Azithromycin","Losartan","Vitamin C"}, RANDBETWEEN(1,10))</f>
        <v>Cetirizine</v>
      </c>
      <c r="C804" t="str" cm="1">
        <f t="array" aca="1" ref="C804" ca="1">INDEX({"Painkiller","Antibiotic","Painkiller","Antihistamine","Diabetes","Hypertension","Antacid","Antibiotic","Hypertension","Supplement"},
MATCH(B804,{"Paracetamol","Amoxicillin","Ibuprofen","Cetirizine","Metformin","Amlodipine","Omeprazole","Azithromycin","Losartan","Vitamin C"},0))</f>
        <v>Antihistamine</v>
      </c>
      <c r="D804" t="str" cm="1">
        <f t="array" aca="1" ref="D804" ca="1">INDEX({"MedSupply Co","HealthCorp","PharmaPlus","GlobalMed"}, RANDBETWEEN(1,4))</f>
        <v>MedSupply Co</v>
      </c>
      <c r="E804">
        <f t="shared" ca="1" si="121"/>
        <v>64</v>
      </c>
      <c r="F804">
        <f t="shared" ca="1" si="122"/>
        <v>51</v>
      </c>
      <c r="G804">
        <f t="shared" ca="1" si="123"/>
        <v>0.7</v>
      </c>
      <c r="H804" s="1">
        <f t="shared" ca="1" si="124"/>
        <v>46336</v>
      </c>
      <c r="I804" s="1">
        <f t="shared" ca="1" si="125"/>
        <v>46082</v>
      </c>
      <c r="J804">
        <f t="shared" ca="1" si="126"/>
        <v>44.8</v>
      </c>
      <c r="K804" t="str">
        <f t="shared" ca="1" si="127"/>
        <v>In Stock</v>
      </c>
      <c r="L804" s="2">
        <f t="shared" ca="1" si="128"/>
        <v>217</v>
      </c>
      <c r="M804" t="str">
        <f t="shared" ca="1" si="129"/>
        <v>Safe</v>
      </c>
    </row>
    <row r="805" spans="1:13" x14ac:dyDescent="0.25">
      <c r="A805" t="str">
        <f t="shared" si="120"/>
        <v>M804</v>
      </c>
      <c r="B805" t="str" cm="1">
        <f t="array" aca="1" ref="B805" ca="1">INDEX({"Paracetamol","Amoxicillin","Ibuprofen","Cetirizine","Metformin","Amlodipine","Omeprazole","Azithromycin","Losartan","Vitamin C"}, RANDBETWEEN(1,10))</f>
        <v>Ibuprofen</v>
      </c>
      <c r="C805" t="str" cm="1">
        <f t="array" aca="1" ref="C805" ca="1">INDEX({"Painkiller","Antibiotic","Painkiller","Antihistamine","Diabetes","Hypertension","Antacid","Antibiotic","Hypertension","Supplement"},
MATCH(B805,{"Paracetamol","Amoxicillin","Ibuprofen","Cetirizine","Metformin","Amlodipine","Omeprazole","Azithromycin","Losartan","Vitamin C"},0))</f>
        <v>Painkiller</v>
      </c>
      <c r="D805" t="str" cm="1">
        <f t="array" aca="1" ref="D805" ca="1">INDEX({"MedSupply Co","HealthCorp","PharmaPlus","GlobalMed"}, RANDBETWEEN(1,4))</f>
        <v>HealthCorp</v>
      </c>
      <c r="E805">
        <f t="shared" ca="1" si="121"/>
        <v>74</v>
      </c>
      <c r="F805">
        <f t="shared" ca="1" si="122"/>
        <v>93</v>
      </c>
      <c r="G805">
        <f t="shared" ca="1" si="123"/>
        <v>1.6</v>
      </c>
      <c r="H805" s="1">
        <f t="shared" ca="1" si="124"/>
        <v>46182</v>
      </c>
      <c r="I805" s="1">
        <f t="shared" ca="1" si="125"/>
        <v>46026</v>
      </c>
      <c r="J805">
        <f t="shared" ca="1" si="126"/>
        <v>118.4</v>
      </c>
      <c r="K805" t="str">
        <f t="shared" ca="1" si="127"/>
        <v>Low Stock</v>
      </c>
      <c r="L805" s="2">
        <f t="shared" ca="1" si="128"/>
        <v>63</v>
      </c>
      <c r="M805" t="str">
        <f t="shared" ca="1" si="129"/>
        <v>Safe</v>
      </c>
    </row>
    <row r="806" spans="1:13" x14ac:dyDescent="0.25">
      <c r="A806" t="str">
        <f t="shared" si="120"/>
        <v>M805</v>
      </c>
      <c r="B806" t="str" cm="1">
        <f t="array" aca="1" ref="B806" ca="1">INDEX({"Paracetamol","Amoxicillin","Ibuprofen","Cetirizine","Metformin","Amlodipine","Omeprazole","Azithromycin","Losartan","Vitamin C"}, RANDBETWEEN(1,10))</f>
        <v>Paracetamol</v>
      </c>
      <c r="C806" t="str" cm="1">
        <f t="array" aca="1" ref="C806" ca="1">INDEX({"Painkiller","Antibiotic","Painkiller","Antihistamine","Diabetes","Hypertension","Antacid","Antibiotic","Hypertension","Supplement"},
MATCH(B806,{"Paracetamol","Amoxicillin","Ibuprofen","Cetirizine","Metformin","Amlodipine","Omeprazole","Azithromycin","Losartan","Vitamin C"},0))</f>
        <v>Painkiller</v>
      </c>
      <c r="D806" t="str" cm="1">
        <f t="array" aca="1" ref="D806" ca="1">INDEX({"MedSupply Co","HealthCorp","PharmaPlus","GlobalMed"}, RANDBETWEEN(1,4))</f>
        <v>PharmaPlus</v>
      </c>
      <c r="E806">
        <f t="shared" ca="1" si="121"/>
        <v>141</v>
      </c>
      <c r="F806">
        <f t="shared" ca="1" si="122"/>
        <v>88</v>
      </c>
      <c r="G806">
        <f t="shared" ca="1" si="123"/>
        <v>1.28</v>
      </c>
      <c r="H806" s="1">
        <f t="shared" ca="1" si="124"/>
        <v>46430</v>
      </c>
      <c r="I806" s="1">
        <f t="shared" ca="1" si="125"/>
        <v>46101</v>
      </c>
      <c r="J806">
        <f t="shared" ca="1" si="126"/>
        <v>180.48</v>
      </c>
      <c r="K806" t="str">
        <f t="shared" ca="1" si="127"/>
        <v>In Stock</v>
      </c>
      <c r="L806" s="2">
        <f t="shared" ca="1" si="128"/>
        <v>311</v>
      </c>
      <c r="M806" t="str">
        <f t="shared" ca="1" si="129"/>
        <v>Safe</v>
      </c>
    </row>
    <row r="807" spans="1:13" x14ac:dyDescent="0.25">
      <c r="A807" t="str">
        <f t="shared" si="120"/>
        <v>M806</v>
      </c>
      <c r="B807" t="str" cm="1">
        <f t="array" aca="1" ref="B807" ca="1">INDEX({"Paracetamol","Amoxicillin","Ibuprofen","Cetirizine","Metformin","Amlodipine","Omeprazole","Azithromycin","Losartan","Vitamin C"}, RANDBETWEEN(1,10))</f>
        <v>Paracetamol</v>
      </c>
      <c r="C807" t="str" cm="1">
        <f t="array" aca="1" ref="C807" ca="1">INDEX({"Painkiller","Antibiotic","Painkiller","Antihistamine","Diabetes","Hypertension","Antacid","Antibiotic","Hypertension","Supplement"},
MATCH(B807,{"Paracetamol","Amoxicillin","Ibuprofen","Cetirizine","Metformin","Amlodipine","Omeprazole","Azithromycin","Losartan","Vitamin C"},0))</f>
        <v>Painkiller</v>
      </c>
      <c r="D807" t="str" cm="1">
        <f t="array" aca="1" ref="D807" ca="1">INDEX({"MedSupply Co","HealthCorp","PharmaPlus","GlobalMed"}, RANDBETWEEN(1,4))</f>
        <v>MedSupply Co</v>
      </c>
      <c r="E807">
        <f t="shared" ca="1" si="121"/>
        <v>45</v>
      </c>
      <c r="F807">
        <f t="shared" ca="1" si="122"/>
        <v>47</v>
      </c>
      <c r="G807">
        <f t="shared" ca="1" si="123"/>
        <v>1.35</v>
      </c>
      <c r="H807" s="1">
        <f t="shared" ca="1" si="124"/>
        <v>46150</v>
      </c>
      <c r="I807" s="1">
        <f t="shared" ca="1" si="125"/>
        <v>45992</v>
      </c>
      <c r="J807">
        <f t="shared" ca="1" si="126"/>
        <v>60.750000000000007</v>
      </c>
      <c r="K807" t="str">
        <f t="shared" ca="1" si="127"/>
        <v>Low Stock</v>
      </c>
      <c r="L807" s="2">
        <f t="shared" ca="1" si="128"/>
        <v>31</v>
      </c>
      <c r="M807" t="str">
        <f t="shared" ca="1" si="129"/>
        <v>Safe</v>
      </c>
    </row>
    <row r="808" spans="1:13" x14ac:dyDescent="0.25">
      <c r="A808" t="str">
        <f t="shared" si="120"/>
        <v>M807</v>
      </c>
      <c r="B808" t="str" cm="1">
        <f t="array" aca="1" ref="B808" ca="1">INDEX({"Paracetamol","Amoxicillin","Ibuprofen","Cetirizine","Metformin","Amlodipine","Omeprazole","Azithromycin","Losartan","Vitamin C"}, RANDBETWEEN(1,10))</f>
        <v>Ibuprofen</v>
      </c>
      <c r="C808" t="str" cm="1">
        <f t="array" aca="1" ref="C808" ca="1">INDEX({"Painkiller","Antibiotic","Painkiller","Antihistamine","Diabetes","Hypertension","Antacid","Antibiotic","Hypertension","Supplement"},
MATCH(B808,{"Paracetamol","Amoxicillin","Ibuprofen","Cetirizine","Metformin","Amlodipine","Omeprazole","Azithromycin","Losartan","Vitamin C"},0))</f>
        <v>Painkiller</v>
      </c>
      <c r="D808" t="str" cm="1">
        <f t="array" aca="1" ref="D808" ca="1">INDEX({"MedSupply Co","HealthCorp","PharmaPlus","GlobalMed"}, RANDBETWEEN(1,4))</f>
        <v>MedSupply Co</v>
      </c>
      <c r="E808">
        <f t="shared" ca="1" si="121"/>
        <v>118</v>
      </c>
      <c r="F808">
        <f t="shared" ca="1" si="122"/>
        <v>40</v>
      </c>
      <c r="G808">
        <f t="shared" ca="1" si="123"/>
        <v>0.53</v>
      </c>
      <c r="H808" s="1">
        <f t="shared" ca="1" si="124"/>
        <v>46242</v>
      </c>
      <c r="I808" s="1">
        <f t="shared" ca="1" si="125"/>
        <v>46077</v>
      </c>
      <c r="J808">
        <f t="shared" ca="1" si="126"/>
        <v>62.540000000000006</v>
      </c>
      <c r="K808" t="str">
        <f t="shared" ca="1" si="127"/>
        <v>In Stock</v>
      </c>
      <c r="L808" s="2">
        <f t="shared" ca="1" si="128"/>
        <v>123</v>
      </c>
      <c r="M808" t="str">
        <f t="shared" ca="1" si="129"/>
        <v>Safe</v>
      </c>
    </row>
    <row r="809" spans="1:13" x14ac:dyDescent="0.25">
      <c r="A809" t="str">
        <f t="shared" si="120"/>
        <v>M808</v>
      </c>
      <c r="B809" t="str" cm="1">
        <f t="array" aca="1" ref="B809" ca="1">INDEX({"Paracetamol","Amoxicillin","Ibuprofen","Cetirizine","Metformin","Amlodipine","Omeprazole","Azithromycin","Losartan","Vitamin C"}, RANDBETWEEN(1,10))</f>
        <v>Metformin</v>
      </c>
      <c r="C809" t="str" cm="1">
        <f t="array" aca="1" ref="C809" ca="1">INDEX({"Painkiller","Antibiotic","Painkiller","Antihistamine","Diabetes","Hypertension","Antacid","Antibiotic","Hypertension","Supplement"},
MATCH(B809,{"Paracetamol","Amoxicillin","Ibuprofen","Cetirizine","Metformin","Amlodipine","Omeprazole","Azithromycin","Losartan","Vitamin C"},0))</f>
        <v>Diabetes</v>
      </c>
      <c r="D809" t="str" cm="1">
        <f t="array" aca="1" ref="D809" ca="1">INDEX({"MedSupply Co","HealthCorp","PharmaPlus","GlobalMed"}, RANDBETWEEN(1,4))</f>
        <v>PharmaPlus</v>
      </c>
      <c r="E809">
        <f t="shared" ca="1" si="121"/>
        <v>34</v>
      </c>
      <c r="F809">
        <f t="shared" ca="1" si="122"/>
        <v>46</v>
      </c>
      <c r="G809">
        <f t="shared" ca="1" si="123"/>
        <v>1.23</v>
      </c>
      <c r="H809" s="1">
        <f t="shared" ca="1" si="124"/>
        <v>46318</v>
      </c>
      <c r="I809" s="1">
        <f t="shared" ca="1" si="125"/>
        <v>46057</v>
      </c>
      <c r="J809">
        <f t="shared" ca="1" si="126"/>
        <v>41.82</v>
      </c>
      <c r="K809" t="str">
        <f t="shared" ca="1" si="127"/>
        <v>Low Stock</v>
      </c>
      <c r="L809" s="2">
        <f t="shared" ca="1" si="128"/>
        <v>199</v>
      </c>
      <c r="M809" t="str">
        <f t="shared" ca="1" si="129"/>
        <v>Safe</v>
      </c>
    </row>
    <row r="810" spans="1:13" x14ac:dyDescent="0.25">
      <c r="A810" t="str">
        <f t="shared" si="120"/>
        <v>M809</v>
      </c>
      <c r="B810" t="str" cm="1">
        <f t="array" aca="1" ref="B810" ca="1">INDEX({"Paracetamol","Amoxicillin","Ibuprofen","Cetirizine","Metformin","Amlodipine","Omeprazole","Azithromycin","Losartan","Vitamin C"}, RANDBETWEEN(1,10))</f>
        <v>Cetirizine</v>
      </c>
      <c r="C810" t="str" cm="1">
        <f t="array" aca="1" ref="C810" ca="1">INDEX({"Painkiller","Antibiotic","Painkiller","Antihistamine","Diabetes","Hypertension","Antacid","Antibiotic","Hypertension","Supplement"},
MATCH(B810,{"Paracetamol","Amoxicillin","Ibuprofen","Cetirizine","Metformin","Amlodipine","Omeprazole","Azithromycin","Losartan","Vitamin C"},0))</f>
        <v>Antihistamine</v>
      </c>
      <c r="D810" t="str" cm="1">
        <f t="array" aca="1" ref="D810" ca="1">INDEX({"MedSupply Co","HealthCorp","PharmaPlus","GlobalMed"}, RANDBETWEEN(1,4))</f>
        <v>MedSupply Co</v>
      </c>
      <c r="E810">
        <f t="shared" ca="1" si="121"/>
        <v>93</v>
      </c>
      <c r="F810">
        <f t="shared" ca="1" si="122"/>
        <v>21</v>
      </c>
      <c r="G810">
        <f t="shared" ca="1" si="123"/>
        <v>1.03</v>
      </c>
      <c r="H810" s="1">
        <f t="shared" ca="1" si="124"/>
        <v>46409</v>
      </c>
      <c r="I810" s="1">
        <f t="shared" ca="1" si="125"/>
        <v>45984</v>
      </c>
      <c r="J810">
        <f t="shared" ca="1" si="126"/>
        <v>95.79</v>
      </c>
      <c r="K810" t="str">
        <f t="shared" ca="1" si="127"/>
        <v>In Stock</v>
      </c>
      <c r="L810" s="2">
        <f t="shared" ca="1" si="128"/>
        <v>290</v>
      </c>
      <c r="M810" t="str">
        <f t="shared" ca="1" si="129"/>
        <v>Safe</v>
      </c>
    </row>
    <row r="811" spans="1:13" x14ac:dyDescent="0.25">
      <c r="A811" t="str">
        <f t="shared" si="120"/>
        <v>M810</v>
      </c>
      <c r="B811" t="str" cm="1">
        <f t="array" aca="1" ref="B811" ca="1">INDEX({"Paracetamol","Amoxicillin","Ibuprofen","Cetirizine","Metformin","Amlodipine","Omeprazole","Azithromycin","Losartan","Vitamin C"}, RANDBETWEEN(1,10))</f>
        <v>Metformin</v>
      </c>
      <c r="C811" t="str" cm="1">
        <f t="array" aca="1" ref="C811" ca="1">INDEX({"Painkiller","Antibiotic","Painkiller","Antihistamine","Diabetes","Hypertension","Antacid","Antibiotic","Hypertension","Supplement"},
MATCH(B811,{"Paracetamol","Amoxicillin","Ibuprofen","Cetirizine","Metformin","Amlodipine","Omeprazole","Azithromycin","Losartan","Vitamin C"},0))</f>
        <v>Diabetes</v>
      </c>
      <c r="D811" t="str" cm="1">
        <f t="array" aca="1" ref="D811" ca="1">INDEX({"MedSupply Co","HealthCorp","PharmaPlus","GlobalMed"}, RANDBETWEEN(1,4))</f>
        <v>MedSupply Co</v>
      </c>
      <c r="E811">
        <f t="shared" ca="1" si="121"/>
        <v>89</v>
      </c>
      <c r="F811">
        <f t="shared" ca="1" si="122"/>
        <v>57</v>
      </c>
      <c r="G811">
        <f t="shared" ca="1" si="123"/>
        <v>1.9</v>
      </c>
      <c r="H811" s="1">
        <f t="shared" ca="1" si="124"/>
        <v>46305</v>
      </c>
      <c r="I811" s="1">
        <f t="shared" ca="1" si="125"/>
        <v>46021</v>
      </c>
      <c r="J811">
        <f t="shared" ca="1" si="126"/>
        <v>169.1</v>
      </c>
      <c r="K811" t="str">
        <f t="shared" ca="1" si="127"/>
        <v>In Stock</v>
      </c>
      <c r="L811" s="2">
        <f t="shared" ca="1" si="128"/>
        <v>186</v>
      </c>
      <c r="M811" t="str">
        <f t="shared" ca="1" si="129"/>
        <v>Safe</v>
      </c>
    </row>
    <row r="812" spans="1:13" x14ac:dyDescent="0.25">
      <c r="A812" t="str">
        <f t="shared" si="120"/>
        <v>M811</v>
      </c>
      <c r="B812" t="str" cm="1">
        <f t="array" aca="1" ref="B812" ca="1">INDEX({"Paracetamol","Amoxicillin","Ibuprofen","Cetirizine","Metformin","Amlodipine","Omeprazole","Azithromycin","Losartan","Vitamin C"}, RANDBETWEEN(1,10))</f>
        <v>Cetirizine</v>
      </c>
      <c r="C812" t="str" cm="1">
        <f t="array" aca="1" ref="C812" ca="1">INDEX({"Painkiller","Antibiotic","Painkiller","Antihistamine","Diabetes","Hypertension","Antacid","Antibiotic","Hypertension","Supplement"},
MATCH(B812,{"Paracetamol","Amoxicillin","Ibuprofen","Cetirizine","Metformin","Amlodipine","Omeprazole","Azithromycin","Losartan","Vitamin C"},0))</f>
        <v>Antihistamine</v>
      </c>
      <c r="D812" t="str" cm="1">
        <f t="array" aca="1" ref="D812" ca="1">INDEX({"MedSupply Co","HealthCorp","PharmaPlus","GlobalMed"}, RANDBETWEEN(1,4))</f>
        <v>GlobalMed</v>
      </c>
      <c r="E812">
        <f t="shared" ca="1" si="121"/>
        <v>54</v>
      </c>
      <c r="F812">
        <f t="shared" ca="1" si="122"/>
        <v>39</v>
      </c>
      <c r="G812">
        <f t="shared" ca="1" si="123"/>
        <v>0.86</v>
      </c>
      <c r="H812" s="1">
        <f t="shared" ca="1" si="124"/>
        <v>46405</v>
      </c>
      <c r="I812" s="1">
        <f t="shared" ca="1" si="125"/>
        <v>45951</v>
      </c>
      <c r="J812">
        <f t="shared" ca="1" si="126"/>
        <v>46.44</v>
      </c>
      <c r="K812" t="str">
        <f t="shared" ca="1" si="127"/>
        <v>In Stock</v>
      </c>
      <c r="L812" s="2">
        <f t="shared" ca="1" si="128"/>
        <v>286</v>
      </c>
      <c r="M812" t="str">
        <f t="shared" ca="1" si="129"/>
        <v>Safe</v>
      </c>
    </row>
    <row r="813" spans="1:13" x14ac:dyDescent="0.25">
      <c r="A813" t="str">
        <f t="shared" si="120"/>
        <v>M812</v>
      </c>
      <c r="B813" t="str" cm="1">
        <f t="array" aca="1" ref="B813" ca="1">INDEX({"Paracetamol","Amoxicillin","Ibuprofen","Cetirizine","Metformin","Amlodipine","Omeprazole","Azithromycin","Losartan","Vitamin C"}, RANDBETWEEN(1,10))</f>
        <v>Cetirizine</v>
      </c>
      <c r="C813" t="str" cm="1">
        <f t="array" aca="1" ref="C813" ca="1">INDEX({"Painkiller","Antibiotic","Painkiller","Antihistamine","Diabetes","Hypertension","Antacid","Antibiotic","Hypertension","Supplement"},
MATCH(B813,{"Paracetamol","Amoxicillin","Ibuprofen","Cetirizine","Metformin","Amlodipine","Omeprazole","Azithromycin","Losartan","Vitamin C"},0))</f>
        <v>Antihistamine</v>
      </c>
      <c r="D813" t="str" cm="1">
        <f t="array" aca="1" ref="D813" ca="1">INDEX({"MedSupply Co","HealthCorp","PharmaPlus","GlobalMed"}, RANDBETWEEN(1,4))</f>
        <v>HealthCorp</v>
      </c>
      <c r="E813">
        <f t="shared" ca="1" si="121"/>
        <v>121</v>
      </c>
      <c r="F813">
        <f t="shared" ca="1" si="122"/>
        <v>93</v>
      </c>
      <c r="G813">
        <f t="shared" ca="1" si="123"/>
        <v>0.97</v>
      </c>
      <c r="H813" s="1">
        <f t="shared" ca="1" si="124"/>
        <v>46307</v>
      </c>
      <c r="I813" s="1">
        <f t="shared" ca="1" si="125"/>
        <v>46033</v>
      </c>
      <c r="J813">
        <f t="shared" ca="1" si="126"/>
        <v>117.36999999999999</v>
      </c>
      <c r="K813" t="str">
        <f t="shared" ca="1" si="127"/>
        <v>In Stock</v>
      </c>
      <c r="L813" s="2">
        <f t="shared" ca="1" si="128"/>
        <v>188</v>
      </c>
      <c r="M813" t="str">
        <f t="shared" ca="1" si="129"/>
        <v>Safe</v>
      </c>
    </row>
    <row r="814" spans="1:13" x14ac:dyDescent="0.25">
      <c r="A814" t="str">
        <f t="shared" si="120"/>
        <v>M813</v>
      </c>
      <c r="B814" t="str" cm="1">
        <f t="array" aca="1" ref="B814" ca="1">INDEX({"Paracetamol","Amoxicillin","Ibuprofen","Cetirizine","Metformin","Amlodipine","Omeprazole","Azithromycin","Losartan","Vitamin C"}, RANDBETWEEN(1,10))</f>
        <v>Cetirizine</v>
      </c>
      <c r="C814" t="str" cm="1">
        <f t="array" aca="1" ref="C814" ca="1">INDEX({"Painkiller","Antibiotic","Painkiller","Antihistamine","Diabetes","Hypertension","Antacid","Antibiotic","Hypertension","Supplement"},
MATCH(B814,{"Paracetamol","Amoxicillin","Ibuprofen","Cetirizine","Metformin","Amlodipine","Omeprazole","Azithromycin","Losartan","Vitamin C"},0))</f>
        <v>Antihistamine</v>
      </c>
      <c r="D814" t="str" cm="1">
        <f t="array" aca="1" ref="D814" ca="1">INDEX({"MedSupply Co","HealthCorp","PharmaPlus","GlobalMed"}, RANDBETWEEN(1,4))</f>
        <v>GlobalMed</v>
      </c>
      <c r="E814">
        <f t="shared" ca="1" si="121"/>
        <v>56</v>
      </c>
      <c r="F814">
        <f t="shared" ca="1" si="122"/>
        <v>75</v>
      </c>
      <c r="G814">
        <f t="shared" ca="1" si="123"/>
        <v>1</v>
      </c>
      <c r="H814" s="1">
        <f t="shared" ca="1" si="124"/>
        <v>46204</v>
      </c>
      <c r="I814" s="1">
        <f t="shared" ca="1" si="125"/>
        <v>46069</v>
      </c>
      <c r="J814">
        <f t="shared" ca="1" si="126"/>
        <v>56</v>
      </c>
      <c r="K814" t="str">
        <f t="shared" ca="1" si="127"/>
        <v>Low Stock</v>
      </c>
      <c r="L814" s="2">
        <f t="shared" ca="1" si="128"/>
        <v>85</v>
      </c>
      <c r="M814" t="str">
        <f t="shared" ca="1" si="129"/>
        <v>Safe</v>
      </c>
    </row>
    <row r="815" spans="1:13" x14ac:dyDescent="0.25">
      <c r="A815" t="str">
        <f t="shared" si="120"/>
        <v>M814</v>
      </c>
      <c r="B815" t="str" cm="1">
        <f t="array" aca="1" ref="B815" ca="1">INDEX({"Paracetamol","Amoxicillin","Ibuprofen","Cetirizine","Metformin","Amlodipine","Omeprazole","Azithromycin","Losartan","Vitamin C"}, RANDBETWEEN(1,10))</f>
        <v>Vitamin C</v>
      </c>
      <c r="C815" t="str" cm="1">
        <f t="array" aca="1" ref="C815" ca="1">INDEX({"Painkiller","Antibiotic","Painkiller","Antihistamine","Diabetes","Hypertension","Antacid","Antibiotic","Hypertension","Supplement"},
MATCH(B815,{"Paracetamol","Amoxicillin","Ibuprofen","Cetirizine","Metformin","Amlodipine","Omeprazole","Azithromycin","Losartan","Vitamin C"},0))</f>
        <v>Supplement</v>
      </c>
      <c r="D815" t="str" cm="1">
        <f t="array" aca="1" ref="D815" ca="1">INDEX({"MedSupply Co","HealthCorp","PharmaPlus","GlobalMed"}, RANDBETWEEN(1,4))</f>
        <v>HealthCorp</v>
      </c>
      <c r="E815">
        <f t="shared" ca="1" si="121"/>
        <v>66</v>
      </c>
      <c r="F815">
        <f t="shared" ca="1" si="122"/>
        <v>24</v>
      </c>
      <c r="G815">
        <f t="shared" ca="1" si="123"/>
        <v>0.89</v>
      </c>
      <c r="H815" s="1">
        <f t="shared" ca="1" si="124"/>
        <v>46223</v>
      </c>
      <c r="I815" s="1">
        <f t="shared" ca="1" si="125"/>
        <v>46003</v>
      </c>
      <c r="J815">
        <f t="shared" ca="1" si="126"/>
        <v>58.74</v>
      </c>
      <c r="K815" t="str">
        <f t="shared" ca="1" si="127"/>
        <v>In Stock</v>
      </c>
      <c r="L815" s="2">
        <f t="shared" ca="1" si="128"/>
        <v>104</v>
      </c>
      <c r="M815" t="str">
        <f t="shared" ca="1" si="129"/>
        <v>Safe</v>
      </c>
    </row>
    <row r="816" spans="1:13" x14ac:dyDescent="0.25">
      <c r="A816" t="str">
        <f t="shared" si="120"/>
        <v>M815</v>
      </c>
      <c r="B816" t="str" cm="1">
        <f t="array" aca="1" ref="B816" ca="1">INDEX({"Paracetamol","Amoxicillin","Ibuprofen","Cetirizine","Metformin","Amlodipine","Omeprazole","Azithromycin","Losartan","Vitamin C"}, RANDBETWEEN(1,10))</f>
        <v>Azithromycin</v>
      </c>
      <c r="C816" t="str" cm="1">
        <f t="array" aca="1" ref="C816" ca="1">INDEX({"Painkiller","Antibiotic","Painkiller","Antihistamine","Diabetes","Hypertension","Antacid","Antibiotic","Hypertension","Supplement"},
MATCH(B816,{"Paracetamol","Amoxicillin","Ibuprofen","Cetirizine","Metformin","Amlodipine","Omeprazole","Azithromycin","Losartan","Vitamin C"},0))</f>
        <v>Antibiotic</v>
      </c>
      <c r="D816" t="str" cm="1">
        <f t="array" aca="1" ref="D816" ca="1">INDEX({"MedSupply Co","HealthCorp","PharmaPlus","GlobalMed"}, RANDBETWEEN(1,4))</f>
        <v>HealthCorp</v>
      </c>
      <c r="E816">
        <f t="shared" ca="1" si="121"/>
        <v>44</v>
      </c>
      <c r="F816">
        <f t="shared" ca="1" si="122"/>
        <v>48</v>
      </c>
      <c r="G816">
        <f t="shared" ca="1" si="123"/>
        <v>1.99</v>
      </c>
      <c r="H816" s="1">
        <f t="shared" ca="1" si="124"/>
        <v>46435</v>
      </c>
      <c r="I816" s="1">
        <f t="shared" ca="1" si="125"/>
        <v>45998</v>
      </c>
      <c r="J816">
        <f t="shared" ca="1" si="126"/>
        <v>87.56</v>
      </c>
      <c r="K816" t="str">
        <f t="shared" ca="1" si="127"/>
        <v>Low Stock</v>
      </c>
      <c r="L816" s="2">
        <f t="shared" ca="1" si="128"/>
        <v>316</v>
      </c>
      <c r="M816" t="str">
        <f t="shared" ca="1" si="129"/>
        <v>Safe</v>
      </c>
    </row>
    <row r="817" spans="1:13" x14ac:dyDescent="0.25">
      <c r="A817" t="str">
        <f t="shared" si="120"/>
        <v>M816</v>
      </c>
      <c r="B817" t="str" cm="1">
        <f t="array" aca="1" ref="B817" ca="1">INDEX({"Paracetamol","Amoxicillin","Ibuprofen","Cetirizine","Metformin","Amlodipine","Omeprazole","Azithromycin","Losartan","Vitamin C"}, RANDBETWEEN(1,10))</f>
        <v>Omeprazole</v>
      </c>
      <c r="C817" t="str" cm="1">
        <f t="array" aca="1" ref="C817" ca="1">INDEX({"Painkiller","Antibiotic","Painkiller","Antihistamine","Diabetes","Hypertension","Antacid","Antibiotic","Hypertension","Supplement"},
MATCH(B817,{"Paracetamol","Amoxicillin","Ibuprofen","Cetirizine","Metformin","Amlodipine","Omeprazole","Azithromycin","Losartan","Vitamin C"},0))</f>
        <v>Antacid</v>
      </c>
      <c r="D817" t="str" cm="1">
        <f t="array" aca="1" ref="D817" ca="1">INDEX({"MedSupply Co","HealthCorp","PharmaPlus","GlobalMed"}, RANDBETWEEN(1,4))</f>
        <v>MedSupply Co</v>
      </c>
      <c r="E817">
        <f t="shared" ca="1" si="121"/>
        <v>137</v>
      </c>
      <c r="F817">
        <f t="shared" ca="1" si="122"/>
        <v>35</v>
      </c>
      <c r="G817">
        <f t="shared" ca="1" si="123"/>
        <v>0.85</v>
      </c>
      <c r="H817" s="1">
        <f t="shared" ca="1" si="124"/>
        <v>46464</v>
      </c>
      <c r="I817" s="1">
        <f t="shared" ca="1" si="125"/>
        <v>46049</v>
      </c>
      <c r="J817">
        <f t="shared" ca="1" si="126"/>
        <v>116.45</v>
      </c>
      <c r="K817" t="str">
        <f t="shared" ca="1" si="127"/>
        <v>In Stock</v>
      </c>
      <c r="L817" s="2">
        <f t="shared" ca="1" si="128"/>
        <v>345</v>
      </c>
      <c r="M817" t="str">
        <f t="shared" ca="1" si="129"/>
        <v>Safe</v>
      </c>
    </row>
    <row r="818" spans="1:13" x14ac:dyDescent="0.25">
      <c r="A818" t="str">
        <f t="shared" si="120"/>
        <v>M817</v>
      </c>
      <c r="B818" t="str" cm="1">
        <f t="array" aca="1" ref="B818" ca="1">INDEX({"Paracetamol","Amoxicillin","Ibuprofen","Cetirizine","Metformin","Amlodipine","Omeprazole","Azithromycin","Losartan","Vitamin C"}, RANDBETWEEN(1,10))</f>
        <v>Ibuprofen</v>
      </c>
      <c r="C818" t="str" cm="1">
        <f t="array" aca="1" ref="C818" ca="1">INDEX({"Painkiller","Antibiotic","Painkiller","Antihistamine","Diabetes","Hypertension","Antacid","Antibiotic","Hypertension","Supplement"},
MATCH(B818,{"Paracetamol","Amoxicillin","Ibuprofen","Cetirizine","Metformin","Amlodipine","Omeprazole","Azithromycin","Losartan","Vitamin C"},0))</f>
        <v>Painkiller</v>
      </c>
      <c r="D818" t="str" cm="1">
        <f t="array" aca="1" ref="D818" ca="1">INDEX({"MedSupply Co","HealthCorp","PharmaPlus","GlobalMed"}, RANDBETWEEN(1,4))</f>
        <v>MedSupply Co</v>
      </c>
      <c r="E818">
        <f t="shared" ca="1" si="121"/>
        <v>37</v>
      </c>
      <c r="F818">
        <f t="shared" ca="1" si="122"/>
        <v>27</v>
      </c>
      <c r="G818">
        <f t="shared" ca="1" si="123"/>
        <v>0.55000000000000004</v>
      </c>
      <c r="H818" s="1">
        <f t="shared" ca="1" si="124"/>
        <v>46254</v>
      </c>
      <c r="I818" s="1">
        <f t="shared" ca="1" si="125"/>
        <v>45950</v>
      </c>
      <c r="J818">
        <f t="shared" ca="1" si="126"/>
        <v>20.350000000000001</v>
      </c>
      <c r="K818" t="str">
        <f t="shared" ca="1" si="127"/>
        <v>In Stock</v>
      </c>
      <c r="L818" s="2">
        <f t="shared" ca="1" si="128"/>
        <v>135</v>
      </c>
      <c r="M818" t="str">
        <f t="shared" ca="1" si="129"/>
        <v>Safe</v>
      </c>
    </row>
    <row r="819" spans="1:13" x14ac:dyDescent="0.25">
      <c r="A819" t="str">
        <f t="shared" si="120"/>
        <v>M818</v>
      </c>
      <c r="B819" t="str" cm="1">
        <f t="array" aca="1" ref="B819" ca="1">INDEX({"Paracetamol","Amoxicillin","Ibuprofen","Cetirizine","Metformin","Amlodipine","Omeprazole","Azithromycin","Losartan","Vitamin C"}, RANDBETWEEN(1,10))</f>
        <v>Ibuprofen</v>
      </c>
      <c r="C819" t="str" cm="1">
        <f t="array" aca="1" ref="C819" ca="1">INDEX({"Painkiller","Antibiotic","Painkiller","Antihistamine","Diabetes","Hypertension","Antacid","Antibiotic","Hypertension","Supplement"},
MATCH(B819,{"Paracetamol","Amoxicillin","Ibuprofen","Cetirizine","Metformin","Amlodipine","Omeprazole","Azithromycin","Losartan","Vitamin C"},0))</f>
        <v>Painkiller</v>
      </c>
      <c r="D819" t="str" cm="1">
        <f t="array" aca="1" ref="D819" ca="1">INDEX({"MedSupply Co","HealthCorp","PharmaPlus","GlobalMed"}, RANDBETWEEN(1,4))</f>
        <v>HealthCorp</v>
      </c>
      <c r="E819">
        <f t="shared" ca="1" si="121"/>
        <v>53</v>
      </c>
      <c r="F819">
        <f t="shared" ca="1" si="122"/>
        <v>81</v>
      </c>
      <c r="G819">
        <f t="shared" ca="1" si="123"/>
        <v>1.65</v>
      </c>
      <c r="H819" s="1">
        <f t="shared" ca="1" si="124"/>
        <v>46198</v>
      </c>
      <c r="I819" s="1">
        <f t="shared" ca="1" si="125"/>
        <v>46085</v>
      </c>
      <c r="J819">
        <f t="shared" ca="1" si="126"/>
        <v>87.449999999999989</v>
      </c>
      <c r="K819" t="str">
        <f t="shared" ca="1" si="127"/>
        <v>Low Stock</v>
      </c>
      <c r="L819" s="2">
        <f t="shared" ca="1" si="128"/>
        <v>79</v>
      </c>
      <c r="M819" t="str">
        <f t="shared" ca="1" si="129"/>
        <v>Safe</v>
      </c>
    </row>
    <row r="820" spans="1:13" x14ac:dyDescent="0.25">
      <c r="A820" t="str">
        <f t="shared" si="120"/>
        <v>M819</v>
      </c>
      <c r="B820" t="str" cm="1">
        <f t="array" aca="1" ref="B820" ca="1">INDEX({"Paracetamol","Amoxicillin","Ibuprofen","Cetirizine","Metformin","Amlodipine","Omeprazole","Azithromycin","Losartan","Vitamin C"}, RANDBETWEEN(1,10))</f>
        <v>Amoxicillin</v>
      </c>
      <c r="C820" t="str" cm="1">
        <f t="array" aca="1" ref="C820" ca="1">INDEX({"Painkiller","Antibiotic","Painkiller","Antihistamine","Diabetes","Hypertension","Antacid","Antibiotic","Hypertension","Supplement"},
MATCH(B820,{"Paracetamol","Amoxicillin","Ibuprofen","Cetirizine","Metformin","Amlodipine","Omeprazole","Azithromycin","Losartan","Vitamin C"},0))</f>
        <v>Antibiotic</v>
      </c>
      <c r="D820" t="str" cm="1">
        <f t="array" aca="1" ref="D820" ca="1">INDEX({"MedSupply Co","HealthCorp","PharmaPlus","GlobalMed"}, RANDBETWEEN(1,4))</f>
        <v>GlobalMed</v>
      </c>
      <c r="E820">
        <f t="shared" ca="1" si="121"/>
        <v>158</v>
      </c>
      <c r="F820">
        <f t="shared" ca="1" si="122"/>
        <v>93</v>
      </c>
      <c r="G820">
        <f t="shared" ca="1" si="123"/>
        <v>0.79</v>
      </c>
      <c r="H820" s="1">
        <f t="shared" ca="1" si="124"/>
        <v>46190</v>
      </c>
      <c r="I820" s="1">
        <f t="shared" ca="1" si="125"/>
        <v>46106</v>
      </c>
      <c r="J820">
        <f t="shared" ca="1" si="126"/>
        <v>124.82000000000001</v>
      </c>
      <c r="K820" t="str">
        <f t="shared" ca="1" si="127"/>
        <v>In Stock</v>
      </c>
      <c r="L820" s="2">
        <f t="shared" ca="1" si="128"/>
        <v>71</v>
      </c>
      <c r="M820" t="str">
        <f t="shared" ca="1" si="129"/>
        <v>Safe</v>
      </c>
    </row>
    <row r="821" spans="1:13" x14ac:dyDescent="0.25">
      <c r="A821" t="str">
        <f t="shared" si="120"/>
        <v>M820</v>
      </c>
      <c r="B821" t="str" cm="1">
        <f t="array" aca="1" ref="B821" ca="1">INDEX({"Paracetamol","Amoxicillin","Ibuprofen","Cetirizine","Metformin","Amlodipine","Omeprazole","Azithromycin","Losartan","Vitamin C"}, RANDBETWEEN(1,10))</f>
        <v>Amlodipine</v>
      </c>
      <c r="C821" t="str" cm="1">
        <f t="array" aca="1" ref="C821" ca="1">INDEX({"Painkiller","Antibiotic","Painkiller","Antihistamine","Diabetes","Hypertension","Antacid","Antibiotic","Hypertension","Supplement"},
MATCH(B821,{"Paracetamol","Amoxicillin","Ibuprofen","Cetirizine","Metformin","Amlodipine","Omeprazole","Azithromycin","Losartan","Vitamin C"},0))</f>
        <v>Hypertension</v>
      </c>
      <c r="D821" t="str" cm="1">
        <f t="array" aca="1" ref="D821" ca="1">INDEX({"MedSupply Co","HealthCorp","PharmaPlus","GlobalMed"}, RANDBETWEEN(1,4))</f>
        <v>HealthCorp</v>
      </c>
      <c r="E821">
        <f t="shared" ca="1" si="121"/>
        <v>15</v>
      </c>
      <c r="F821">
        <f t="shared" ca="1" si="122"/>
        <v>58</v>
      </c>
      <c r="G821">
        <f t="shared" ca="1" si="123"/>
        <v>1.78</v>
      </c>
      <c r="H821" s="1">
        <f t="shared" ca="1" si="124"/>
        <v>46325</v>
      </c>
      <c r="I821" s="1">
        <f t="shared" ca="1" si="125"/>
        <v>45953</v>
      </c>
      <c r="J821">
        <f t="shared" ca="1" si="126"/>
        <v>26.7</v>
      </c>
      <c r="K821" t="str">
        <f t="shared" ca="1" si="127"/>
        <v>Low Stock</v>
      </c>
      <c r="L821" s="2">
        <f t="shared" ca="1" si="128"/>
        <v>206</v>
      </c>
      <c r="M821" t="str">
        <f t="shared" ca="1" si="129"/>
        <v>Safe</v>
      </c>
    </row>
    <row r="822" spans="1:13" x14ac:dyDescent="0.25">
      <c r="A822" t="str">
        <f t="shared" si="120"/>
        <v>M821</v>
      </c>
      <c r="B822" t="str" cm="1">
        <f t="array" aca="1" ref="B822" ca="1">INDEX({"Paracetamol","Amoxicillin","Ibuprofen","Cetirizine","Metformin","Amlodipine","Omeprazole","Azithromycin","Losartan","Vitamin C"}, RANDBETWEEN(1,10))</f>
        <v>Amlodipine</v>
      </c>
      <c r="C822" t="str" cm="1">
        <f t="array" aca="1" ref="C822" ca="1">INDEX({"Painkiller","Antibiotic","Painkiller","Antihistamine","Diabetes","Hypertension","Antacid","Antibiotic","Hypertension","Supplement"},
MATCH(B822,{"Paracetamol","Amoxicillin","Ibuprofen","Cetirizine","Metformin","Amlodipine","Omeprazole","Azithromycin","Losartan","Vitamin C"},0))</f>
        <v>Hypertension</v>
      </c>
      <c r="D822" t="str" cm="1">
        <f t="array" aca="1" ref="D822" ca="1">INDEX({"MedSupply Co","HealthCorp","PharmaPlus","GlobalMed"}, RANDBETWEEN(1,4))</f>
        <v>MedSupply Co</v>
      </c>
      <c r="E822">
        <f t="shared" ca="1" si="121"/>
        <v>62</v>
      </c>
      <c r="F822">
        <f t="shared" ca="1" si="122"/>
        <v>49</v>
      </c>
      <c r="G822">
        <f t="shared" ca="1" si="123"/>
        <v>1.22</v>
      </c>
      <c r="H822" s="1">
        <f t="shared" ca="1" si="124"/>
        <v>46453</v>
      </c>
      <c r="I822" s="1">
        <f t="shared" ca="1" si="125"/>
        <v>46115</v>
      </c>
      <c r="J822">
        <f t="shared" ca="1" si="126"/>
        <v>75.64</v>
      </c>
      <c r="K822" t="str">
        <f t="shared" ca="1" si="127"/>
        <v>In Stock</v>
      </c>
      <c r="L822" s="2">
        <f t="shared" ca="1" si="128"/>
        <v>334</v>
      </c>
      <c r="M822" t="str">
        <f t="shared" ca="1" si="129"/>
        <v>Safe</v>
      </c>
    </row>
    <row r="823" spans="1:13" x14ac:dyDescent="0.25">
      <c r="A823" t="str">
        <f t="shared" si="120"/>
        <v>M822</v>
      </c>
      <c r="B823" t="str" cm="1">
        <f t="array" aca="1" ref="B823" ca="1">INDEX({"Paracetamol","Amoxicillin","Ibuprofen","Cetirizine","Metformin","Amlodipine","Omeprazole","Azithromycin","Losartan","Vitamin C"}, RANDBETWEEN(1,10))</f>
        <v>Amlodipine</v>
      </c>
      <c r="C823" t="str" cm="1">
        <f t="array" aca="1" ref="C823" ca="1">INDEX({"Painkiller","Antibiotic","Painkiller","Antihistamine","Diabetes","Hypertension","Antacid","Antibiotic","Hypertension","Supplement"},
MATCH(B823,{"Paracetamol","Amoxicillin","Ibuprofen","Cetirizine","Metformin","Amlodipine","Omeprazole","Azithromycin","Losartan","Vitamin C"},0))</f>
        <v>Hypertension</v>
      </c>
      <c r="D823" t="str" cm="1">
        <f t="array" aca="1" ref="D823" ca="1">INDEX({"MedSupply Co","HealthCorp","PharmaPlus","GlobalMed"}, RANDBETWEEN(1,4))</f>
        <v>HealthCorp</v>
      </c>
      <c r="E823">
        <f t="shared" ca="1" si="121"/>
        <v>164</v>
      </c>
      <c r="F823">
        <f t="shared" ca="1" si="122"/>
        <v>54</v>
      </c>
      <c r="G823">
        <f t="shared" ca="1" si="123"/>
        <v>1.03</v>
      </c>
      <c r="H823" s="1">
        <f t="shared" ca="1" si="124"/>
        <v>46345</v>
      </c>
      <c r="I823" s="1">
        <f t="shared" ca="1" si="125"/>
        <v>45993</v>
      </c>
      <c r="J823">
        <f t="shared" ca="1" si="126"/>
        <v>168.92000000000002</v>
      </c>
      <c r="K823" t="str">
        <f t="shared" ca="1" si="127"/>
        <v>In Stock</v>
      </c>
      <c r="L823" s="2">
        <f t="shared" ca="1" si="128"/>
        <v>226</v>
      </c>
      <c r="M823" t="str">
        <f t="shared" ca="1" si="129"/>
        <v>Safe</v>
      </c>
    </row>
    <row r="824" spans="1:13" x14ac:dyDescent="0.25">
      <c r="A824" t="str">
        <f t="shared" si="120"/>
        <v>M823</v>
      </c>
      <c r="B824" t="str" cm="1">
        <f t="array" aca="1" ref="B824" ca="1">INDEX({"Paracetamol","Amoxicillin","Ibuprofen","Cetirizine","Metformin","Amlodipine","Omeprazole","Azithromycin","Losartan","Vitamin C"}, RANDBETWEEN(1,10))</f>
        <v>Paracetamol</v>
      </c>
      <c r="C824" t="str" cm="1">
        <f t="array" aca="1" ref="C824" ca="1">INDEX({"Painkiller","Antibiotic","Painkiller","Antihistamine","Diabetes","Hypertension","Antacid","Antibiotic","Hypertension","Supplement"},
MATCH(B824,{"Paracetamol","Amoxicillin","Ibuprofen","Cetirizine","Metformin","Amlodipine","Omeprazole","Azithromycin","Losartan","Vitamin C"},0))</f>
        <v>Painkiller</v>
      </c>
      <c r="D824" t="str" cm="1">
        <f t="array" aca="1" ref="D824" ca="1">INDEX({"MedSupply Co","HealthCorp","PharmaPlus","GlobalMed"}, RANDBETWEEN(1,4))</f>
        <v>HealthCorp</v>
      </c>
      <c r="E824">
        <f t="shared" ca="1" si="121"/>
        <v>0</v>
      </c>
      <c r="F824">
        <f t="shared" ca="1" si="122"/>
        <v>53</v>
      </c>
      <c r="G824">
        <f t="shared" ca="1" si="123"/>
        <v>1.49</v>
      </c>
      <c r="H824" s="1">
        <f t="shared" ca="1" si="124"/>
        <v>46479</v>
      </c>
      <c r="I824" s="1">
        <f t="shared" ca="1" si="125"/>
        <v>46022</v>
      </c>
      <c r="J824">
        <f t="shared" ca="1" si="126"/>
        <v>0</v>
      </c>
      <c r="K824" t="str">
        <f t="shared" ca="1" si="127"/>
        <v>Out of Stock</v>
      </c>
      <c r="L824" s="2">
        <f t="shared" ca="1" si="128"/>
        <v>360</v>
      </c>
      <c r="M824" t="str">
        <f t="shared" ca="1" si="129"/>
        <v>Safe</v>
      </c>
    </row>
    <row r="825" spans="1:13" x14ac:dyDescent="0.25">
      <c r="A825" t="str">
        <f t="shared" si="120"/>
        <v>M824</v>
      </c>
      <c r="B825" t="str" cm="1">
        <f t="array" aca="1" ref="B825" ca="1">INDEX({"Paracetamol","Amoxicillin","Ibuprofen","Cetirizine","Metformin","Amlodipine","Omeprazole","Azithromycin","Losartan","Vitamin C"}, RANDBETWEEN(1,10))</f>
        <v>Losartan</v>
      </c>
      <c r="C825" t="str" cm="1">
        <f t="array" aca="1" ref="C825" ca="1">INDEX({"Painkiller","Antibiotic","Painkiller","Antihistamine","Diabetes","Hypertension","Antacid","Antibiotic","Hypertension","Supplement"},
MATCH(B825,{"Paracetamol","Amoxicillin","Ibuprofen","Cetirizine","Metformin","Amlodipine","Omeprazole","Azithromycin","Losartan","Vitamin C"},0))</f>
        <v>Hypertension</v>
      </c>
      <c r="D825" t="str" cm="1">
        <f t="array" aca="1" ref="D825" ca="1">INDEX({"MedSupply Co","HealthCorp","PharmaPlus","GlobalMed"}, RANDBETWEEN(1,4))</f>
        <v>MedSupply Co</v>
      </c>
      <c r="E825">
        <f t="shared" ca="1" si="121"/>
        <v>125</v>
      </c>
      <c r="F825">
        <f t="shared" ca="1" si="122"/>
        <v>68</v>
      </c>
      <c r="G825">
        <f t="shared" ca="1" si="123"/>
        <v>1.2</v>
      </c>
      <c r="H825" s="1">
        <f t="shared" ca="1" si="124"/>
        <v>46263</v>
      </c>
      <c r="I825" s="1">
        <f t="shared" ca="1" si="125"/>
        <v>46100</v>
      </c>
      <c r="J825">
        <f t="shared" ca="1" si="126"/>
        <v>150</v>
      </c>
      <c r="K825" t="str">
        <f t="shared" ca="1" si="127"/>
        <v>In Stock</v>
      </c>
      <c r="L825" s="2">
        <f t="shared" ca="1" si="128"/>
        <v>144</v>
      </c>
      <c r="M825" t="str">
        <f t="shared" ca="1" si="129"/>
        <v>Safe</v>
      </c>
    </row>
    <row r="826" spans="1:13" x14ac:dyDescent="0.25">
      <c r="A826" t="str">
        <f t="shared" si="120"/>
        <v>M825</v>
      </c>
      <c r="B826" t="str" cm="1">
        <f t="array" aca="1" ref="B826" ca="1">INDEX({"Paracetamol","Amoxicillin","Ibuprofen","Cetirizine","Metformin","Amlodipine","Omeprazole","Azithromycin","Losartan","Vitamin C"}, RANDBETWEEN(1,10))</f>
        <v>Amoxicillin</v>
      </c>
      <c r="C826" t="str" cm="1">
        <f t="array" aca="1" ref="C826" ca="1">INDEX({"Painkiller","Antibiotic","Painkiller","Antihistamine","Diabetes","Hypertension","Antacid","Antibiotic","Hypertension","Supplement"},
MATCH(B826,{"Paracetamol","Amoxicillin","Ibuprofen","Cetirizine","Metformin","Amlodipine","Omeprazole","Azithromycin","Losartan","Vitamin C"},0))</f>
        <v>Antibiotic</v>
      </c>
      <c r="D826" t="str" cm="1">
        <f t="array" aca="1" ref="D826" ca="1">INDEX({"MedSupply Co","HealthCorp","PharmaPlus","GlobalMed"}, RANDBETWEEN(1,4))</f>
        <v>MedSupply Co</v>
      </c>
      <c r="E826">
        <f t="shared" ca="1" si="121"/>
        <v>176</v>
      </c>
      <c r="F826">
        <f t="shared" ca="1" si="122"/>
        <v>81</v>
      </c>
      <c r="G826">
        <f t="shared" ca="1" si="123"/>
        <v>1.51</v>
      </c>
      <c r="H826" s="1">
        <f t="shared" ca="1" si="124"/>
        <v>46392</v>
      </c>
      <c r="I826" s="1">
        <f t="shared" ca="1" si="125"/>
        <v>46004</v>
      </c>
      <c r="J826">
        <f t="shared" ca="1" si="126"/>
        <v>265.76</v>
      </c>
      <c r="K826" t="str">
        <f t="shared" ca="1" si="127"/>
        <v>In Stock</v>
      </c>
      <c r="L826" s="2">
        <f t="shared" ca="1" si="128"/>
        <v>273</v>
      </c>
      <c r="M826" t="str">
        <f t="shared" ca="1" si="129"/>
        <v>Safe</v>
      </c>
    </row>
    <row r="827" spans="1:13" x14ac:dyDescent="0.25">
      <c r="A827" t="str">
        <f t="shared" si="120"/>
        <v>M826</v>
      </c>
      <c r="B827" t="str" cm="1">
        <f t="array" aca="1" ref="B827" ca="1">INDEX({"Paracetamol","Amoxicillin","Ibuprofen","Cetirizine","Metformin","Amlodipine","Omeprazole","Azithromycin","Losartan","Vitamin C"}, RANDBETWEEN(1,10))</f>
        <v>Vitamin C</v>
      </c>
      <c r="C827" t="str" cm="1">
        <f t="array" aca="1" ref="C827" ca="1">INDEX({"Painkiller","Antibiotic","Painkiller","Antihistamine","Diabetes","Hypertension","Antacid","Antibiotic","Hypertension","Supplement"},
MATCH(B827,{"Paracetamol","Amoxicillin","Ibuprofen","Cetirizine","Metformin","Amlodipine","Omeprazole","Azithromycin","Losartan","Vitamin C"},0))</f>
        <v>Supplement</v>
      </c>
      <c r="D827" t="str" cm="1">
        <f t="array" aca="1" ref="D827" ca="1">INDEX({"MedSupply Co","HealthCorp","PharmaPlus","GlobalMed"}, RANDBETWEEN(1,4))</f>
        <v>GlobalMed</v>
      </c>
      <c r="E827">
        <f t="shared" ca="1" si="121"/>
        <v>141</v>
      </c>
      <c r="F827">
        <f t="shared" ca="1" si="122"/>
        <v>59</v>
      </c>
      <c r="G827">
        <f t="shared" ca="1" si="123"/>
        <v>1.05</v>
      </c>
      <c r="H827" s="1">
        <f t="shared" ca="1" si="124"/>
        <v>46165</v>
      </c>
      <c r="I827" s="1">
        <f t="shared" ca="1" si="125"/>
        <v>46099</v>
      </c>
      <c r="J827">
        <f t="shared" ca="1" si="126"/>
        <v>148.05000000000001</v>
      </c>
      <c r="K827" t="str">
        <f t="shared" ca="1" si="127"/>
        <v>In Stock</v>
      </c>
      <c r="L827" s="2">
        <f t="shared" ca="1" si="128"/>
        <v>46</v>
      </c>
      <c r="M827" t="str">
        <f t="shared" ca="1" si="129"/>
        <v>Safe</v>
      </c>
    </row>
    <row r="828" spans="1:13" x14ac:dyDescent="0.25">
      <c r="A828" t="str">
        <f t="shared" si="120"/>
        <v>M827</v>
      </c>
      <c r="B828" t="str" cm="1">
        <f t="array" aca="1" ref="B828" ca="1">INDEX({"Paracetamol","Amoxicillin","Ibuprofen","Cetirizine","Metformin","Amlodipine","Omeprazole","Azithromycin","Losartan","Vitamin C"}, RANDBETWEEN(1,10))</f>
        <v>Cetirizine</v>
      </c>
      <c r="C828" t="str" cm="1">
        <f t="array" aca="1" ref="C828" ca="1">INDEX({"Painkiller","Antibiotic","Painkiller","Antihistamine","Diabetes","Hypertension","Antacid","Antibiotic","Hypertension","Supplement"},
MATCH(B828,{"Paracetamol","Amoxicillin","Ibuprofen","Cetirizine","Metformin","Amlodipine","Omeprazole","Azithromycin","Losartan","Vitamin C"},0))</f>
        <v>Antihistamine</v>
      </c>
      <c r="D828" t="str" cm="1">
        <f t="array" aca="1" ref="D828" ca="1">INDEX({"MedSupply Co","HealthCorp","PharmaPlus","GlobalMed"}, RANDBETWEEN(1,4))</f>
        <v>GlobalMed</v>
      </c>
      <c r="E828">
        <f t="shared" ca="1" si="121"/>
        <v>78</v>
      </c>
      <c r="F828">
        <f t="shared" ca="1" si="122"/>
        <v>41</v>
      </c>
      <c r="G828">
        <f t="shared" ca="1" si="123"/>
        <v>2</v>
      </c>
      <c r="H828" s="1">
        <f t="shared" ca="1" si="124"/>
        <v>46181</v>
      </c>
      <c r="I828" s="1">
        <f t="shared" ca="1" si="125"/>
        <v>46022</v>
      </c>
      <c r="J828">
        <f t="shared" ca="1" si="126"/>
        <v>156</v>
      </c>
      <c r="K828" t="str">
        <f t="shared" ca="1" si="127"/>
        <v>In Stock</v>
      </c>
      <c r="L828" s="2">
        <f t="shared" ca="1" si="128"/>
        <v>62</v>
      </c>
      <c r="M828" t="str">
        <f t="shared" ca="1" si="129"/>
        <v>Safe</v>
      </c>
    </row>
    <row r="829" spans="1:13" x14ac:dyDescent="0.25">
      <c r="A829" t="str">
        <f t="shared" si="120"/>
        <v>M828</v>
      </c>
      <c r="B829" t="str" cm="1">
        <f t="array" aca="1" ref="B829" ca="1">INDEX({"Paracetamol","Amoxicillin","Ibuprofen","Cetirizine","Metformin","Amlodipine","Omeprazole","Azithromycin","Losartan","Vitamin C"}, RANDBETWEEN(1,10))</f>
        <v>Azithromycin</v>
      </c>
      <c r="C829" t="str" cm="1">
        <f t="array" aca="1" ref="C829" ca="1">INDEX({"Painkiller","Antibiotic","Painkiller","Antihistamine","Diabetes","Hypertension","Antacid","Antibiotic","Hypertension","Supplement"},
MATCH(B829,{"Paracetamol","Amoxicillin","Ibuprofen","Cetirizine","Metformin","Amlodipine","Omeprazole","Azithromycin","Losartan","Vitamin C"},0))</f>
        <v>Antibiotic</v>
      </c>
      <c r="D829" t="str" cm="1">
        <f t="array" aca="1" ref="D829" ca="1">INDEX({"MedSupply Co","HealthCorp","PharmaPlus","GlobalMed"}, RANDBETWEEN(1,4))</f>
        <v>PharmaPlus</v>
      </c>
      <c r="E829">
        <f t="shared" ca="1" si="121"/>
        <v>72</v>
      </c>
      <c r="F829">
        <f t="shared" ca="1" si="122"/>
        <v>26</v>
      </c>
      <c r="G829">
        <f t="shared" ca="1" si="123"/>
        <v>1.93</v>
      </c>
      <c r="H829" s="1">
        <f t="shared" ca="1" si="124"/>
        <v>46396</v>
      </c>
      <c r="I829" s="1">
        <f t="shared" ca="1" si="125"/>
        <v>46020</v>
      </c>
      <c r="J829">
        <f t="shared" ca="1" si="126"/>
        <v>138.96</v>
      </c>
      <c r="K829" t="str">
        <f t="shared" ca="1" si="127"/>
        <v>In Stock</v>
      </c>
      <c r="L829" s="2">
        <f t="shared" ca="1" si="128"/>
        <v>277</v>
      </c>
      <c r="M829" t="str">
        <f t="shared" ca="1" si="129"/>
        <v>Safe</v>
      </c>
    </row>
    <row r="830" spans="1:13" x14ac:dyDescent="0.25">
      <c r="A830" t="str">
        <f t="shared" si="120"/>
        <v>M829</v>
      </c>
      <c r="B830" t="str" cm="1">
        <f t="array" aca="1" ref="B830" ca="1">INDEX({"Paracetamol","Amoxicillin","Ibuprofen","Cetirizine","Metformin","Amlodipine","Omeprazole","Azithromycin","Losartan","Vitamin C"}, RANDBETWEEN(1,10))</f>
        <v>Amlodipine</v>
      </c>
      <c r="C830" t="str" cm="1">
        <f t="array" aca="1" ref="C830" ca="1">INDEX({"Painkiller","Antibiotic","Painkiller","Antihistamine","Diabetes","Hypertension","Antacid","Antibiotic","Hypertension","Supplement"},
MATCH(B830,{"Paracetamol","Amoxicillin","Ibuprofen","Cetirizine","Metformin","Amlodipine","Omeprazole","Azithromycin","Losartan","Vitamin C"},0))</f>
        <v>Hypertension</v>
      </c>
      <c r="D830" t="str" cm="1">
        <f t="array" aca="1" ref="D830" ca="1">INDEX({"MedSupply Co","HealthCorp","PharmaPlus","GlobalMed"}, RANDBETWEEN(1,4))</f>
        <v>PharmaPlus</v>
      </c>
      <c r="E830">
        <f t="shared" ca="1" si="121"/>
        <v>167</v>
      </c>
      <c r="F830">
        <f t="shared" ca="1" si="122"/>
        <v>98</v>
      </c>
      <c r="G830">
        <f t="shared" ca="1" si="123"/>
        <v>1.63</v>
      </c>
      <c r="H830" s="1">
        <f t="shared" ca="1" si="124"/>
        <v>46219</v>
      </c>
      <c r="I830" s="1">
        <f t="shared" ca="1" si="125"/>
        <v>46057</v>
      </c>
      <c r="J830">
        <f t="shared" ca="1" si="126"/>
        <v>272.20999999999998</v>
      </c>
      <c r="K830" t="str">
        <f t="shared" ca="1" si="127"/>
        <v>In Stock</v>
      </c>
      <c r="L830" s="2">
        <f t="shared" ca="1" si="128"/>
        <v>100</v>
      </c>
      <c r="M830" t="str">
        <f t="shared" ca="1" si="129"/>
        <v>Safe</v>
      </c>
    </row>
    <row r="831" spans="1:13" x14ac:dyDescent="0.25">
      <c r="A831" t="str">
        <f t="shared" si="120"/>
        <v>M830</v>
      </c>
      <c r="B831" t="str" cm="1">
        <f t="array" aca="1" ref="B831" ca="1">INDEX({"Paracetamol","Amoxicillin","Ibuprofen","Cetirizine","Metformin","Amlodipine","Omeprazole","Azithromycin","Losartan","Vitamin C"}, RANDBETWEEN(1,10))</f>
        <v>Ibuprofen</v>
      </c>
      <c r="C831" t="str" cm="1">
        <f t="array" aca="1" ref="C831" ca="1">INDEX({"Painkiller","Antibiotic","Painkiller","Antihistamine","Diabetes","Hypertension","Antacid","Antibiotic","Hypertension","Supplement"},
MATCH(B831,{"Paracetamol","Amoxicillin","Ibuprofen","Cetirizine","Metformin","Amlodipine","Omeprazole","Azithromycin","Losartan","Vitamin C"},0))</f>
        <v>Painkiller</v>
      </c>
      <c r="D831" t="str" cm="1">
        <f t="array" aca="1" ref="D831" ca="1">INDEX({"MedSupply Co","HealthCorp","PharmaPlus","GlobalMed"}, RANDBETWEEN(1,4))</f>
        <v>GlobalMed</v>
      </c>
      <c r="E831">
        <f t="shared" ca="1" si="121"/>
        <v>103</v>
      </c>
      <c r="F831">
        <f t="shared" ca="1" si="122"/>
        <v>47</v>
      </c>
      <c r="G831">
        <f t="shared" ca="1" si="123"/>
        <v>1.78</v>
      </c>
      <c r="H831" s="1">
        <f t="shared" ca="1" si="124"/>
        <v>46344</v>
      </c>
      <c r="I831" s="1">
        <f t="shared" ca="1" si="125"/>
        <v>45993</v>
      </c>
      <c r="J831">
        <f t="shared" ca="1" si="126"/>
        <v>183.34</v>
      </c>
      <c r="K831" t="str">
        <f t="shared" ca="1" si="127"/>
        <v>In Stock</v>
      </c>
      <c r="L831" s="2">
        <f t="shared" ca="1" si="128"/>
        <v>225</v>
      </c>
      <c r="M831" t="str">
        <f t="shared" ca="1" si="129"/>
        <v>Safe</v>
      </c>
    </row>
    <row r="832" spans="1:13" x14ac:dyDescent="0.25">
      <c r="A832" t="str">
        <f t="shared" si="120"/>
        <v>M831</v>
      </c>
      <c r="B832" t="str" cm="1">
        <f t="array" aca="1" ref="B832" ca="1">INDEX({"Paracetamol","Amoxicillin","Ibuprofen","Cetirizine","Metformin","Amlodipine","Omeprazole","Azithromycin","Losartan","Vitamin C"}, RANDBETWEEN(1,10))</f>
        <v>Ibuprofen</v>
      </c>
      <c r="C832" t="str" cm="1">
        <f t="array" aca="1" ref="C832" ca="1">INDEX({"Painkiller","Antibiotic","Painkiller","Antihistamine","Diabetes","Hypertension","Antacid","Antibiotic","Hypertension","Supplement"},
MATCH(B832,{"Paracetamol","Amoxicillin","Ibuprofen","Cetirizine","Metformin","Amlodipine","Omeprazole","Azithromycin","Losartan","Vitamin C"},0))</f>
        <v>Painkiller</v>
      </c>
      <c r="D832" t="str" cm="1">
        <f t="array" aca="1" ref="D832" ca="1">INDEX({"MedSupply Co","HealthCorp","PharmaPlus","GlobalMed"}, RANDBETWEEN(1,4))</f>
        <v>PharmaPlus</v>
      </c>
      <c r="E832">
        <f t="shared" ca="1" si="121"/>
        <v>51</v>
      </c>
      <c r="F832">
        <f t="shared" ca="1" si="122"/>
        <v>58</v>
      </c>
      <c r="G832">
        <f t="shared" ca="1" si="123"/>
        <v>1.9</v>
      </c>
      <c r="H832" s="1">
        <f t="shared" ca="1" si="124"/>
        <v>46312</v>
      </c>
      <c r="I832" s="1">
        <f t="shared" ca="1" si="125"/>
        <v>46042</v>
      </c>
      <c r="J832">
        <f t="shared" ca="1" si="126"/>
        <v>96.899999999999991</v>
      </c>
      <c r="K832" t="str">
        <f t="shared" ca="1" si="127"/>
        <v>Low Stock</v>
      </c>
      <c r="L832" s="2">
        <f t="shared" ca="1" si="128"/>
        <v>193</v>
      </c>
      <c r="M832" t="str">
        <f t="shared" ca="1" si="129"/>
        <v>Safe</v>
      </c>
    </row>
    <row r="833" spans="1:13" x14ac:dyDescent="0.25">
      <c r="A833" t="str">
        <f t="shared" si="120"/>
        <v>M832</v>
      </c>
      <c r="B833" t="str" cm="1">
        <f t="array" aca="1" ref="B833" ca="1">INDEX({"Paracetamol","Amoxicillin","Ibuprofen","Cetirizine","Metformin","Amlodipine","Omeprazole","Azithromycin","Losartan","Vitamin C"}, RANDBETWEEN(1,10))</f>
        <v>Vitamin C</v>
      </c>
      <c r="C833" t="str" cm="1">
        <f t="array" aca="1" ref="C833" ca="1">INDEX({"Painkiller","Antibiotic","Painkiller","Antihistamine","Diabetes","Hypertension","Antacid","Antibiotic","Hypertension","Supplement"},
MATCH(B833,{"Paracetamol","Amoxicillin","Ibuprofen","Cetirizine","Metformin","Amlodipine","Omeprazole","Azithromycin","Losartan","Vitamin C"},0))</f>
        <v>Supplement</v>
      </c>
      <c r="D833" t="str" cm="1">
        <f t="array" aca="1" ref="D833" ca="1">INDEX({"MedSupply Co","HealthCorp","PharmaPlus","GlobalMed"}, RANDBETWEEN(1,4))</f>
        <v>MedSupply Co</v>
      </c>
      <c r="E833">
        <f t="shared" ca="1" si="121"/>
        <v>71</v>
      </c>
      <c r="F833">
        <f t="shared" ca="1" si="122"/>
        <v>79</v>
      </c>
      <c r="G833">
        <f t="shared" ca="1" si="123"/>
        <v>1.34</v>
      </c>
      <c r="H833" s="1">
        <f t="shared" ca="1" si="124"/>
        <v>46315</v>
      </c>
      <c r="I833" s="1">
        <f t="shared" ca="1" si="125"/>
        <v>45959</v>
      </c>
      <c r="J833">
        <f t="shared" ca="1" si="126"/>
        <v>95.14</v>
      </c>
      <c r="K833" t="str">
        <f t="shared" ca="1" si="127"/>
        <v>Low Stock</v>
      </c>
      <c r="L833" s="2">
        <f t="shared" ca="1" si="128"/>
        <v>196</v>
      </c>
      <c r="M833" t="str">
        <f t="shared" ca="1" si="129"/>
        <v>Safe</v>
      </c>
    </row>
    <row r="834" spans="1:13" x14ac:dyDescent="0.25">
      <c r="A834" t="str">
        <f t="shared" si="120"/>
        <v>M833</v>
      </c>
      <c r="B834" t="str" cm="1">
        <f t="array" aca="1" ref="B834" ca="1">INDEX({"Paracetamol","Amoxicillin","Ibuprofen","Cetirizine","Metformin","Amlodipine","Omeprazole","Azithromycin","Losartan","Vitamin C"}, RANDBETWEEN(1,10))</f>
        <v>Amoxicillin</v>
      </c>
      <c r="C834" t="str" cm="1">
        <f t="array" aca="1" ref="C834" ca="1">INDEX({"Painkiller","Antibiotic","Painkiller","Antihistamine","Diabetes","Hypertension","Antacid","Antibiotic","Hypertension","Supplement"},
MATCH(B834,{"Paracetamol","Amoxicillin","Ibuprofen","Cetirizine","Metformin","Amlodipine","Omeprazole","Azithromycin","Losartan","Vitamin C"},0))</f>
        <v>Antibiotic</v>
      </c>
      <c r="D834" t="str" cm="1">
        <f t="array" aca="1" ref="D834" ca="1">INDEX({"MedSupply Co","HealthCorp","PharmaPlus","GlobalMed"}, RANDBETWEEN(1,4))</f>
        <v>GlobalMed</v>
      </c>
      <c r="E834">
        <f t="shared" ca="1" si="121"/>
        <v>50</v>
      </c>
      <c r="F834">
        <f t="shared" ca="1" si="122"/>
        <v>86</v>
      </c>
      <c r="G834">
        <f t="shared" ca="1" si="123"/>
        <v>1.56</v>
      </c>
      <c r="H834" s="1">
        <f t="shared" ca="1" si="124"/>
        <v>46251</v>
      </c>
      <c r="I834" s="1">
        <f t="shared" ca="1" si="125"/>
        <v>45978</v>
      </c>
      <c r="J834">
        <f t="shared" ca="1" si="126"/>
        <v>78</v>
      </c>
      <c r="K834" t="str">
        <f t="shared" ca="1" si="127"/>
        <v>Low Stock</v>
      </c>
      <c r="L834" s="2">
        <f t="shared" ca="1" si="128"/>
        <v>132</v>
      </c>
      <c r="M834" t="str">
        <f t="shared" ca="1" si="129"/>
        <v>Safe</v>
      </c>
    </row>
    <row r="835" spans="1:13" x14ac:dyDescent="0.25">
      <c r="A835" t="str">
        <f t="shared" ref="A835:A898" si="130">"M"&amp;TEXT(ROW(A834),"000")</f>
        <v>M834</v>
      </c>
      <c r="B835" t="str" cm="1">
        <f t="array" aca="1" ref="B835" ca="1">INDEX({"Paracetamol","Amoxicillin","Ibuprofen","Cetirizine","Metformin","Amlodipine","Omeprazole","Azithromycin","Losartan","Vitamin C"}, RANDBETWEEN(1,10))</f>
        <v>Azithromycin</v>
      </c>
      <c r="C835" t="str" cm="1">
        <f t="array" aca="1" ref="C835" ca="1">INDEX({"Painkiller","Antibiotic","Painkiller","Antihistamine","Diabetes","Hypertension","Antacid","Antibiotic","Hypertension","Supplement"},
MATCH(B835,{"Paracetamol","Amoxicillin","Ibuprofen","Cetirizine","Metformin","Amlodipine","Omeprazole","Azithromycin","Losartan","Vitamin C"},0))</f>
        <v>Antibiotic</v>
      </c>
      <c r="D835" t="str" cm="1">
        <f t="array" aca="1" ref="D835" ca="1">INDEX({"MedSupply Co","HealthCorp","PharmaPlus","GlobalMed"}, RANDBETWEEN(1,4))</f>
        <v>MedSupply Co</v>
      </c>
      <c r="E835">
        <f t="shared" ref="E835:E898" ca="1" si="131">RANDBETWEEN(0,200)</f>
        <v>91</v>
      </c>
      <c r="F835">
        <f t="shared" ref="F835:F898" ca="1" si="132">RANDBETWEEN(20,100)</f>
        <v>72</v>
      </c>
      <c r="G835">
        <f t="shared" ref="G835:G898" ca="1" si="133">ROUND(RANDBETWEEN(50,200)/100,2)</f>
        <v>1.22</v>
      </c>
      <c r="H835" s="1">
        <f t="shared" ref="H835:H898" ca="1" si="134">TODAY()+RANDBETWEEN(30,365)</f>
        <v>46372</v>
      </c>
      <c r="I835" s="1">
        <f t="shared" ref="I835:I898" ca="1" si="135">TODAY()-RANDBETWEEN(1,180)</f>
        <v>45975</v>
      </c>
      <c r="J835">
        <f t="shared" ref="J835:J898" ca="1" si="136">E835*G835</f>
        <v>111.02</v>
      </c>
      <c r="K835" t="str">
        <f t="shared" ref="K835:K898" ca="1" si="137">IF(E835=0,"Out of Stock",IF(E835&lt;F835,"Low Stock","In Stock"))</f>
        <v>In Stock</v>
      </c>
      <c r="L835" s="2">
        <f t="shared" ref="L835:L898" ca="1" si="138">H835-TODAY()</f>
        <v>253</v>
      </c>
      <c r="M835" t="str">
        <f t="shared" ref="M835:M898" ca="1" si="139">IF(H835&lt;=TODAY()+30,"Expiring Soon","Safe")</f>
        <v>Safe</v>
      </c>
    </row>
    <row r="836" spans="1:13" x14ac:dyDescent="0.25">
      <c r="A836" t="str">
        <f t="shared" si="130"/>
        <v>M835</v>
      </c>
      <c r="B836" t="str" cm="1">
        <f t="array" aca="1" ref="B836" ca="1">INDEX({"Paracetamol","Amoxicillin","Ibuprofen","Cetirizine","Metformin","Amlodipine","Omeprazole","Azithromycin","Losartan","Vitamin C"}, RANDBETWEEN(1,10))</f>
        <v>Amoxicillin</v>
      </c>
      <c r="C836" t="str" cm="1">
        <f t="array" aca="1" ref="C836" ca="1">INDEX({"Painkiller","Antibiotic","Painkiller","Antihistamine","Diabetes","Hypertension","Antacid","Antibiotic","Hypertension","Supplement"},
MATCH(B836,{"Paracetamol","Amoxicillin","Ibuprofen","Cetirizine","Metformin","Amlodipine","Omeprazole","Azithromycin","Losartan","Vitamin C"},0))</f>
        <v>Antibiotic</v>
      </c>
      <c r="D836" t="str" cm="1">
        <f t="array" aca="1" ref="D836" ca="1">INDEX({"MedSupply Co","HealthCorp","PharmaPlus","GlobalMed"}, RANDBETWEEN(1,4))</f>
        <v>MedSupply Co</v>
      </c>
      <c r="E836">
        <f t="shared" ca="1" si="131"/>
        <v>79</v>
      </c>
      <c r="F836">
        <f t="shared" ca="1" si="132"/>
        <v>29</v>
      </c>
      <c r="G836">
        <f t="shared" ca="1" si="133"/>
        <v>1.05</v>
      </c>
      <c r="H836" s="1">
        <f t="shared" ca="1" si="134"/>
        <v>46356</v>
      </c>
      <c r="I836" s="1">
        <f t="shared" ca="1" si="135"/>
        <v>46018</v>
      </c>
      <c r="J836">
        <f t="shared" ca="1" si="136"/>
        <v>82.95</v>
      </c>
      <c r="K836" t="str">
        <f t="shared" ca="1" si="137"/>
        <v>In Stock</v>
      </c>
      <c r="L836" s="2">
        <f t="shared" ca="1" si="138"/>
        <v>237</v>
      </c>
      <c r="M836" t="str">
        <f t="shared" ca="1" si="139"/>
        <v>Safe</v>
      </c>
    </row>
    <row r="837" spans="1:13" x14ac:dyDescent="0.25">
      <c r="A837" t="str">
        <f t="shared" si="130"/>
        <v>M836</v>
      </c>
      <c r="B837" t="str" cm="1">
        <f t="array" aca="1" ref="B837" ca="1">INDEX({"Paracetamol","Amoxicillin","Ibuprofen","Cetirizine","Metformin","Amlodipine","Omeprazole","Azithromycin","Losartan","Vitamin C"}, RANDBETWEEN(1,10))</f>
        <v>Cetirizine</v>
      </c>
      <c r="C837" t="str" cm="1">
        <f t="array" aca="1" ref="C837" ca="1">INDEX({"Painkiller","Antibiotic","Painkiller","Antihistamine","Diabetes","Hypertension","Antacid","Antibiotic","Hypertension","Supplement"},
MATCH(B837,{"Paracetamol","Amoxicillin","Ibuprofen","Cetirizine","Metformin","Amlodipine","Omeprazole","Azithromycin","Losartan","Vitamin C"},0))</f>
        <v>Antihistamine</v>
      </c>
      <c r="D837" t="str" cm="1">
        <f t="array" aca="1" ref="D837" ca="1">INDEX({"MedSupply Co","HealthCorp","PharmaPlus","GlobalMed"}, RANDBETWEEN(1,4))</f>
        <v>PharmaPlus</v>
      </c>
      <c r="E837">
        <f t="shared" ca="1" si="131"/>
        <v>86</v>
      </c>
      <c r="F837">
        <f t="shared" ca="1" si="132"/>
        <v>31</v>
      </c>
      <c r="G837">
        <f t="shared" ca="1" si="133"/>
        <v>0.61</v>
      </c>
      <c r="H837" s="1">
        <f t="shared" ca="1" si="134"/>
        <v>46465</v>
      </c>
      <c r="I837" s="1">
        <f t="shared" ca="1" si="135"/>
        <v>46085</v>
      </c>
      <c r="J837">
        <f t="shared" ca="1" si="136"/>
        <v>52.46</v>
      </c>
      <c r="K837" t="str">
        <f t="shared" ca="1" si="137"/>
        <v>In Stock</v>
      </c>
      <c r="L837" s="2">
        <f t="shared" ca="1" si="138"/>
        <v>346</v>
      </c>
      <c r="M837" t="str">
        <f t="shared" ca="1" si="139"/>
        <v>Safe</v>
      </c>
    </row>
    <row r="838" spans="1:13" x14ac:dyDescent="0.25">
      <c r="A838" t="str">
        <f t="shared" si="130"/>
        <v>M837</v>
      </c>
      <c r="B838" t="str" cm="1">
        <f t="array" aca="1" ref="B838" ca="1">INDEX({"Paracetamol","Amoxicillin","Ibuprofen","Cetirizine","Metformin","Amlodipine","Omeprazole","Azithromycin","Losartan","Vitamin C"}, RANDBETWEEN(1,10))</f>
        <v>Losartan</v>
      </c>
      <c r="C838" t="str" cm="1">
        <f t="array" aca="1" ref="C838" ca="1">INDEX({"Painkiller","Antibiotic","Painkiller","Antihistamine","Diabetes","Hypertension","Antacid","Antibiotic","Hypertension","Supplement"},
MATCH(B838,{"Paracetamol","Amoxicillin","Ibuprofen","Cetirizine","Metformin","Amlodipine","Omeprazole","Azithromycin","Losartan","Vitamin C"},0))</f>
        <v>Hypertension</v>
      </c>
      <c r="D838" t="str" cm="1">
        <f t="array" aca="1" ref="D838" ca="1">INDEX({"MedSupply Co","HealthCorp","PharmaPlus","GlobalMed"}, RANDBETWEEN(1,4))</f>
        <v>HealthCorp</v>
      </c>
      <c r="E838">
        <f t="shared" ca="1" si="131"/>
        <v>165</v>
      </c>
      <c r="F838">
        <f t="shared" ca="1" si="132"/>
        <v>73</v>
      </c>
      <c r="G838">
        <f t="shared" ca="1" si="133"/>
        <v>1.1499999999999999</v>
      </c>
      <c r="H838" s="1">
        <f t="shared" ca="1" si="134"/>
        <v>46361</v>
      </c>
      <c r="I838" s="1">
        <f t="shared" ca="1" si="135"/>
        <v>46004</v>
      </c>
      <c r="J838">
        <f t="shared" ca="1" si="136"/>
        <v>189.74999999999997</v>
      </c>
      <c r="K838" t="str">
        <f t="shared" ca="1" si="137"/>
        <v>In Stock</v>
      </c>
      <c r="L838" s="2">
        <f t="shared" ca="1" si="138"/>
        <v>242</v>
      </c>
      <c r="M838" t="str">
        <f t="shared" ca="1" si="139"/>
        <v>Safe</v>
      </c>
    </row>
    <row r="839" spans="1:13" x14ac:dyDescent="0.25">
      <c r="A839" t="str">
        <f t="shared" si="130"/>
        <v>M838</v>
      </c>
      <c r="B839" t="str" cm="1">
        <f t="array" aca="1" ref="B839" ca="1">INDEX({"Paracetamol","Amoxicillin","Ibuprofen","Cetirizine","Metformin","Amlodipine","Omeprazole","Azithromycin","Losartan","Vitamin C"}, RANDBETWEEN(1,10))</f>
        <v>Omeprazole</v>
      </c>
      <c r="C839" t="str" cm="1">
        <f t="array" aca="1" ref="C839" ca="1">INDEX({"Painkiller","Antibiotic","Painkiller","Antihistamine","Diabetes","Hypertension","Antacid","Antibiotic","Hypertension","Supplement"},
MATCH(B839,{"Paracetamol","Amoxicillin","Ibuprofen","Cetirizine","Metformin","Amlodipine","Omeprazole","Azithromycin","Losartan","Vitamin C"},0))</f>
        <v>Antacid</v>
      </c>
      <c r="D839" t="str" cm="1">
        <f t="array" aca="1" ref="D839" ca="1">INDEX({"MedSupply Co","HealthCorp","PharmaPlus","GlobalMed"}, RANDBETWEEN(1,4))</f>
        <v>PharmaPlus</v>
      </c>
      <c r="E839">
        <f t="shared" ca="1" si="131"/>
        <v>18</v>
      </c>
      <c r="F839">
        <f t="shared" ca="1" si="132"/>
        <v>93</v>
      </c>
      <c r="G839">
        <f t="shared" ca="1" si="133"/>
        <v>1.91</v>
      </c>
      <c r="H839" s="1">
        <f t="shared" ca="1" si="134"/>
        <v>46253</v>
      </c>
      <c r="I839" s="1">
        <f t="shared" ca="1" si="135"/>
        <v>46026</v>
      </c>
      <c r="J839">
        <f t="shared" ca="1" si="136"/>
        <v>34.379999999999995</v>
      </c>
      <c r="K839" t="str">
        <f t="shared" ca="1" si="137"/>
        <v>Low Stock</v>
      </c>
      <c r="L839" s="2">
        <f t="shared" ca="1" si="138"/>
        <v>134</v>
      </c>
      <c r="M839" t="str">
        <f t="shared" ca="1" si="139"/>
        <v>Safe</v>
      </c>
    </row>
    <row r="840" spans="1:13" x14ac:dyDescent="0.25">
      <c r="A840" t="str">
        <f t="shared" si="130"/>
        <v>M839</v>
      </c>
      <c r="B840" t="str" cm="1">
        <f t="array" aca="1" ref="B840" ca="1">INDEX({"Paracetamol","Amoxicillin","Ibuprofen","Cetirizine","Metformin","Amlodipine","Omeprazole","Azithromycin","Losartan","Vitamin C"}, RANDBETWEEN(1,10))</f>
        <v>Metformin</v>
      </c>
      <c r="C840" t="str" cm="1">
        <f t="array" aca="1" ref="C840" ca="1">INDEX({"Painkiller","Antibiotic","Painkiller","Antihistamine","Diabetes","Hypertension","Antacid","Antibiotic","Hypertension","Supplement"},
MATCH(B840,{"Paracetamol","Amoxicillin","Ibuprofen","Cetirizine","Metformin","Amlodipine","Omeprazole","Azithromycin","Losartan","Vitamin C"},0))</f>
        <v>Diabetes</v>
      </c>
      <c r="D840" t="str" cm="1">
        <f t="array" aca="1" ref="D840" ca="1">INDEX({"MedSupply Co","HealthCorp","PharmaPlus","GlobalMed"}, RANDBETWEEN(1,4))</f>
        <v>MedSupply Co</v>
      </c>
      <c r="E840">
        <f t="shared" ca="1" si="131"/>
        <v>67</v>
      </c>
      <c r="F840">
        <f t="shared" ca="1" si="132"/>
        <v>26</v>
      </c>
      <c r="G840">
        <f t="shared" ca="1" si="133"/>
        <v>0.63</v>
      </c>
      <c r="H840" s="1">
        <f t="shared" ca="1" si="134"/>
        <v>46170</v>
      </c>
      <c r="I840" s="1">
        <f t="shared" ca="1" si="135"/>
        <v>46021</v>
      </c>
      <c r="J840">
        <f t="shared" ca="1" si="136"/>
        <v>42.21</v>
      </c>
      <c r="K840" t="str">
        <f t="shared" ca="1" si="137"/>
        <v>In Stock</v>
      </c>
      <c r="L840" s="2">
        <f t="shared" ca="1" si="138"/>
        <v>51</v>
      </c>
      <c r="M840" t="str">
        <f t="shared" ca="1" si="139"/>
        <v>Safe</v>
      </c>
    </row>
    <row r="841" spans="1:13" x14ac:dyDescent="0.25">
      <c r="A841" t="str">
        <f t="shared" si="130"/>
        <v>M840</v>
      </c>
      <c r="B841" t="str" cm="1">
        <f t="array" aca="1" ref="B841" ca="1">INDEX({"Paracetamol","Amoxicillin","Ibuprofen","Cetirizine","Metformin","Amlodipine","Omeprazole","Azithromycin","Losartan","Vitamin C"}, RANDBETWEEN(1,10))</f>
        <v>Azithromycin</v>
      </c>
      <c r="C841" t="str" cm="1">
        <f t="array" aca="1" ref="C841" ca="1">INDEX({"Painkiller","Antibiotic","Painkiller","Antihistamine","Diabetes","Hypertension","Antacid","Antibiotic","Hypertension","Supplement"},
MATCH(B841,{"Paracetamol","Amoxicillin","Ibuprofen","Cetirizine","Metformin","Amlodipine","Omeprazole","Azithromycin","Losartan","Vitamin C"},0))</f>
        <v>Antibiotic</v>
      </c>
      <c r="D841" t="str" cm="1">
        <f t="array" aca="1" ref="D841" ca="1">INDEX({"MedSupply Co","HealthCorp","PharmaPlus","GlobalMed"}, RANDBETWEEN(1,4))</f>
        <v>HealthCorp</v>
      </c>
      <c r="E841">
        <f t="shared" ca="1" si="131"/>
        <v>110</v>
      </c>
      <c r="F841">
        <f t="shared" ca="1" si="132"/>
        <v>59</v>
      </c>
      <c r="G841">
        <f t="shared" ca="1" si="133"/>
        <v>0.83</v>
      </c>
      <c r="H841" s="1">
        <f t="shared" ca="1" si="134"/>
        <v>46194</v>
      </c>
      <c r="I841" s="1">
        <f t="shared" ca="1" si="135"/>
        <v>45951</v>
      </c>
      <c r="J841">
        <f t="shared" ca="1" si="136"/>
        <v>91.3</v>
      </c>
      <c r="K841" t="str">
        <f t="shared" ca="1" si="137"/>
        <v>In Stock</v>
      </c>
      <c r="L841" s="2">
        <f t="shared" ca="1" si="138"/>
        <v>75</v>
      </c>
      <c r="M841" t="str">
        <f t="shared" ca="1" si="139"/>
        <v>Safe</v>
      </c>
    </row>
    <row r="842" spans="1:13" x14ac:dyDescent="0.25">
      <c r="A842" t="str">
        <f t="shared" si="130"/>
        <v>M841</v>
      </c>
      <c r="B842" t="str" cm="1">
        <f t="array" aca="1" ref="B842" ca="1">INDEX({"Paracetamol","Amoxicillin","Ibuprofen","Cetirizine","Metformin","Amlodipine","Omeprazole","Azithromycin","Losartan","Vitamin C"}, RANDBETWEEN(1,10))</f>
        <v>Omeprazole</v>
      </c>
      <c r="C842" t="str" cm="1">
        <f t="array" aca="1" ref="C842" ca="1">INDEX({"Painkiller","Antibiotic","Painkiller","Antihistamine","Diabetes","Hypertension","Antacid","Antibiotic","Hypertension","Supplement"},
MATCH(B842,{"Paracetamol","Amoxicillin","Ibuprofen","Cetirizine","Metformin","Amlodipine","Omeprazole","Azithromycin","Losartan","Vitamin C"},0))</f>
        <v>Antacid</v>
      </c>
      <c r="D842" t="str" cm="1">
        <f t="array" aca="1" ref="D842" ca="1">INDEX({"MedSupply Co","HealthCorp","PharmaPlus","GlobalMed"}, RANDBETWEEN(1,4))</f>
        <v>PharmaPlus</v>
      </c>
      <c r="E842">
        <f t="shared" ca="1" si="131"/>
        <v>83</v>
      </c>
      <c r="F842">
        <f t="shared" ca="1" si="132"/>
        <v>21</v>
      </c>
      <c r="G842">
        <f t="shared" ca="1" si="133"/>
        <v>1.7</v>
      </c>
      <c r="H842" s="1">
        <f t="shared" ca="1" si="134"/>
        <v>46196</v>
      </c>
      <c r="I842" s="1">
        <f t="shared" ca="1" si="135"/>
        <v>46016</v>
      </c>
      <c r="J842">
        <f t="shared" ca="1" si="136"/>
        <v>141.1</v>
      </c>
      <c r="K842" t="str">
        <f t="shared" ca="1" si="137"/>
        <v>In Stock</v>
      </c>
      <c r="L842" s="2">
        <f t="shared" ca="1" si="138"/>
        <v>77</v>
      </c>
      <c r="M842" t="str">
        <f t="shared" ca="1" si="139"/>
        <v>Safe</v>
      </c>
    </row>
    <row r="843" spans="1:13" x14ac:dyDescent="0.25">
      <c r="A843" t="str">
        <f t="shared" si="130"/>
        <v>M842</v>
      </c>
      <c r="B843" t="str" cm="1">
        <f t="array" aca="1" ref="B843" ca="1">INDEX({"Paracetamol","Amoxicillin","Ibuprofen","Cetirizine","Metformin","Amlodipine","Omeprazole","Azithromycin","Losartan","Vitamin C"}, RANDBETWEEN(1,10))</f>
        <v>Azithromycin</v>
      </c>
      <c r="C843" t="str" cm="1">
        <f t="array" aca="1" ref="C843" ca="1">INDEX({"Painkiller","Antibiotic","Painkiller","Antihistamine","Diabetes","Hypertension","Antacid","Antibiotic","Hypertension","Supplement"},
MATCH(B843,{"Paracetamol","Amoxicillin","Ibuprofen","Cetirizine","Metformin","Amlodipine","Omeprazole","Azithromycin","Losartan","Vitamin C"},0))</f>
        <v>Antibiotic</v>
      </c>
      <c r="D843" t="str" cm="1">
        <f t="array" aca="1" ref="D843" ca="1">INDEX({"MedSupply Co","HealthCorp","PharmaPlus","GlobalMed"}, RANDBETWEEN(1,4))</f>
        <v>PharmaPlus</v>
      </c>
      <c r="E843">
        <f t="shared" ca="1" si="131"/>
        <v>17</v>
      </c>
      <c r="F843">
        <f t="shared" ca="1" si="132"/>
        <v>80</v>
      </c>
      <c r="G843">
        <f t="shared" ca="1" si="133"/>
        <v>0.88</v>
      </c>
      <c r="H843" s="1">
        <f t="shared" ca="1" si="134"/>
        <v>46247</v>
      </c>
      <c r="I843" s="1">
        <f t="shared" ca="1" si="135"/>
        <v>46087</v>
      </c>
      <c r="J843">
        <f t="shared" ca="1" si="136"/>
        <v>14.96</v>
      </c>
      <c r="K843" t="str">
        <f t="shared" ca="1" si="137"/>
        <v>Low Stock</v>
      </c>
      <c r="L843" s="2">
        <f t="shared" ca="1" si="138"/>
        <v>128</v>
      </c>
      <c r="M843" t="str">
        <f t="shared" ca="1" si="139"/>
        <v>Safe</v>
      </c>
    </row>
    <row r="844" spans="1:13" x14ac:dyDescent="0.25">
      <c r="A844" t="str">
        <f t="shared" si="130"/>
        <v>M843</v>
      </c>
      <c r="B844" t="str" cm="1">
        <f t="array" aca="1" ref="B844" ca="1">INDEX({"Paracetamol","Amoxicillin","Ibuprofen","Cetirizine","Metformin","Amlodipine","Omeprazole","Azithromycin","Losartan","Vitamin C"}, RANDBETWEEN(1,10))</f>
        <v>Losartan</v>
      </c>
      <c r="C844" t="str" cm="1">
        <f t="array" aca="1" ref="C844" ca="1">INDEX({"Painkiller","Antibiotic","Painkiller","Antihistamine","Diabetes","Hypertension","Antacid","Antibiotic","Hypertension","Supplement"},
MATCH(B844,{"Paracetamol","Amoxicillin","Ibuprofen","Cetirizine","Metformin","Amlodipine","Omeprazole","Azithromycin","Losartan","Vitamin C"},0))</f>
        <v>Hypertension</v>
      </c>
      <c r="D844" t="str" cm="1">
        <f t="array" aca="1" ref="D844" ca="1">INDEX({"MedSupply Co","HealthCorp","PharmaPlus","GlobalMed"}, RANDBETWEEN(1,4))</f>
        <v>PharmaPlus</v>
      </c>
      <c r="E844">
        <f t="shared" ca="1" si="131"/>
        <v>142</v>
      </c>
      <c r="F844">
        <f t="shared" ca="1" si="132"/>
        <v>39</v>
      </c>
      <c r="G844">
        <f t="shared" ca="1" si="133"/>
        <v>1.42</v>
      </c>
      <c r="H844" s="1">
        <f t="shared" ca="1" si="134"/>
        <v>46329</v>
      </c>
      <c r="I844" s="1">
        <f t="shared" ca="1" si="135"/>
        <v>46000</v>
      </c>
      <c r="J844">
        <f t="shared" ca="1" si="136"/>
        <v>201.64</v>
      </c>
      <c r="K844" t="str">
        <f t="shared" ca="1" si="137"/>
        <v>In Stock</v>
      </c>
      <c r="L844" s="2">
        <f t="shared" ca="1" si="138"/>
        <v>210</v>
      </c>
      <c r="M844" t="str">
        <f t="shared" ca="1" si="139"/>
        <v>Safe</v>
      </c>
    </row>
    <row r="845" spans="1:13" x14ac:dyDescent="0.25">
      <c r="A845" t="str">
        <f t="shared" si="130"/>
        <v>M844</v>
      </c>
      <c r="B845" t="str" cm="1">
        <f t="array" aca="1" ref="B845" ca="1">INDEX({"Paracetamol","Amoxicillin","Ibuprofen","Cetirizine","Metformin","Amlodipine","Omeprazole","Azithromycin","Losartan","Vitamin C"}, RANDBETWEEN(1,10))</f>
        <v>Azithromycin</v>
      </c>
      <c r="C845" t="str" cm="1">
        <f t="array" aca="1" ref="C845" ca="1">INDEX({"Painkiller","Antibiotic","Painkiller","Antihistamine","Diabetes","Hypertension","Antacid","Antibiotic","Hypertension","Supplement"},
MATCH(B845,{"Paracetamol","Amoxicillin","Ibuprofen","Cetirizine","Metformin","Amlodipine","Omeprazole","Azithromycin","Losartan","Vitamin C"},0))</f>
        <v>Antibiotic</v>
      </c>
      <c r="D845" t="str" cm="1">
        <f t="array" aca="1" ref="D845" ca="1">INDEX({"MedSupply Co","HealthCorp","PharmaPlus","GlobalMed"}, RANDBETWEEN(1,4))</f>
        <v>PharmaPlus</v>
      </c>
      <c r="E845">
        <f t="shared" ca="1" si="131"/>
        <v>118</v>
      </c>
      <c r="F845">
        <f t="shared" ca="1" si="132"/>
        <v>75</v>
      </c>
      <c r="G845">
        <f t="shared" ca="1" si="133"/>
        <v>1.5</v>
      </c>
      <c r="H845" s="1">
        <f t="shared" ca="1" si="134"/>
        <v>46292</v>
      </c>
      <c r="I845" s="1">
        <f t="shared" ca="1" si="135"/>
        <v>46027</v>
      </c>
      <c r="J845">
        <f t="shared" ca="1" si="136"/>
        <v>177</v>
      </c>
      <c r="K845" t="str">
        <f t="shared" ca="1" si="137"/>
        <v>In Stock</v>
      </c>
      <c r="L845" s="2">
        <f t="shared" ca="1" si="138"/>
        <v>173</v>
      </c>
      <c r="M845" t="str">
        <f t="shared" ca="1" si="139"/>
        <v>Safe</v>
      </c>
    </row>
    <row r="846" spans="1:13" x14ac:dyDescent="0.25">
      <c r="A846" t="str">
        <f t="shared" si="130"/>
        <v>M845</v>
      </c>
      <c r="B846" t="str" cm="1">
        <f t="array" aca="1" ref="B846" ca="1">INDEX({"Paracetamol","Amoxicillin","Ibuprofen","Cetirizine","Metformin","Amlodipine","Omeprazole","Azithromycin","Losartan","Vitamin C"}, RANDBETWEEN(1,10))</f>
        <v>Cetirizine</v>
      </c>
      <c r="C846" t="str" cm="1">
        <f t="array" aca="1" ref="C846" ca="1">INDEX({"Painkiller","Antibiotic","Painkiller","Antihistamine","Diabetes","Hypertension","Antacid","Antibiotic","Hypertension","Supplement"},
MATCH(B846,{"Paracetamol","Amoxicillin","Ibuprofen","Cetirizine","Metformin","Amlodipine","Omeprazole","Azithromycin","Losartan","Vitamin C"},0))</f>
        <v>Antihistamine</v>
      </c>
      <c r="D846" t="str" cm="1">
        <f t="array" aca="1" ref="D846" ca="1">INDEX({"MedSupply Co","HealthCorp","PharmaPlus","GlobalMed"}, RANDBETWEEN(1,4))</f>
        <v>PharmaPlus</v>
      </c>
      <c r="E846">
        <f t="shared" ca="1" si="131"/>
        <v>65</v>
      </c>
      <c r="F846">
        <f t="shared" ca="1" si="132"/>
        <v>67</v>
      </c>
      <c r="G846">
        <f t="shared" ca="1" si="133"/>
        <v>1.1200000000000001</v>
      </c>
      <c r="H846" s="1">
        <f t="shared" ca="1" si="134"/>
        <v>46468</v>
      </c>
      <c r="I846" s="1">
        <f t="shared" ca="1" si="135"/>
        <v>46057</v>
      </c>
      <c r="J846">
        <f t="shared" ca="1" si="136"/>
        <v>72.800000000000011</v>
      </c>
      <c r="K846" t="str">
        <f t="shared" ca="1" si="137"/>
        <v>Low Stock</v>
      </c>
      <c r="L846" s="2">
        <f t="shared" ca="1" si="138"/>
        <v>349</v>
      </c>
      <c r="M846" t="str">
        <f t="shared" ca="1" si="139"/>
        <v>Safe</v>
      </c>
    </row>
    <row r="847" spans="1:13" x14ac:dyDescent="0.25">
      <c r="A847" t="str">
        <f t="shared" si="130"/>
        <v>M846</v>
      </c>
      <c r="B847" t="str" cm="1">
        <f t="array" aca="1" ref="B847" ca="1">INDEX({"Paracetamol","Amoxicillin","Ibuprofen","Cetirizine","Metformin","Amlodipine","Omeprazole","Azithromycin","Losartan","Vitamin C"}, RANDBETWEEN(1,10))</f>
        <v>Amoxicillin</v>
      </c>
      <c r="C847" t="str" cm="1">
        <f t="array" aca="1" ref="C847" ca="1">INDEX({"Painkiller","Antibiotic","Painkiller","Antihistamine","Diabetes","Hypertension","Antacid","Antibiotic","Hypertension","Supplement"},
MATCH(B847,{"Paracetamol","Amoxicillin","Ibuprofen","Cetirizine","Metformin","Amlodipine","Omeprazole","Azithromycin","Losartan","Vitamin C"},0))</f>
        <v>Antibiotic</v>
      </c>
      <c r="D847" t="str" cm="1">
        <f t="array" aca="1" ref="D847" ca="1">INDEX({"MedSupply Co","HealthCorp","PharmaPlus","GlobalMed"}, RANDBETWEEN(1,4))</f>
        <v>GlobalMed</v>
      </c>
      <c r="E847">
        <f t="shared" ca="1" si="131"/>
        <v>9</v>
      </c>
      <c r="F847">
        <f t="shared" ca="1" si="132"/>
        <v>74</v>
      </c>
      <c r="G847">
        <f t="shared" ca="1" si="133"/>
        <v>0.95</v>
      </c>
      <c r="H847" s="1">
        <f t="shared" ca="1" si="134"/>
        <v>46181</v>
      </c>
      <c r="I847" s="1">
        <f t="shared" ca="1" si="135"/>
        <v>45942</v>
      </c>
      <c r="J847">
        <f t="shared" ca="1" si="136"/>
        <v>8.5499999999999989</v>
      </c>
      <c r="K847" t="str">
        <f t="shared" ca="1" si="137"/>
        <v>Low Stock</v>
      </c>
      <c r="L847" s="2">
        <f t="shared" ca="1" si="138"/>
        <v>62</v>
      </c>
      <c r="M847" t="str">
        <f t="shared" ca="1" si="139"/>
        <v>Safe</v>
      </c>
    </row>
    <row r="848" spans="1:13" x14ac:dyDescent="0.25">
      <c r="A848" t="str">
        <f t="shared" si="130"/>
        <v>M847</v>
      </c>
      <c r="B848" t="str" cm="1">
        <f t="array" aca="1" ref="B848" ca="1">INDEX({"Paracetamol","Amoxicillin","Ibuprofen","Cetirizine","Metformin","Amlodipine","Omeprazole","Azithromycin","Losartan","Vitamin C"}, RANDBETWEEN(1,10))</f>
        <v>Vitamin C</v>
      </c>
      <c r="C848" t="str" cm="1">
        <f t="array" aca="1" ref="C848" ca="1">INDEX({"Painkiller","Antibiotic","Painkiller","Antihistamine","Diabetes","Hypertension","Antacid","Antibiotic","Hypertension","Supplement"},
MATCH(B848,{"Paracetamol","Amoxicillin","Ibuprofen","Cetirizine","Metformin","Amlodipine","Omeprazole","Azithromycin","Losartan","Vitamin C"},0))</f>
        <v>Supplement</v>
      </c>
      <c r="D848" t="str" cm="1">
        <f t="array" aca="1" ref="D848" ca="1">INDEX({"MedSupply Co","HealthCorp","PharmaPlus","GlobalMed"}, RANDBETWEEN(1,4))</f>
        <v>GlobalMed</v>
      </c>
      <c r="E848">
        <f t="shared" ca="1" si="131"/>
        <v>21</v>
      </c>
      <c r="F848">
        <f t="shared" ca="1" si="132"/>
        <v>87</v>
      </c>
      <c r="G848">
        <f t="shared" ca="1" si="133"/>
        <v>1.3</v>
      </c>
      <c r="H848" s="1">
        <f t="shared" ca="1" si="134"/>
        <v>46424</v>
      </c>
      <c r="I848" s="1">
        <f t="shared" ca="1" si="135"/>
        <v>46032</v>
      </c>
      <c r="J848">
        <f t="shared" ca="1" si="136"/>
        <v>27.3</v>
      </c>
      <c r="K848" t="str">
        <f t="shared" ca="1" si="137"/>
        <v>Low Stock</v>
      </c>
      <c r="L848" s="2">
        <f t="shared" ca="1" si="138"/>
        <v>305</v>
      </c>
      <c r="M848" t="str">
        <f t="shared" ca="1" si="139"/>
        <v>Safe</v>
      </c>
    </row>
    <row r="849" spans="1:13" x14ac:dyDescent="0.25">
      <c r="A849" t="str">
        <f t="shared" si="130"/>
        <v>M848</v>
      </c>
      <c r="B849" t="str" cm="1">
        <f t="array" aca="1" ref="B849" ca="1">INDEX({"Paracetamol","Amoxicillin","Ibuprofen","Cetirizine","Metformin","Amlodipine","Omeprazole","Azithromycin","Losartan","Vitamin C"}, RANDBETWEEN(1,10))</f>
        <v>Amoxicillin</v>
      </c>
      <c r="C849" t="str" cm="1">
        <f t="array" aca="1" ref="C849" ca="1">INDEX({"Painkiller","Antibiotic","Painkiller","Antihistamine","Diabetes","Hypertension","Antacid","Antibiotic","Hypertension","Supplement"},
MATCH(B849,{"Paracetamol","Amoxicillin","Ibuprofen","Cetirizine","Metformin","Amlodipine","Omeprazole","Azithromycin","Losartan","Vitamin C"},0))</f>
        <v>Antibiotic</v>
      </c>
      <c r="D849" t="str" cm="1">
        <f t="array" aca="1" ref="D849" ca="1">INDEX({"MedSupply Co","HealthCorp","PharmaPlus","GlobalMed"}, RANDBETWEEN(1,4))</f>
        <v>GlobalMed</v>
      </c>
      <c r="E849">
        <f t="shared" ca="1" si="131"/>
        <v>131</v>
      </c>
      <c r="F849">
        <f t="shared" ca="1" si="132"/>
        <v>66</v>
      </c>
      <c r="G849">
        <f t="shared" ca="1" si="133"/>
        <v>0.61</v>
      </c>
      <c r="H849" s="1">
        <f t="shared" ca="1" si="134"/>
        <v>46293</v>
      </c>
      <c r="I849" s="1">
        <f t="shared" ca="1" si="135"/>
        <v>45955</v>
      </c>
      <c r="J849">
        <f t="shared" ca="1" si="136"/>
        <v>79.91</v>
      </c>
      <c r="K849" t="str">
        <f t="shared" ca="1" si="137"/>
        <v>In Stock</v>
      </c>
      <c r="L849" s="2">
        <f t="shared" ca="1" si="138"/>
        <v>174</v>
      </c>
      <c r="M849" t="str">
        <f t="shared" ca="1" si="139"/>
        <v>Safe</v>
      </c>
    </row>
    <row r="850" spans="1:13" x14ac:dyDescent="0.25">
      <c r="A850" t="str">
        <f t="shared" si="130"/>
        <v>M849</v>
      </c>
      <c r="B850" t="str" cm="1">
        <f t="array" aca="1" ref="B850" ca="1">INDEX({"Paracetamol","Amoxicillin","Ibuprofen","Cetirizine","Metformin","Amlodipine","Omeprazole","Azithromycin","Losartan","Vitamin C"}, RANDBETWEEN(1,10))</f>
        <v>Amoxicillin</v>
      </c>
      <c r="C850" t="str" cm="1">
        <f t="array" aca="1" ref="C850" ca="1">INDEX({"Painkiller","Antibiotic","Painkiller","Antihistamine","Diabetes","Hypertension","Antacid","Antibiotic","Hypertension","Supplement"},
MATCH(B850,{"Paracetamol","Amoxicillin","Ibuprofen","Cetirizine","Metformin","Amlodipine","Omeprazole","Azithromycin","Losartan","Vitamin C"},0))</f>
        <v>Antibiotic</v>
      </c>
      <c r="D850" t="str" cm="1">
        <f t="array" aca="1" ref="D850" ca="1">INDEX({"MedSupply Co","HealthCorp","PharmaPlus","GlobalMed"}, RANDBETWEEN(1,4))</f>
        <v>MedSupply Co</v>
      </c>
      <c r="E850">
        <f t="shared" ca="1" si="131"/>
        <v>3</v>
      </c>
      <c r="F850">
        <f t="shared" ca="1" si="132"/>
        <v>52</v>
      </c>
      <c r="G850">
        <f t="shared" ca="1" si="133"/>
        <v>1.74</v>
      </c>
      <c r="H850" s="1">
        <f t="shared" ca="1" si="134"/>
        <v>46324</v>
      </c>
      <c r="I850" s="1">
        <f t="shared" ca="1" si="135"/>
        <v>46079</v>
      </c>
      <c r="J850">
        <f t="shared" ca="1" si="136"/>
        <v>5.22</v>
      </c>
      <c r="K850" t="str">
        <f t="shared" ca="1" si="137"/>
        <v>Low Stock</v>
      </c>
      <c r="L850" s="2">
        <f t="shared" ca="1" si="138"/>
        <v>205</v>
      </c>
      <c r="M850" t="str">
        <f t="shared" ca="1" si="139"/>
        <v>Safe</v>
      </c>
    </row>
    <row r="851" spans="1:13" x14ac:dyDescent="0.25">
      <c r="A851" t="str">
        <f t="shared" si="130"/>
        <v>M850</v>
      </c>
      <c r="B851" t="str" cm="1">
        <f t="array" aca="1" ref="B851" ca="1">INDEX({"Paracetamol","Amoxicillin","Ibuprofen","Cetirizine","Metformin","Amlodipine","Omeprazole","Azithromycin","Losartan","Vitamin C"}, RANDBETWEEN(1,10))</f>
        <v>Metformin</v>
      </c>
      <c r="C851" t="str" cm="1">
        <f t="array" aca="1" ref="C851" ca="1">INDEX({"Painkiller","Antibiotic","Painkiller","Antihistamine","Diabetes","Hypertension","Antacid","Antibiotic","Hypertension","Supplement"},
MATCH(B851,{"Paracetamol","Amoxicillin","Ibuprofen","Cetirizine","Metformin","Amlodipine","Omeprazole","Azithromycin","Losartan","Vitamin C"},0))</f>
        <v>Diabetes</v>
      </c>
      <c r="D851" t="str" cm="1">
        <f t="array" aca="1" ref="D851" ca="1">INDEX({"MedSupply Co","HealthCorp","PharmaPlus","GlobalMed"}, RANDBETWEEN(1,4))</f>
        <v>GlobalMed</v>
      </c>
      <c r="E851">
        <f t="shared" ca="1" si="131"/>
        <v>43</v>
      </c>
      <c r="F851">
        <f t="shared" ca="1" si="132"/>
        <v>24</v>
      </c>
      <c r="G851">
        <f t="shared" ca="1" si="133"/>
        <v>0.87</v>
      </c>
      <c r="H851" s="1">
        <f t="shared" ca="1" si="134"/>
        <v>46246</v>
      </c>
      <c r="I851" s="1">
        <f t="shared" ca="1" si="135"/>
        <v>46013</v>
      </c>
      <c r="J851">
        <f t="shared" ca="1" si="136"/>
        <v>37.409999999999997</v>
      </c>
      <c r="K851" t="str">
        <f t="shared" ca="1" si="137"/>
        <v>In Stock</v>
      </c>
      <c r="L851" s="2">
        <f t="shared" ca="1" si="138"/>
        <v>127</v>
      </c>
      <c r="M851" t="str">
        <f t="shared" ca="1" si="139"/>
        <v>Safe</v>
      </c>
    </row>
    <row r="852" spans="1:13" x14ac:dyDescent="0.25">
      <c r="A852" t="str">
        <f t="shared" si="130"/>
        <v>M851</v>
      </c>
      <c r="B852" t="str" cm="1">
        <f t="array" aca="1" ref="B852" ca="1">INDEX({"Paracetamol","Amoxicillin","Ibuprofen","Cetirizine","Metformin","Amlodipine","Omeprazole","Azithromycin","Losartan","Vitamin C"}, RANDBETWEEN(1,10))</f>
        <v>Losartan</v>
      </c>
      <c r="C852" t="str" cm="1">
        <f t="array" aca="1" ref="C852" ca="1">INDEX({"Painkiller","Antibiotic","Painkiller","Antihistamine","Diabetes","Hypertension","Antacid","Antibiotic","Hypertension","Supplement"},
MATCH(B852,{"Paracetamol","Amoxicillin","Ibuprofen","Cetirizine","Metformin","Amlodipine","Omeprazole","Azithromycin","Losartan","Vitamin C"},0))</f>
        <v>Hypertension</v>
      </c>
      <c r="D852" t="str" cm="1">
        <f t="array" aca="1" ref="D852" ca="1">INDEX({"MedSupply Co","HealthCorp","PharmaPlus","GlobalMed"}, RANDBETWEEN(1,4))</f>
        <v>HealthCorp</v>
      </c>
      <c r="E852">
        <f t="shared" ca="1" si="131"/>
        <v>154</v>
      </c>
      <c r="F852">
        <f t="shared" ca="1" si="132"/>
        <v>94</v>
      </c>
      <c r="G852">
        <f t="shared" ca="1" si="133"/>
        <v>1.8</v>
      </c>
      <c r="H852" s="1">
        <f t="shared" ca="1" si="134"/>
        <v>46182</v>
      </c>
      <c r="I852" s="1">
        <f t="shared" ca="1" si="135"/>
        <v>46022</v>
      </c>
      <c r="J852">
        <f t="shared" ca="1" si="136"/>
        <v>277.2</v>
      </c>
      <c r="K852" t="str">
        <f t="shared" ca="1" si="137"/>
        <v>In Stock</v>
      </c>
      <c r="L852" s="2">
        <f t="shared" ca="1" si="138"/>
        <v>63</v>
      </c>
      <c r="M852" t="str">
        <f t="shared" ca="1" si="139"/>
        <v>Safe</v>
      </c>
    </row>
    <row r="853" spans="1:13" x14ac:dyDescent="0.25">
      <c r="A853" t="str">
        <f t="shared" si="130"/>
        <v>M852</v>
      </c>
      <c r="B853" t="str" cm="1">
        <f t="array" aca="1" ref="B853" ca="1">INDEX({"Paracetamol","Amoxicillin","Ibuprofen","Cetirizine","Metformin","Amlodipine","Omeprazole","Azithromycin","Losartan","Vitamin C"}, RANDBETWEEN(1,10))</f>
        <v>Paracetamol</v>
      </c>
      <c r="C853" t="str" cm="1">
        <f t="array" aca="1" ref="C853" ca="1">INDEX({"Painkiller","Antibiotic","Painkiller","Antihistamine","Diabetes","Hypertension","Antacid","Antibiotic","Hypertension","Supplement"},
MATCH(B853,{"Paracetamol","Amoxicillin","Ibuprofen","Cetirizine","Metformin","Amlodipine","Omeprazole","Azithromycin","Losartan","Vitamin C"},0))</f>
        <v>Painkiller</v>
      </c>
      <c r="D853" t="str" cm="1">
        <f t="array" aca="1" ref="D853" ca="1">INDEX({"MedSupply Co","HealthCorp","PharmaPlus","GlobalMed"}, RANDBETWEEN(1,4))</f>
        <v>PharmaPlus</v>
      </c>
      <c r="E853">
        <f t="shared" ca="1" si="131"/>
        <v>92</v>
      </c>
      <c r="F853">
        <f t="shared" ca="1" si="132"/>
        <v>76</v>
      </c>
      <c r="G853">
        <f t="shared" ca="1" si="133"/>
        <v>1.59</v>
      </c>
      <c r="H853" s="1">
        <f t="shared" ca="1" si="134"/>
        <v>46349</v>
      </c>
      <c r="I853" s="1">
        <f t="shared" ca="1" si="135"/>
        <v>46026</v>
      </c>
      <c r="J853">
        <f t="shared" ca="1" si="136"/>
        <v>146.28</v>
      </c>
      <c r="K853" t="str">
        <f t="shared" ca="1" si="137"/>
        <v>In Stock</v>
      </c>
      <c r="L853" s="2">
        <f t="shared" ca="1" si="138"/>
        <v>230</v>
      </c>
      <c r="M853" t="str">
        <f t="shared" ca="1" si="139"/>
        <v>Safe</v>
      </c>
    </row>
    <row r="854" spans="1:13" x14ac:dyDescent="0.25">
      <c r="A854" t="str">
        <f t="shared" si="130"/>
        <v>M853</v>
      </c>
      <c r="B854" t="str" cm="1">
        <f t="array" aca="1" ref="B854" ca="1">INDEX({"Paracetamol","Amoxicillin","Ibuprofen","Cetirizine","Metformin","Amlodipine","Omeprazole","Azithromycin","Losartan","Vitamin C"}, RANDBETWEEN(1,10))</f>
        <v>Losartan</v>
      </c>
      <c r="C854" t="str" cm="1">
        <f t="array" aca="1" ref="C854" ca="1">INDEX({"Painkiller","Antibiotic","Painkiller","Antihistamine","Diabetes","Hypertension","Antacid","Antibiotic","Hypertension","Supplement"},
MATCH(B854,{"Paracetamol","Amoxicillin","Ibuprofen","Cetirizine","Metformin","Amlodipine","Omeprazole","Azithromycin","Losartan","Vitamin C"},0))</f>
        <v>Hypertension</v>
      </c>
      <c r="D854" t="str" cm="1">
        <f t="array" aca="1" ref="D854" ca="1">INDEX({"MedSupply Co","HealthCorp","PharmaPlus","GlobalMed"}, RANDBETWEEN(1,4))</f>
        <v>GlobalMed</v>
      </c>
      <c r="E854">
        <f t="shared" ca="1" si="131"/>
        <v>114</v>
      </c>
      <c r="F854">
        <f t="shared" ca="1" si="132"/>
        <v>48</v>
      </c>
      <c r="G854">
        <f t="shared" ca="1" si="133"/>
        <v>1.83</v>
      </c>
      <c r="H854" s="1">
        <f t="shared" ca="1" si="134"/>
        <v>46348</v>
      </c>
      <c r="I854" s="1">
        <f t="shared" ca="1" si="135"/>
        <v>45940</v>
      </c>
      <c r="J854">
        <f t="shared" ca="1" si="136"/>
        <v>208.62</v>
      </c>
      <c r="K854" t="str">
        <f t="shared" ca="1" si="137"/>
        <v>In Stock</v>
      </c>
      <c r="L854" s="2">
        <f t="shared" ca="1" si="138"/>
        <v>229</v>
      </c>
      <c r="M854" t="str">
        <f t="shared" ca="1" si="139"/>
        <v>Safe</v>
      </c>
    </row>
    <row r="855" spans="1:13" x14ac:dyDescent="0.25">
      <c r="A855" t="str">
        <f t="shared" si="130"/>
        <v>M854</v>
      </c>
      <c r="B855" t="str" cm="1">
        <f t="array" aca="1" ref="B855" ca="1">INDEX({"Paracetamol","Amoxicillin","Ibuprofen","Cetirizine","Metformin","Amlodipine","Omeprazole","Azithromycin","Losartan","Vitamin C"}, RANDBETWEEN(1,10))</f>
        <v>Paracetamol</v>
      </c>
      <c r="C855" t="str" cm="1">
        <f t="array" aca="1" ref="C855" ca="1">INDEX({"Painkiller","Antibiotic","Painkiller","Antihistamine","Diabetes","Hypertension","Antacid","Antibiotic","Hypertension","Supplement"},
MATCH(B855,{"Paracetamol","Amoxicillin","Ibuprofen","Cetirizine","Metformin","Amlodipine","Omeprazole","Azithromycin","Losartan","Vitamin C"},0))</f>
        <v>Painkiller</v>
      </c>
      <c r="D855" t="str" cm="1">
        <f t="array" aca="1" ref="D855" ca="1">INDEX({"MedSupply Co","HealthCorp","PharmaPlus","GlobalMed"}, RANDBETWEEN(1,4))</f>
        <v>HealthCorp</v>
      </c>
      <c r="E855">
        <f t="shared" ca="1" si="131"/>
        <v>94</v>
      </c>
      <c r="F855">
        <f t="shared" ca="1" si="132"/>
        <v>35</v>
      </c>
      <c r="G855">
        <f t="shared" ca="1" si="133"/>
        <v>1.92</v>
      </c>
      <c r="H855" s="1">
        <f t="shared" ca="1" si="134"/>
        <v>46339</v>
      </c>
      <c r="I855" s="1">
        <f t="shared" ca="1" si="135"/>
        <v>45956</v>
      </c>
      <c r="J855">
        <f t="shared" ca="1" si="136"/>
        <v>180.48</v>
      </c>
      <c r="K855" t="str">
        <f t="shared" ca="1" si="137"/>
        <v>In Stock</v>
      </c>
      <c r="L855" s="2">
        <f t="shared" ca="1" si="138"/>
        <v>220</v>
      </c>
      <c r="M855" t="str">
        <f t="shared" ca="1" si="139"/>
        <v>Safe</v>
      </c>
    </row>
    <row r="856" spans="1:13" x14ac:dyDescent="0.25">
      <c r="A856" t="str">
        <f t="shared" si="130"/>
        <v>M855</v>
      </c>
      <c r="B856" t="str" cm="1">
        <f t="array" aca="1" ref="B856" ca="1">INDEX({"Paracetamol","Amoxicillin","Ibuprofen","Cetirizine","Metformin","Amlodipine","Omeprazole","Azithromycin","Losartan","Vitamin C"}, RANDBETWEEN(1,10))</f>
        <v>Amoxicillin</v>
      </c>
      <c r="C856" t="str" cm="1">
        <f t="array" aca="1" ref="C856" ca="1">INDEX({"Painkiller","Antibiotic","Painkiller","Antihistamine","Diabetes","Hypertension","Antacid","Antibiotic","Hypertension","Supplement"},
MATCH(B856,{"Paracetamol","Amoxicillin","Ibuprofen","Cetirizine","Metformin","Amlodipine","Omeprazole","Azithromycin","Losartan","Vitamin C"},0))</f>
        <v>Antibiotic</v>
      </c>
      <c r="D856" t="str" cm="1">
        <f t="array" aca="1" ref="D856" ca="1">INDEX({"MedSupply Co","HealthCorp","PharmaPlus","GlobalMed"}, RANDBETWEEN(1,4))</f>
        <v>MedSupply Co</v>
      </c>
      <c r="E856">
        <f t="shared" ca="1" si="131"/>
        <v>194</v>
      </c>
      <c r="F856">
        <f t="shared" ca="1" si="132"/>
        <v>94</v>
      </c>
      <c r="G856">
        <f t="shared" ca="1" si="133"/>
        <v>1.1499999999999999</v>
      </c>
      <c r="H856" s="1">
        <f t="shared" ca="1" si="134"/>
        <v>46469</v>
      </c>
      <c r="I856" s="1">
        <f t="shared" ca="1" si="135"/>
        <v>46057</v>
      </c>
      <c r="J856">
        <f t="shared" ca="1" si="136"/>
        <v>223.1</v>
      </c>
      <c r="K856" t="str">
        <f t="shared" ca="1" si="137"/>
        <v>In Stock</v>
      </c>
      <c r="L856" s="2">
        <f t="shared" ca="1" si="138"/>
        <v>350</v>
      </c>
      <c r="M856" t="str">
        <f t="shared" ca="1" si="139"/>
        <v>Safe</v>
      </c>
    </row>
    <row r="857" spans="1:13" x14ac:dyDescent="0.25">
      <c r="A857" t="str">
        <f t="shared" si="130"/>
        <v>M856</v>
      </c>
      <c r="B857" t="str" cm="1">
        <f t="array" aca="1" ref="B857" ca="1">INDEX({"Paracetamol","Amoxicillin","Ibuprofen","Cetirizine","Metformin","Amlodipine","Omeprazole","Azithromycin","Losartan","Vitamin C"}, RANDBETWEEN(1,10))</f>
        <v>Metformin</v>
      </c>
      <c r="C857" t="str" cm="1">
        <f t="array" aca="1" ref="C857" ca="1">INDEX({"Painkiller","Antibiotic","Painkiller","Antihistamine","Diabetes","Hypertension","Antacid","Antibiotic","Hypertension","Supplement"},
MATCH(B857,{"Paracetamol","Amoxicillin","Ibuprofen","Cetirizine","Metformin","Amlodipine","Omeprazole","Azithromycin","Losartan","Vitamin C"},0))</f>
        <v>Diabetes</v>
      </c>
      <c r="D857" t="str" cm="1">
        <f t="array" aca="1" ref="D857" ca="1">INDEX({"MedSupply Co","HealthCorp","PharmaPlus","GlobalMed"}, RANDBETWEEN(1,4))</f>
        <v>GlobalMed</v>
      </c>
      <c r="E857">
        <f t="shared" ca="1" si="131"/>
        <v>43</v>
      </c>
      <c r="F857">
        <f t="shared" ca="1" si="132"/>
        <v>90</v>
      </c>
      <c r="G857">
        <f t="shared" ca="1" si="133"/>
        <v>1.02</v>
      </c>
      <c r="H857" s="1">
        <f t="shared" ca="1" si="134"/>
        <v>46240</v>
      </c>
      <c r="I857" s="1">
        <f t="shared" ca="1" si="135"/>
        <v>46032</v>
      </c>
      <c r="J857">
        <f t="shared" ca="1" si="136"/>
        <v>43.86</v>
      </c>
      <c r="K857" t="str">
        <f t="shared" ca="1" si="137"/>
        <v>Low Stock</v>
      </c>
      <c r="L857" s="2">
        <f t="shared" ca="1" si="138"/>
        <v>121</v>
      </c>
      <c r="M857" t="str">
        <f t="shared" ca="1" si="139"/>
        <v>Safe</v>
      </c>
    </row>
    <row r="858" spans="1:13" x14ac:dyDescent="0.25">
      <c r="A858" t="str">
        <f t="shared" si="130"/>
        <v>M857</v>
      </c>
      <c r="B858" t="str" cm="1">
        <f t="array" aca="1" ref="B858" ca="1">INDEX({"Paracetamol","Amoxicillin","Ibuprofen","Cetirizine","Metformin","Amlodipine","Omeprazole","Azithromycin","Losartan","Vitamin C"}, RANDBETWEEN(1,10))</f>
        <v>Azithromycin</v>
      </c>
      <c r="C858" t="str" cm="1">
        <f t="array" aca="1" ref="C858" ca="1">INDEX({"Painkiller","Antibiotic","Painkiller","Antihistamine","Diabetes","Hypertension","Antacid","Antibiotic","Hypertension","Supplement"},
MATCH(B858,{"Paracetamol","Amoxicillin","Ibuprofen","Cetirizine","Metformin","Amlodipine","Omeprazole","Azithromycin","Losartan","Vitamin C"},0))</f>
        <v>Antibiotic</v>
      </c>
      <c r="D858" t="str" cm="1">
        <f t="array" aca="1" ref="D858" ca="1">INDEX({"MedSupply Co","HealthCorp","PharmaPlus","GlobalMed"}, RANDBETWEEN(1,4))</f>
        <v>MedSupply Co</v>
      </c>
      <c r="E858">
        <f t="shared" ca="1" si="131"/>
        <v>86</v>
      </c>
      <c r="F858">
        <f t="shared" ca="1" si="132"/>
        <v>29</v>
      </c>
      <c r="G858">
        <f t="shared" ca="1" si="133"/>
        <v>0.81</v>
      </c>
      <c r="H858" s="1">
        <f t="shared" ca="1" si="134"/>
        <v>46328</v>
      </c>
      <c r="I858" s="1">
        <f t="shared" ca="1" si="135"/>
        <v>46116</v>
      </c>
      <c r="J858">
        <f t="shared" ca="1" si="136"/>
        <v>69.660000000000011</v>
      </c>
      <c r="K858" t="str">
        <f t="shared" ca="1" si="137"/>
        <v>In Stock</v>
      </c>
      <c r="L858" s="2">
        <f t="shared" ca="1" si="138"/>
        <v>209</v>
      </c>
      <c r="M858" t="str">
        <f t="shared" ca="1" si="139"/>
        <v>Safe</v>
      </c>
    </row>
    <row r="859" spans="1:13" x14ac:dyDescent="0.25">
      <c r="A859" t="str">
        <f t="shared" si="130"/>
        <v>M858</v>
      </c>
      <c r="B859" t="str" cm="1">
        <f t="array" aca="1" ref="B859" ca="1">INDEX({"Paracetamol","Amoxicillin","Ibuprofen","Cetirizine","Metformin","Amlodipine","Omeprazole","Azithromycin","Losartan","Vitamin C"}, RANDBETWEEN(1,10))</f>
        <v>Losartan</v>
      </c>
      <c r="C859" t="str" cm="1">
        <f t="array" aca="1" ref="C859" ca="1">INDEX({"Painkiller","Antibiotic","Painkiller","Antihistamine","Diabetes","Hypertension","Antacid","Antibiotic","Hypertension","Supplement"},
MATCH(B859,{"Paracetamol","Amoxicillin","Ibuprofen","Cetirizine","Metformin","Amlodipine","Omeprazole","Azithromycin","Losartan","Vitamin C"},0))</f>
        <v>Hypertension</v>
      </c>
      <c r="D859" t="str" cm="1">
        <f t="array" aca="1" ref="D859" ca="1">INDEX({"MedSupply Co","HealthCorp","PharmaPlus","GlobalMed"}, RANDBETWEEN(1,4))</f>
        <v>PharmaPlus</v>
      </c>
      <c r="E859">
        <f t="shared" ca="1" si="131"/>
        <v>40</v>
      </c>
      <c r="F859">
        <f t="shared" ca="1" si="132"/>
        <v>71</v>
      </c>
      <c r="G859">
        <f t="shared" ca="1" si="133"/>
        <v>1.93</v>
      </c>
      <c r="H859" s="1">
        <f t="shared" ca="1" si="134"/>
        <v>46310</v>
      </c>
      <c r="I859" s="1">
        <f t="shared" ca="1" si="135"/>
        <v>45979</v>
      </c>
      <c r="J859">
        <f t="shared" ca="1" si="136"/>
        <v>77.2</v>
      </c>
      <c r="K859" t="str">
        <f t="shared" ca="1" si="137"/>
        <v>Low Stock</v>
      </c>
      <c r="L859" s="2">
        <f t="shared" ca="1" si="138"/>
        <v>191</v>
      </c>
      <c r="M859" t="str">
        <f t="shared" ca="1" si="139"/>
        <v>Safe</v>
      </c>
    </row>
    <row r="860" spans="1:13" x14ac:dyDescent="0.25">
      <c r="A860" t="str">
        <f t="shared" si="130"/>
        <v>M859</v>
      </c>
      <c r="B860" t="str" cm="1">
        <f t="array" aca="1" ref="B860" ca="1">INDEX({"Paracetamol","Amoxicillin","Ibuprofen","Cetirizine","Metformin","Amlodipine","Omeprazole","Azithromycin","Losartan","Vitamin C"}, RANDBETWEEN(1,10))</f>
        <v>Amlodipine</v>
      </c>
      <c r="C860" t="str" cm="1">
        <f t="array" aca="1" ref="C860" ca="1">INDEX({"Painkiller","Antibiotic","Painkiller","Antihistamine","Diabetes","Hypertension","Antacid","Antibiotic","Hypertension","Supplement"},
MATCH(B860,{"Paracetamol","Amoxicillin","Ibuprofen","Cetirizine","Metformin","Amlodipine","Omeprazole","Azithromycin","Losartan","Vitamin C"},0))</f>
        <v>Hypertension</v>
      </c>
      <c r="D860" t="str" cm="1">
        <f t="array" aca="1" ref="D860" ca="1">INDEX({"MedSupply Co","HealthCorp","PharmaPlus","GlobalMed"}, RANDBETWEEN(1,4))</f>
        <v>PharmaPlus</v>
      </c>
      <c r="E860">
        <f t="shared" ca="1" si="131"/>
        <v>42</v>
      </c>
      <c r="F860">
        <f t="shared" ca="1" si="132"/>
        <v>91</v>
      </c>
      <c r="G860">
        <f t="shared" ca="1" si="133"/>
        <v>0.77</v>
      </c>
      <c r="H860" s="1">
        <f t="shared" ca="1" si="134"/>
        <v>46227</v>
      </c>
      <c r="I860" s="1">
        <f t="shared" ca="1" si="135"/>
        <v>46039</v>
      </c>
      <c r="J860">
        <f t="shared" ca="1" si="136"/>
        <v>32.340000000000003</v>
      </c>
      <c r="K860" t="str">
        <f t="shared" ca="1" si="137"/>
        <v>Low Stock</v>
      </c>
      <c r="L860" s="2">
        <f t="shared" ca="1" si="138"/>
        <v>108</v>
      </c>
      <c r="M860" t="str">
        <f t="shared" ca="1" si="139"/>
        <v>Safe</v>
      </c>
    </row>
    <row r="861" spans="1:13" x14ac:dyDescent="0.25">
      <c r="A861" t="str">
        <f t="shared" si="130"/>
        <v>M860</v>
      </c>
      <c r="B861" t="str" cm="1">
        <f t="array" aca="1" ref="B861" ca="1">INDEX({"Paracetamol","Amoxicillin","Ibuprofen","Cetirizine","Metformin","Amlodipine","Omeprazole","Azithromycin","Losartan","Vitamin C"}, RANDBETWEEN(1,10))</f>
        <v>Metformin</v>
      </c>
      <c r="C861" t="str" cm="1">
        <f t="array" aca="1" ref="C861" ca="1">INDEX({"Painkiller","Antibiotic","Painkiller","Antihistamine","Diabetes","Hypertension","Antacid","Antibiotic","Hypertension","Supplement"},
MATCH(B861,{"Paracetamol","Amoxicillin","Ibuprofen","Cetirizine","Metformin","Amlodipine","Omeprazole","Azithromycin","Losartan","Vitamin C"},0))</f>
        <v>Diabetes</v>
      </c>
      <c r="D861" t="str" cm="1">
        <f t="array" aca="1" ref="D861" ca="1">INDEX({"MedSupply Co","HealthCorp","PharmaPlus","GlobalMed"}, RANDBETWEEN(1,4))</f>
        <v>HealthCorp</v>
      </c>
      <c r="E861">
        <f t="shared" ca="1" si="131"/>
        <v>145</v>
      </c>
      <c r="F861">
        <f t="shared" ca="1" si="132"/>
        <v>82</v>
      </c>
      <c r="G861">
        <f t="shared" ca="1" si="133"/>
        <v>1.04</v>
      </c>
      <c r="H861" s="1">
        <f t="shared" ca="1" si="134"/>
        <v>46240</v>
      </c>
      <c r="I861" s="1">
        <f t="shared" ca="1" si="135"/>
        <v>46104</v>
      </c>
      <c r="J861">
        <f t="shared" ca="1" si="136"/>
        <v>150.80000000000001</v>
      </c>
      <c r="K861" t="str">
        <f t="shared" ca="1" si="137"/>
        <v>In Stock</v>
      </c>
      <c r="L861" s="2">
        <f t="shared" ca="1" si="138"/>
        <v>121</v>
      </c>
      <c r="M861" t="str">
        <f t="shared" ca="1" si="139"/>
        <v>Safe</v>
      </c>
    </row>
    <row r="862" spans="1:13" x14ac:dyDescent="0.25">
      <c r="A862" t="str">
        <f t="shared" si="130"/>
        <v>M861</v>
      </c>
      <c r="B862" t="str" cm="1">
        <f t="array" aca="1" ref="B862" ca="1">INDEX({"Paracetamol","Amoxicillin","Ibuprofen","Cetirizine","Metformin","Amlodipine","Omeprazole","Azithromycin","Losartan","Vitamin C"}, RANDBETWEEN(1,10))</f>
        <v>Omeprazole</v>
      </c>
      <c r="C862" t="str" cm="1">
        <f t="array" aca="1" ref="C862" ca="1">INDEX({"Painkiller","Antibiotic","Painkiller","Antihistamine","Diabetes","Hypertension","Antacid","Antibiotic","Hypertension","Supplement"},
MATCH(B862,{"Paracetamol","Amoxicillin","Ibuprofen","Cetirizine","Metformin","Amlodipine","Omeprazole","Azithromycin","Losartan","Vitamin C"},0))</f>
        <v>Antacid</v>
      </c>
      <c r="D862" t="str" cm="1">
        <f t="array" aca="1" ref="D862" ca="1">INDEX({"MedSupply Co","HealthCorp","PharmaPlus","GlobalMed"}, RANDBETWEEN(1,4))</f>
        <v>HealthCorp</v>
      </c>
      <c r="E862">
        <f t="shared" ca="1" si="131"/>
        <v>189</v>
      </c>
      <c r="F862">
        <f t="shared" ca="1" si="132"/>
        <v>81</v>
      </c>
      <c r="G862">
        <f t="shared" ca="1" si="133"/>
        <v>1.55</v>
      </c>
      <c r="H862" s="1">
        <f t="shared" ca="1" si="134"/>
        <v>46367</v>
      </c>
      <c r="I862" s="1">
        <f t="shared" ca="1" si="135"/>
        <v>45982</v>
      </c>
      <c r="J862">
        <f t="shared" ca="1" si="136"/>
        <v>292.95</v>
      </c>
      <c r="K862" t="str">
        <f t="shared" ca="1" si="137"/>
        <v>In Stock</v>
      </c>
      <c r="L862" s="2">
        <f t="shared" ca="1" si="138"/>
        <v>248</v>
      </c>
      <c r="M862" t="str">
        <f t="shared" ca="1" si="139"/>
        <v>Safe</v>
      </c>
    </row>
    <row r="863" spans="1:13" x14ac:dyDescent="0.25">
      <c r="A863" t="str">
        <f t="shared" si="130"/>
        <v>M862</v>
      </c>
      <c r="B863" t="str" cm="1">
        <f t="array" aca="1" ref="B863" ca="1">INDEX({"Paracetamol","Amoxicillin","Ibuprofen","Cetirizine","Metformin","Amlodipine","Omeprazole","Azithromycin","Losartan","Vitamin C"}, RANDBETWEEN(1,10))</f>
        <v>Paracetamol</v>
      </c>
      <c r="C863" t="str" cm="1">
        <f t="array" aca="1" ref="C863" ca="1">INDEX({"Painkiller","Antibiotic","Painkiller","Antihistamine","Diabetes","Hypertension","Antacid","Antibiotic","Hypertension","Supplement"},
MATCH(B863,{"Paracetamol","Amoxicillin","Ibuprofen","Cetirizine","Metformin","Amlodipine","Omeprazole","Azithromycin","Losartan","Vitamin C"},0))</f>
        <v>Painkiller</v>
      </c>
      <c r="D863" t="str" cm="1">
        <f t="array" aca="1" ref="D863" ca="1">INDEX({"MedSupply Co","HealthCorp","PharmaPlus","GlobalMed"}, RANDBETWEEN(1,4))</f>
        <v>GlobalMed</v>
      </c>
      <c r="E863">
        <f t="shared" ca="1" si="131"/>
        <v>105</v>
      </c>
      <c r="F863">
        <f t="shared" ca="1" si="132"/>
        <v>32</v>
      </c>
      <c r="G863">
        <f t="shared" ca="1" si="133"/>
        <v>0.92</v>
      </c>
      <c r="H863" s="1">
        <f t="shared" ca="1" si="134"/>
        <v>46408</v>
      </c>
      <c r="I863" s="1">
        <f t="shared" ca="1" si="135"/>
        <v>46090</v>
      </c>
      <c r="J863">
        <f t="shared" ca="1" si="136"/>
        <v>96.600000000000009</v>
      </c>
      <c r="K863" t="str">
        <f t="shared" ca="1" si="137"/>
        <v>In Stock</v>
      </c>
      <c r="L863" s="2">
        <f t="shared" ca="1" si="138"/>
        <v>289</v>
      </c>
      <c r="M863" t="str">
        <f t="shared" ca="1" si="139"/>
        <v>Safe</v>
      </c>
    </row>
    <row r="864" spans="1:13" x14ac:dyDescent="0.25">
      <c r="A864" t="str">
        <f t="shared" si="130"/>
        <v>M863</v>
      </c>
      <c r="B864" t="str" cm="1">
        <f t="array" aca="1" ref="B864" ca="1">INDEX({"Paracetamol","Amoxicillin","Ibuprofen","Cetirizine","Metformin","Amlodipine","Omeprazole","Azithromycin","Losartan","Vitamin C"}, RANDBETWEEN(1,10))</f>
        <v>Amlodipine</v>
      </c>
      <c r="C864" t="str" cm="1">
        <f t="array" aca="1" ref="C864" ca="1">INDEX({"Painkiller","Antibiotic","Painkiller","Antihistamine","Diabetes","Hypertension","Antacid","Antibiotic","Hypertension","Supplement"},
MATCH(B864,{"Paracetamol","Amoxicillin","Ibuprofen","Cetirizine","Metformin","Amlodipine","Omeprazole","Azithromycin","Losartan","Vitamin C"},0))</f>
        <v>Hypertension</v>
      </c>
      <c r="D864" t="str" cm="1">
        <f t="array" aca="1" ref="D864" ca="1">INDEX({"MedSupply Co","HealthCorp","PharmaPlus","GlobalMed"}, RANDBETWEEN(1,4))</f>
        <v>PharmaPlus</v>
      </c>
      <c r="E864">
        <f t="shared" ca="1" si="131"/>
        <v>64</v>
      </c>
      <c r="F864">
        <f t="shared" ca="1" si="132"/>
        <v>26</v>
      </c>
      <c r="G864">
        <f t="shared" ca="1" si="133"/>
        <v>1.56</v>
      </c>
      <c r="H864" s="1">
        <f t="shared" ca="1" si="134"/>
        <v>46372</v>
      </c>
      <c r="I864" s="1">
        <f t="shared" ca="1" si="135"/>
        <v>45990</v>
      </c>
      <c r="J864">
        <f t="shared" ca="1" si="136"/>
        <v>99.84</v>
      </c>
      <c r="K864" t="str">
        <f t="shared" ca="1" si="137"/>
        <v>In Stock</v>
      </c>
      <c r="L864" s="2">
        <f t="shared" ca="1" si="138"/>
        <v>253</v>
      </c>
      <c r="M864" t="str">
        <f t="shared" ca="1" si="139"/>
        <v>Safe</v>
      </c>
    </row>
    <row r="865" spans="1:13" x14ac:dyDescent="0.25">
      <c r="A865" t="str">
        <f t="shared" si="130"/>
        <v>M864</v>
      </c>
      <c r="B865" t="str" cm="1">
        <f t="array" aca="1" ref="B865" ca="1">INDEX({"Paracetamol","Amoxicillin","Ibuprofen","Cetirizine","Metformin","Amlodipine","Omeprazole","Azithromycin","Losartan","Vitamin C"}, RANDBETWEEN(1,10))</f>
        <v>Cetirizine</v>
      </c>
      <c r="C865" t="str" cm="1">
        <f t="array" aca="1" ref="C865" ca="1">INDEX({"Painkiller","Antibiotic","Painkiller","Antihistamine","Diabetes","Hypertension","Antacid","Antibiotic","Hypertension","Supplement"},
MATCH(B865,{"Paracetamol","Amoxicillin","Ibuprofen","Cetirizine","Metformin","Amlodipine","Omeprazole","Azithromycin","Losartan","Vitamin C"},0))</f>
        <v>Antihistamine</v>
      </c>
      <c r="D865" t="str" cm="1">
        <f t="array" aca="1" ref="D865" ca="1">INDEX({"MedSupply Co","HealthCorp","PharmaPlus","GlobalMed"}, RANDBETWEEN(1,4))</f>
        <v>HealthCorp</v>
      </c>
      <c r="E865">
        <f t="shared" ca="1" si="131"/>
        <v>154</v>
      </c>
      <c r="F865">
        <f t="shared" ca="1" si="132"/>
        <v>64</v>
      </c>
      <c r="G865">
        <f t="shared" ca="1" si="133"/>
        <v>1.47</v>
      </c>
      <c r="H865" s="1">
        <f t="shared" ca="1" si="134"/>
        <v>46412</v>
      </c>
      <c r="I865" s="1">
        <f t="shared" ca="1" si="135"/>
        <v>46008</v>
      </c>
      <c r="J865">
        <f t="shared" ca="1" si="136"/>
        <v>226.38</v>
      </c>
      <c r="K865" t="str">
        <f t="shared" ca="1" si="137"/>
        <v>In Stock</v>
      </c>
      <c r="L865" s="2">
        <f t="shared" ca="1" si="138"/>
        <v>293</v>
      </c>
      <c r="M865" t="str">
        <f t="shared" ca="1" si="139"/>
        <v>Safe</v>
      </c>
    </row>
    <row r="866" spans="1:13" x14ac:dyDescent="0.25">
      <c r="A866" t="str">
        <f t="shared" si="130"/>
        <v>M865</v>
      </c>
      <c r="B866" t="str" cm="1">
        <f t="array" aca="1" ref="B866" ca="1">INDEX({"Paracetamol","Amoxicillin","Ibuprofen","Cetirizine","Metformin","Amlodipine","Omeprazole","Azithromycin","Losartan","Vitamin C"}, RANDBETWEEN(1,10))</f>
        <v>Amlodipine</v>
      </c>
      <c r="C866" t="str" cm="1">
        <f t="array" aca="1" ref="C866" ca="1">INDEX({"Painkiller","Antibiotic","Painkiller","Antihistamine","Diabetes","Hypertension","Antacid","Antibiotic","Hypertension","Supplement"},
MATCH(B866,{"Paracetamol","Amoxicillin","Ibuprofen","Cetirizine","Metformin","Amlodipine","Omeprazole","Azithromycin","Losartan","Vitamin C"},0))</f>
        <v>Hypertension</v>
      </c>
      <c r="D866" t="str" cm="1">
        <f t="array" aca="1" ref="D866" ca="1">INDEX({"MedSupply Co","HealthCorp","PharmaPlus","GlobalMed"}, RANDBETWEEN(1,4))</f>
        <v>PharmaPlus</v>
      </c>
      <c r="E866">
        <f t="shared" ca="1" si="131"/>
        <v>90</v>
      </c>
      <c r="F866">
        <f t="shared" ca="1" si="132"/>
        <v>34</v>
      </c>
      <c r="G866">
        <f t="shared" ca="1" si="133"/>
        <v>1.34</v>
      </c>
      <c r="H866" s="1">
        <f t="shared" ca="1" si="134"/>
        <v>46307</v>
      </c>
      <c r="I866" s="1">
        <f t="shared" ca="1" si="135"/>
        <v>45981</v>
      </c>
      <c r="J866">
        <f t="shared" ca="1" si="136"/>
        <v>120.60000000000001</v>
      </c>
      <c r="K866" t="str">
        <f t="shared" ca="1" si="137"/>
        <v>In Stock</v>
      </c>
      <c r="L866" s="2">
        <f t="shared" ca="1" si="138"/>
        <v>188</v>
      </c>
      <c r="M866" t="str">
        <f t="shared" ca="1" si="139"/>
        <v>Safe</v>
      </c>
    </row>
    <row r="867" spans="1:13" x14ac:dyDescent="0.25">
      <c r="A867" t="str">
        <f t="shared" si="130"/>
        <v>M866</v>
      </c>
      <c r="B867" t="str" cm="1">
        <f t="array" aca="1" ref="B867" ca="1">INDEX({"Paracetamol","Amoxicillin","Ibuprofen","Cetirizine","Metformin","Amlodipine","Omeprazole","Azithromycin","Losartan","Vitamin C"}, RANDBETWEEN(1,10))</f>
        <v>Metformin</v>
      </c>
      <c r="C867" t="str" cm="1">
        <f t="array" aca="1" ref="C867" ca="1">INDEX({"Painkiller","Antibiotic","Painkiller","Antihistamine","Diabetes","Hypertension","Antacid","Antibiotic","Hypertension","Supplement"},
MATCH(B867,{"Paracetamol","Amoxicillin","Ibuprofen","Cetirizine","Metformin","Amlodipine","Omeprazole","Azithromycin","Losartan","Vitamin C"},0))</f>
        <v>Diabetes</v>
      </c>
      <c r="D867" t="str" cm="1">
        <f t="array" aca="1" ref="D867" ca="1">INDEX({"MedSupply Co","HealthCorp","PharmaPlus","GlobalMed"}, RANDBETWEEN(1,4))</f>
        <v>PharmaPlus</v>
      </c>
      <c r="E867">
        <f t="shared" ca="1" si="131"/>
        <v>199</v>
      </c>
      <c r="F867">
        <f t="shared" ca="1" si="132"/>
        <v>34</v>
      </c>
      <c r="G867">
        <f t="shared" ca="1" si="133"/>
        <v>1.97</v>
      </c>
      <c r="H867" s="1">
        <f t="shared" ca="1" si="134"/>
        <v>46358</v>
      </c>
      <c r="I867" s="1">
        <f t="shared" ca="1" si="135"/>
        <v>45971</v>
      </c>
      <c r="J867">
        <f t="shared" ca="1" si="136"/>
        <v>392.03</v>
      </c>
      <c r="K867" t="str">
        <f t="shared" ca="1" si="137"/>
        <v>In Stock</v>
      </c>
      <c r="L867" s="2">
        <f t="shared" ca="1" si="138"/>
        <v>239</v>
      </c>
      <c r="M867" t="str">
        <f t="shared" ca="1" si="139"/>
        <v>Safe</v>
      </c>
    </row>
    <row r="868" spans="1:13" x14ac:dyDescent="0.25">
      <c r="A868" t="str">
        <f t="shared" si="130"/>
        <v>M867</v>
      </c>
      <c r="B868" t="str" cm="1">
        <f t="array" aca="1" ref="B868" ca="1">INDEX({"Paracetamol","Amoxicillin","Ibuprofen","Cetirizine","Metformin","Amlodipine","Omeprazole","Azithromycin","Losartan","Vitamin C"}, RANDBETWEEN(1,10))</f>
        <v>Amoxicillin</v>
      </c>
      <c r="C868" t="str" cm="1">
        <f t="array" aca="1" ref="C868" ca="1">INDEX({"Painkiller","Antibiotic","Painkiller","Antihistamine","Diabetes","Hypertension","Antacid","Antibiotic","Hypertension","Supplement"},
MATCH(B868,{"Paracetamol","Amoxicillin","Ibuprofen","Cetirizine","Metformin","Amlodipine","Omeprazole","Azithromycin","Losartan","Vitamin C"},0))</f>
        <v>Antibiotic</v>
      </c>
      <c r="D868" t="str" cm="1">
        <f t="array" aca="1" ref="D868" ca="1">INDEX({"MedSupply Co","HealthCorp","PharmaPlus","GlobalMed"}, RANDBETWEEN(1,4))</f>
        <v>GlobalMed</v>
      </c>
      <c r="E868">
        <f t="shared" ca="1" si="131"/>
        <v>151</v>
      </c>
      <c r="F868">
        <f t="shared" ca="1" si="132"/>
        <v>67</v>
      </c>
      <c r="G868">
        <f t="shared" ca="1" si="133"/>
        <v>1.1299999999999999</v>
      </c>
      <c r="H868" s="1">
        <f t="shared" ca="1" si="134"/>
        <v>46184</v>
      </c>
      <c r="I868" s="1">
        <f t="shared" ca="1" si="135"/>
        <v>46090</v>
      </c>
      <c r="J868">
        <f t="shared" ca="1" si="136"/>
        <v>170.63</v>
      </c>
      <c r="K868" t="str">
        <f t="shared" ca="1" si="137"/>
        <v>In Stock</v>
      </c>
      <c r="L868" s="2">
        <f t="shared" ca="1" si="138"/>
        <v>65</v>
      </c>
      <c r="M868" t="str">
        <f t="shared" ca="1" si="139"/>
        <v>Safe</v>
      </c>
    </row>
    <row r="869" spans="1:13" x14ac:dyDescent="0.25">
      <c r="A869" t="str">
        <f t="shared" si="130"/>
        <v>M868</v>
      </c>
      <c r="B869" t="str" cm="1">
        <f t="array" aca="1" ref="B869" ca="1">INDEX({"Paracetamol","Amoxicillin","Ibuprofen","Cetirizine","Metformin","Amlodipine","Omeprazole","Azithromycin","Losartan","Vitamin C"}, RANDBETWEEN(1,10))</f>
        <v>Azithromycin</v>
      </c>
      <c r="C869" t="str" cm="1">
        <f t="array" aca="1" ref="C869" ca="1">INDEX({"Painkiller","Antibiotic","Painkiller","Antihistamine","Diabetes","Hypertension","Antacid","Antibiotic","Hypertension","Supplement"},
MATCH(B869,{"Paracetamol","Amoxicillin","Ibuprofen","Cetirizine","Metformin","Amlodipine","Omeprazole","Azithromycin","Losartan","Vitamin C"},0))</f>
        <v>Antibiotic</v>
      </c>
      <c r="D869" t="str" cm="1">
        <f t="array" aca="1" ref="D869" ca="1">INDEX({"MedSupply Co","HealthCorp","PharmaPlus","GlobalMed"}, RANDBETWEEN(1,4))</f>
        <v>PharmaPlus</v>
      </c>
      <c r="E869">
        <f t="shared" ca="1" si="131"/>
        <v>113</v>
      </c>
      <c r="F869">
        <f t="shared" ca="1" si="132"/>
        <v>82</v>
      </c>
      <c r="G869">
        <f t="shared" ca="1" si="133"/>
        <v>0.52</v>
      </c>
      <c r="H869" s="1">
        <f t="shared" ca="1" si="134"/>
        <v>46359</v>
      </c>
      <c r="I869" s="1">
        <f t="shared" ca="1" si="135"/>
        <v>45961</v>
      </c>
      <c r="J869">
        <f t="shared" ca="1" si="136"/>
        <v>58.760000000000005</v>
      </c>
      <c r="K869" t="str">
        <f t="shared" ca="1" si="137"/>
        <v>In Stock</v>
      </c>
      <c r="L869" s="2">
        <f t="shared" ca="1" si="138"/>
        <v>240</v>
      </c>
      <c r="M869" t="str">
        <f t="shared" ca="1" si="139"/>
        <v>Safe</v>
      </c>
    </row>
    <row r="870" spans="1:13" x14ac:dyDescent="0.25">
      <c r="A870" t="str">
        <f t="shared" si="130"/>
        <v>M869</v>
      </c>
      <c r="B870" t="str" cm="1">
        <f t="array" aca="1" ref="B870" ca="1">INDEX({"Paracetamol","Amoxicillin","Ibuprofen","Cetirizine","Metformin","Amlodipine","Omeprazole","Azithromycin","Losartan","Vitamin C"}, RANDBETWEEN(1,10))</f>
        <v>Azithromycin</v>
      </c>
      <c r="C870" t="str" cm="1">
        <f t="array" aca="1" ref="C870" ca="1">INDEX({"Painkiller","Antibiotic","Painkiller","Antihistamine","Diabetes","Hypertension","Antacid","Antibiotic","Hypertension","Supplement"},
MATCH(B870,{"Paracetamol","Amoxicillin","Ibuprofen","Cetirizine","Metformin","Amlodipine","Omeprazole","Azithromycin","Losartan","Vitamin C"},0))</f>
        <v>Antibiotic</v>
      </c>
      <c r="D870" t="str" cm="1">
        <f t="array" aca="1" ref="D870" ca="1">INDEX({"MedSupply Co","HealthCorp","PharmaPlus","GlobalMed"}, RANDBETWEEN(1,4))</f>
        <v>HealthCorp</v>
      </c>
      <c r="E870">
        <f t="shared" ca="1" si="131"/>
        <v>7</v>
      </c>
      <c r="F870">
        <f t="shared" ca="1" si="132"/>
        <v>72</v>
      </c>
      <c r="G870">
        <f t="shared" ca="1" si="133"/>
        <v>1.49</v>
      </c>
      <c r="H870" s="1">
        <f t="shared" ca="1" si="134"/>
        <v>46442</v>
      </c>
      <c r="I870" s="1">
        <f t="shared" ca="1" si="135"/>
        <v>46051</v>
      </c>
      <c r="J870">
        <f t="shared" ca="1" si="136"/>
        <v>10.43</v>
      </c>
      <c r="K870" t="str">
        <f t="shared" ca="1" si="137"/>
        <v>Low Stock</v>
      </c>
      <c r="L870" s="2">
        <f t="shared" ca="1" si="138"/>
        <v>323</v>
      </c>
      <c r="M870" t="str">
        <f t="shared" ca="1" si="139"/>
        <v>Safe</v>
      </c>
    </row>
    <row r="871" spans="1:13" x14ac:dyDescent="0.25">
      <c r="A871" t="str">
        <f t="shared" si="130"/>
        <v>M870</v>
      </c>
      <c r="B871" t="str" cm="1">
        <f t="array" aca="1" ref="B871" ca="1">INDEX({"Paracetamol","Amoxicillin","Ibuprofen","Cetirizine","Metformin","Amlodipine","Omeprazole","Azithromycin","Losartan","Vitamin C"}, RANDBETWEEN(1,10))</f>
        <v>Ibuprofen</v>
      </c>
      <c r="C871" t="str" cm="1">
        <f t="array" aca="1" ref="C871" ca="1">INDEX({"Painkiller","Antibiotic","Painkiller","Antihistamine","Diabetes","Hypertension","Antacid","Antibiotic","Hypertension","Supplement"},
MATCH(B871,{"Paracetamol","Amoxicillin","Ibuprofen","Cetirizine","Metformin","Amlodipine","Omeprazole","Azithromycin","Losartan","Vitamin C"},0))</f>
        <v>Painkiller</v>
      </c>
      <c r="D871" t="str" cm="1">
        <f t="array" aca="1" ref="D871" ca="1">INDEX({"MedSupply Co","HealthCorp","PharmaPlus","GlobalMed"}, RANDBETWEEN(1,4))</f>
        <v>HealthCorp</v>
      </c>
      <c r="E871">
        <f t="shared" ca="1" si="131"/>
        <v>143</v>
      </c>
      <c r="F871">
        <f t="shared" ca="1" si="132"/>
        <v>31</v>
      </c>
      <c r="G871">
        <f t="shared" ca="1" si="133"/>
        <v>0.93</v>
      </c>
      <c r="H871" s="1">
        <f t="shared" ca="1" si="134"/>
        <v>46407</v>
      </c>
      <c r="I871" s="1">
        <f t="shared" ca="1" si="135"/>
        <v>46092</v>
      </c>
      <c r="J871">
        <f t="shared" ca="1" si="136"/>
        <v>132.99</v>
      </c>
      <c r="K871" t="str">
        <f t="shared" ca="1" si="137"/>
        <v>In Stock</v>
      </c>
      <c r="L871" s="2">
        <f t="shared" ca="1" si="138"/>
        <v>288</v>
      </c>
      <c r="M871" t="str">
        <f t="shared" ca="1" si="139"/>
        <v>Safe</v>
      </c>
    </row>
    <row r="872" spans="1:13" x14ac:dyDescent="0.25">
      <c r="A872" t="str">
        <f t="shared" si="130"/>
        <v>M871</v>
      </c>
      <c r="B872" t="str" cm="1">
        <f t="array" aca="1" ref="B872" ca="1">INDEX({"Paracetamol","Amoxicillin","Ibuprofen","Cetirizine","Metformin","Amlodipine","Omeprazole","Azithromycin","Losartan","Vitamin C"}, RANDBETWEEN(1,10))</f>
        <v>Omeprazole</v>
      </c>
      <c r="C872" t="str" cm="1">
        <f t="array" aca="1" ref="C872" ca="1">INDEX({"Painkiller","Antibiotic","Painkiller","Antihistamine","Diabetes","Hypertension","Antacid","Antibiotic","Hypertension","Supplement"},
MATCH(B872,{"Paracetamol","Amoxicillin","Ibuprofen","Cetirizine","Metformin","Amlodipine","Omeprazole","Azithromycin","Losartan","Vitamin C"},0))</f>
        <v>Antacid</v>
      </c>
      <c r="D872" t="str" cm="1">
        <f t="array" aca="1" ref="D872" ca="1">INDEX({"MedSupply Co","HealthCorp","PharmaPlus","GlobalMed"}, RANDBETWEEN(1,4))</f>
        <v>MedSupply Co</v>
      </c>
      <c r="E872">
        <f t="shared" ca="1" si="131"/>
        <v>66</v>
      </c>
      <c r="F872">
        <f t="shared" ca="1" si="132"/>
        <v>69</v>
      </c>
      <c r="G872">
        <f t="shared" ca="1" si="133"/>
        <v>1.75</v>
      </c>
      <c r="H872" s="1">
        <f t="shared" ca="1" si="134"/>
        <v>46249</v>
      </c>
      <c r="I872" s="1">
        <f t="shared" ca="1" si="135"/>
        <v>45980</v>
      </c>
      <c r="J872">
        <f t="shared" ca="1" si="136"/>
        <v>115.5</v>
      </c>
      <c r="K872" t="str">
        <f t="shared" ca="1" si="137"/>
        <v>Low Stock</v>
      </c>
      <c r="L872" s="2">
        <f t="shared" ca="1" si="138"/>
        <v>130</v>
      </c>
      <c r="M872" t="str">
        <f t="shared" ca="1" si="139"/>
        <v>Safe</v>
      </c>
    </row>
    <row r="873" spans="1:13" x14ac:dyDescent="0.25">
      <c r="A873" t="str">
        <f t="shared" si="130"/>
        <v>M872</v>
      </c>
      <c r="B873" t="str" cm="1">
        <f t="array" aca="1" ref="B873" ca="1">INDEX({"Paracetamol","Amoxicillin","Ibuprofen","Cetirizine","Metformin","Amlodipine","Omeprazole","Azithromycin","Losartan","Vitamin C"}, RANDBETWEEN(1,10))</f>
        <v>Omeprazole</v>
      </c>
      <c r="C873" t="str" cm="1">
        <f t="array" aca="1" ref="C873" ca="1">INDEX({"Painkiller","Antibiotic","Painkiller","Antihistamine","Diabetes","Hypertension","Antacid","Antibiotic","Hypertension","Supplement"},
MATCH(B873,{"Paracetamol","Amoxicillin","Ibuprofen","Cetirizine","Metformin","Amlodipine","Omeprazole","Azithromycin","Losartan","Vitamin C"},0))</f>
        <v>Antacid</v>
      </c>
      <c r="D873" t="str" cm="1">
        <f t="array" aca="1" ref="D873" ca="1">INDEX({"MedSupply Co","HealthCorp","PharmaPlus","GlobalMed"}, RANDBETWEEN(1,4))</f>
        <v>GlobalMed</v>
      </c>
      <c r="E873">
        <f t="shared" ca="1" si="131"/>
        <v>39</v>
      </c>
      <c r="F873">
        <f t="shared" ca="1" si="132"/>
        <v>30</v>
      </c>
      <c r="G873">
        <f t="shared" ca="1" si="133"/>
        <v>1.92</v>
      </c>
      <c r="H873" s="1">
        <f t="shared" ca="1" si="134"/>
        <v>46376</v>
      </c>
      <c r="I873" s="1">
        <f t="shared" ca="1" si="135"/>
        <v>46111</v>
      </c>
      <c r="J873">
        <f t="shared" ca="1" si="136"/>
        <v>74.88</v>
      </c>
      <c r="K873" t="str">
        <f t="shared" ca="1" si="137"/>
        <v>In Stock</v>
      </c>
      <c r="L873" s="2">
        <f t="shared" ca="1" si="138"/>
        <v>257</v>
      </c>
      <c r="M873" t="str">
        <f t="shared" ca="1" si="139"/>
        <v>Safe</v>
      </c>
    </row>
    <row r="874" spans="1:13" x14ac:dyDescent="0.25">
      <c r="A874" t="str">
        <f t="shared" si="130"/>
        <v>M873</v>
      </c>
      <c r="B874" t="str" cm="1">
        <f t="array" aca="1" ref="B874" ca="1">INDEX({"Paracetamol","Amoxicillin","Ibuprofen","Cetirizine","Metformin","Amlodipine","Omeprazole","Azithromycin","Losartan","Vitamin C"}, RANDBETWEEN(1,10))</f>
        <v>Metformin</v>
      </c>
      <c r="C874" t="str" cm="1">
        <f t="array" aca="1" ref="C874" ca="1">INDEX({"Painkiller","Antibiotic","Painkiller","Antihistamine","Diabetes","Hypertension","Antacid","Antibiotic","Hypertension","Supplement"},
MATCH(B874,{"Paracetamol","Amoxicillin","Ibuprofen","Cetirizine","Metformin","Amlodipine","Omeprazole","Azithromycin","Losartan","Vitamin C"},0))</f>
        <v>Diabetes</v>
      </c>
      <c r="D874" t="str" cm="1">
        <f t="array" aca="1" ref="D874" ca="1">INDEX({"MedSupply Co","HealthCorp","PharmaPlus","GlobalMed"}, RANDBETWEEN(1,4))</f>
        <v>HealthCorp</v>
      </c>
      <c r="E874">
        <f t="shared" ca="1" si="131"/>
        <v>34</v>
      </c>
      <c r="F874">
        <f t="shared" ca="1" si="132"/>
        <v>20</v>
      </c>
      <c r="G874">
        <f t="shared" ca="1" si="133"/>
        <v>0.76</v>
      </c>
      <c r="H874" s="1">
        <f t="shared" ca="1" si="134"/>
        <v>46459</v>
      </c>
      <c r="I874" s="1">
        <f t="shared" ca="1" si="135"/>
        <v>46000</v>
      </c>
      <c r="J874">
        <f t="shared" ca="1" si="136"/>
        <v>25.84</v>
      </c>
      <c r="K874" t="str">
        <f t="shared" ca="1" si="137"/>
        <v>In Stock</v>
      </c>
      <c r="L874" s="2">
        <f t="shared" ca="1" si="138"/>
        <v>340</v>
      </c>
      <c r="M874" t="str">
        <f t="shared" ca="1" si="139"/>
        <v>Safe</v>
      </c>
    </row>
    <row r="875" spans="1:13" x14ac:dyDescent="0.25">
      <c r="A875" t="str">
        <f t="shared" si="130"/>
        <v>M874</v>
      </c>
      <c r="B875" t="str" cm="1">
        <f t="array" aca="1" ref="B875" ca="1">INDEX({"Paracetamol","Amoxicillin","Ibuprofen","Cetirizine","Metformin","Amlodipine","Omeprazole","Azithromycin","Losartan","Vitamin C"}, RANDBETWEEN(1,10))</f>
        <v>Amoxicillin</v>
      </c>
      <c r="C875" t="str" cm="1">
        <f t="array" aca="1" ref="C875" ca="1">INDEX({"Painkiller","Antibiotic","Painkiller","Antihistamine","Diabetes","Hypertension","Antacid","Antibiotic","Hypertension","Supplement"},
MATCH(B875,{"Paracetamol","Amoxicillin","Ibuprofen","Cetirizine","Metformin","Amlodipine","Omeprazole","Azithromycin","Losartan","Vitamin C"},0))</f>
        <v>Antibiotic</v>
      </c>
      <c r="D875" t="str" cm="1">
        <f t="array" aca="1" ref="D875" ca="1">INDEX({"MedSupply Co","HealthCorp","PharmaPlus","GlobalMed"}, RANDBETWEEN(1,4))</f>
        <v>HealthCorp</v>
      </c>
      <c r="E875">
        <f t="shared" ca="1" si="131"/>
        <v>79</v>
      </c>
      <c r="F875">
        <f t="shared" ca="1" si="132"/>
        <v>58</v>
      </c>
      <c r="G875">
        <f t="shared" ca="1" si="133"/>
        <v>0.63</v>
      </c>
      <c r="H875" s="1">
        <f t="shared" ca="1" si="134"/>
        <v>46151</v>
      </c>
      <c r="I875" s="1">
        <f t="shared" ca="1" si="135"/>
        <v>46047</v>
      </c>
      <c r="J875">
        <f t="shared" ca="1" si="136"/>
        <v>49.77</v>
      </c>
      <c r="K875" t="str">
        <f t="shared" ca="1" si="137"/>
        <v>In Stock</v>
      </c>
      <c r="L875" s="2">
        <f t="shared" ca="1" si="138"/>
        <v>32</v>
      </c>
      <c r="M875" t="str">
        <f t="shared" ca="1" si="139"/>
        <v>Safe</v>
      </c>
    </row>
    <row r="876" spans="1:13" x14ac:dyDescent="0.25">
      <c r="A876" t="str">
        <f t="shared" si="130"/>
        <v>M875</v>
      </c>
      <c r="B876" t="str" cm="1">
        <f t="array" aca="1" ref="B876" ca="1">INDEX({"Paracetamol","Amoxicillin","Ibuprofen","Cetirizine","Metformin","Amlodipine","Omeprazole","Azithromycin","Losartan","Vitamin C"}, RANDBETWEEN(1,10))</f>
        <v>Losartan</v>
      </c>
      <c r="C876" t="str" cm="1">
        <f t="array" aca="1" ref="C876" ca="1">INDEX({"Painkiller","Antibiotic","Painkiller","Antihistamine","Diabetes","Hypertension","Antacid","Antibiotic","Hypertension","Supplement"},
MATCH(B876,{"Paracetamol","Amoxicillin","Ibuprofen","Cetirizine","Metformin","Amlodipine","Omeprazole","Azithromycin","Losartan","Vitamin C"},0))</f>
        <v>Hypertension</v>
      </c>
      <c r="D876" t="str" cm="1">
        <f t="array" aca="1" ref="D876" ca="1">INDEX({"MedSupply Co","HealthCorp","PharmaPlus","GlobalMed"}, RANDBETWEEN(1,4))</f>
        <v>PharmaPlus</v>
      </c>
      <c r="E876">
        <f t="shared" ca="1" si="131"/>
        <v>155</v>
      </c>
      <c r="F876">
        <f t="shared" ca="1" si="132"/>
        <v>33</v>
      </c>
      <c r="G876">
        <f t="shared" ca="1" si="133"/>
        <v>1.06</v>
      </c>
      <c r="H876" s="1">
        <f t="shared" ca="1" si="134"/>
        <v>46351</v>
      </c>
      <c r="I876" s="1">
        <f t="shared" ca="1" si="135"/>
        <v>46057</v>
      </c>
      <c r="J876">
        <f t="shared" ca="1" si="136"/>
        <v>164.3</v>
      </c>
      <c r="K876" t="str">
        <f t="shared" ca="1" si="137"/>
        <v>In Stock</v>
      </c>
      <c r="L876" s="2">
        <f t="shared" ca="1" si="138"/>
        <v>232</v>
      </c>
      <c r="M876" t="str">
        <f t="shared" ca="1" si="139"/>
        <v>Safe</v>
      </c>
    </row>
    <row r="877" spans="1:13" x14ac:dyDescent="0.25">
      <c r="A877" t="str">
        <f t="shared" si="130"/>
        <v>M876</v>
      </c>
      <c r="B877" t="str" cm="1">
        <f t="array" aca="1" ref="B877" ca="1">INDEX({"Paracetamol","Amoxicillin","Ibuprofen","Cetirizine","Metformin","Amlodipine","Omeprazole","Azithromycin","Losartan","Vitamin C"}, RANDBETWEEN(1,10))</f>
        <v>Losartan</v>
      </c>
      <c r="C877" t="str" cm="1">
        <f t="array" aca="1" ref="C877" ca="1">INDEX({"Painkiller","Antibiotic","Painkiller","Antihistamine","Diabetes","Hypertension","Antacid","Antibiotic","Hypertension","Supplement"},
MATCH(B877,{"Paracetamol","Amoxicillin","Ibuprofen","Cetirizine","Metformin","Amlodipine","Omeprazole","Azithromycin","Losartan","Vitamin C"},0))</f>
        <v>Hypertension</v>
      </c>
      <c r="D877" t="str" cm="1">
        <f t="array" aca="1" ref="D877" ca="1">INDEX({"MedSupply Co","HealthCorp","PharmaPlus","GlobalMed"}, RANDBETWEEN(1,4))</f>
        <v>MedSupply Co</v>
      </c>
      <c r="E877">
        <f t="shared" ca="1" si="131"/>
        <v>17</v>
      </c>
      <c r="F877">
        <f t="shared" ca="1" si="132"/>
        <v>86</v>
      </c>
      <c r="G877">
        <f t="shared" ca="1" si="133"/>
        <v>1.88</v>
      </c>
      <c r="H877" s="1">
        <f t="shared" ca="1" si="134"/>
        <v>46273</v>
      </c>
      <c r="I877" s="1">
        <f t="shared" ca="1" si="135"/>
        <v>46112</v>
      </c>
      <c r="J877">
        <f t="shared" ca="1" si="136"/>
        <v>31.959999999999997</v>
      </c>
      <c r="K877" t="str">
        <f t="shared" ca="1" si="137"/>
        <v>Low Stock</v>
      </c>
      <c r="L877" s="2">
        <f t="shared" ca="1" si="138"/>
        <v>154</v>
      </c>
      <c r="M877" t="str">
        <f t="shared" ca="1" si="139"/>
        <v>Safe</v>
      </c>
    </row>
    <row r="878" spans="1:13" x14ac:dyDescent="0.25">
      <c r="A878" t="str">
        <f t="shared" si="130"/>
        <v>M877</v>
      </c>
      <c r="B878" t="str" cm="1">
        <f t="array" aca="1" ref="B878" ca="1">INDEX({"Paracetamol","Amoxicillin","Ibuprofen","Cetirizine","Metformin","Amlodipine","Omeprazole","Azithromycin","Losartan","Vitamin C"}, RANDBETWEEN(1,10))</f>
        <v>Amoxicillin</v>
      </c>
      <c r="C878" t="str" cm="1">
        <f t="array" aca="1" ref="C878" ca="1">INDEX({"Painkiller","Antibiotic","Painkiller","Antihistamine","Diabetes","Hypertension","Antacid","Antibiotic","Hypertension","Supplement"},
MATCH(B878,{"Paracetamol","Amoxicillin","Ibuprofen","Cetirizine","Metformin","Amlodipine","Omeprazole","Azithromycin","Losartan","Vitamin C"},0))</f>
        <v>Antibiotic</v>
      </c>
      <c r="D878" t="str" cm="1">
        <f t="array" aca="1" ref="D878" ca="1">INDEX({"MedSupply Co","HealthCorp","PharmaPlus","GlobalMed"}, RANDBETWEEN(1,4))</f>
        <v>GlobalMed</v>
      </c>
      <c r="E878">
        <f t="shared" ca="1" si="131"/>
        <v>99</v>
      </c>
      <c r="F878">
        <f t="shared" ca="1" si="132"/>
        <v>39</v>
      </c>
      <c r="G878">
        <f t="shared" ca="1" si="133"/>
        <v>1.6</v>
      </c>
      <c r="H878" s="1">
        <f t="shared" ca="1" si="134"/>
        <v>46433</v>
      </c>
      <c r="I878" s="1">
        <f t="shared" ca="1" si="135"/>
        <v>46100</v>
      </c>
      <c r="J878">
        <f t="shared" ca="1" si="136"/>
        <v>158.4</v>
      </c>
      <c r="K878" t="str">
        <f t="shared" ca="1" si="137"/>
        <v>In Stock</v>
      </c>
      <c r="L878" s="2">
        <f t="shared" ca="1" si="138"/>
        <v>314</v>
      </c>
      <c r="M878" t="str">
        <f t="shared" ca="1" si="139"/>
        <v>Safe</v>
      </c>
    </row>
    <row r="879" spans="1:13" x14ac:dyDescent="0.25">
      <c r="A879" t="str">
        <f t="shared" si="130"/>
        <v>M878</v>
      </c>
      <c r="B879" t="str" cm="1">
        <f t="array" aca="1" ref="B879" ca="1">INDEX({"Paracetamol","Amoxicillin","Ibuprofen","Cetirizine","Metformin","Amlodipine","Omeprazole","Azithromycin","Losartan","Vitamin C"}, RANDBETWEEN(1,10))</f>
        <v>Vitamin C</v>
      </c>
      <c r="C879" t="str" cm="1">
        <f t="array" aca="1" ref="C879" ca="1">INDEX({"Painkiller","Antibiotic","Painkiller","Antihistamine","Diabetes","Hypertension","Antacid","Antibiotic","Hypertension","Supplement"},
MATCH(B879,{"Paracetamol","Amoxicillin","Ibuprofen","Cetirizine","Metformin","Amlodipine","Omeprazole","Azithromycin","Losartan","Vitamin C"},0))</f>
        <v>Supplement</v>
      </c>
      <c r="D879" t="str" cm="1">
        <f t="array" aca="1" ref="D879" ca="1">INDEX({"MedSupply Co","HealthCorp","PharmaPlus","GlobalMed"}, RANDBETWEEN(1,4))</f>
        <v>MedSupply Co</v>
      </c>
      <c r="E879">
        <f t="shared" ca="1" si="131"/>
        <v>24</v>
      </c>
      <c r="F879">
        <f t="shared" ca="1" si="132"/>
        <v>42</v>
      </c>
      <c r="G879">
        <f t="shared" ca="1" si="133"/>
        <v>1.21</v>
      </c>
      <c r="H879" s="1">
        <f t="shared" ca="1" si="134"/>
        <v>46165</v>
      </c>
      <c r="I879" s="1">
        <f t="shared" ca="1" si="135"/>
        <v>45943</v>
      </c>
      <c r="J879">
        <f t="shared" ca="1" si="136"/>
        <v>29.04</v>
      </c>
      <c r="K879" t="str">
        <f t="shared" ca="1" si="137"/>
        <v>Low Stock</v>
      </c>
      <c r="L879" s="2">
        <f t="shared" ca="1" si="138"/>
        <v>46</v>
      </c>
      <c r="M879" t="str">
        <f t="shared" ca="1" si="139"/>
        <v>Safe</v>
      </c>
    </row>
    <row r="880" spans="1:13" x14ac:dyDescent="0.25">
      <c r="A880" t="str">
        <f t="shared" si="130"/>
        <v>M879</v>
      </c>
      <c r="B880" t="str" cm="1">
        <f t="array" aca="1" ref="B880" ca="1">INDEX({"Paracetamol","Amoxicillin","Ibuprofen","Cetirizine","Metformin","Amlodipine","Omeprazole","Azithromycin","Losartan","Vitamin C"}, RANDBETWEEN(1,10))</f>
        <v>Azithromycin</v>
      </c>
      <c r="C880" t="str" cm="1">
        <f t="array" aca="1" ref="C880" ca="1">INDEX({"Painkiller","Antibiotic","Painkiller","Antihistamine","Diabetes","Hypertension","Antacid","Antibiotic","Hypertension","Supplement"},
MATCH(B880,{"Paracetamol","Amoxicillin","Ibuprofen","Cetirizine","Metformin","Amlodipine","Omeprazole","Azithromycin","Losartan","Vitamin C"},0))</f>
        <v>Antibiotic</v>
      </c>
      <c r="D880" t="str" cm="1">
        <f t="array" aca="1" ref="D880" ca="1">INDEX({"MedSupply Co","HealthCorp","PharmaPlus","GlobalMed"}, RANDBETWEEN(1,4))</f>
        <v>MedSupply Co</v>
      </c>
      <c r="E880">
        <f t="shared" ca="1" si="131"/>
        <v>79</v>
      </c>
      <c r="F880">
        <f t="shared" ca="1" si="132"/>
        <v>94</v>
      </c>
      <c r="G880">
        <f t="shared" ca="1" si="133"/>
        <v>1.59</v>
      </c>
      <c r="H880" s="1">
        <f t="shared" ca="1" si="134"/>
        <v>46390</v>
      </c>
      <c r="I880" s="1">
        <f t="shared" ca="1" si="135"/>
        <v>45968</v>
      </c>
      <c r="J880">
        <f t="shared" ca="1" si="136"/>
        <v>125.61</v>
      </c>
      <c r="K880" t="str">
        <f t="shared" ca="1" si="137"/>
        <v>Low Stock</v>
      </c>
      <c r="L880" s="2">
        <f t="shared" ca="1" si="138"/>
        <v>271</v>
      </c>
      <c r="M880" t="str">
        <f t="shared" ca="1" si="139"/>
        <v>Safe</v>
      </c>
    </row>
    <row r="881" spans="1:13" x14ac:dyDescent="0.25">
      <c r="A881" t="str">
        <f t="shared" si="130"/>
        <v>M880</v>
      </c>
      <c r="B881" t="str" cm="1">
        <f t="array" aca="1" ref="B881" ca="1">INDEX({"Paracetamol","Amoxicillin","Ibuprofen","Cetirizine","Metformin","Amlodipine","Omeprazole","Azithromycin","Losartan","Vitamin C"}, RANDBETWEEN(1,10))</f>
        <v>Omeprazole</v>
      </c>
      <c r="C881" t="str" cm="1">
        <f t="array" aca="1" ref="C881" ca="1">INDEX({"Painkiller","Antibiotic","Painkiller","Antihistamine","Diabetes","Hypertension","Antacid","Antibiotic","Hypertension","Supplement"},
MATCH(B881,{"Paracetamol","Amoxicillin","Ibuprofen","Cetirizine","Metformin","Amlodipine","Omeprazole","Azithromycin","Losartan","Vitamin C"},0))</f>
        <v>Antacid</v>
      </c>
      <c r="D881" t="str" cm="1">
        <f t="array" aca="1" ref="D881" ca="1">INDEX({"MedSupply Co","HealthCorp","PharmaPlus","GlobalMed"}, RANDBETWEEN(1,4))</f>
        <v>PharmaPlus</v>
      </c>
      <c r="E881">
        <f t="shared" ca="1" si="131"/>
        <v>51</v>
      </c>
      <c r="F881">
        <f t="shared" ca="1" si="132"/>
        <v>47</v>
      </c>
      <c r="G881">
        <f t="shared" ca="1" si="133"/>
        <v>1.01</v>
      </c>
      <c r="H881" s="1">
        <f t="shared" ca="1" si="134"/>
        <v>46362</v>
      </c>
      <c r="I881" s="1">
        <f t="shared" ca="1" si="135"/>
        <v>46076</v>
      </c>
      <c r="J881">
        <f t="shared" ca="1" si="136"/>
        <v>51.51</v>
      </c>
      <c r="K881" t="str">
        <f t="shared" ca="1" si="137"/>
        <v>In Stock</v>
      </c>
      <c r="L881" s="2">
        <f t="shared" ca="1" si="138"/>
        <v>243</v>
      </c>
      <c r="M881" t="str">
        <f t="shared" ca="1" si="139"/>
        <v>Safe</v>
      </c>
    </row>
    <row r="882" spans="1:13" x14ac:dyDescent="0.25">
      <c r="A882" t="str">
        <f t="shared" si="130"/>
        <v>M881</v>
      </c>
      <c r="B882" t="str" cm="1">
        <f t="array" aca="1" ref="B882" ca="1">INDEX({"Paracetamol","Amoxicillin","Ibuprofen","Cetirizine","Metformin","Amlodipine","Omeprazole","Azithromycin","Losartan","Vitamin C"}, RANDBETWEEN(1,10))</f>
        <v>Amlodipine</v>
      </c>
      <c r="C882" t="str" cm="1">
        <f t="array" aca="1" ref="C882" ca="1">INDEX({"Painkiller","Antibiotic","Painkiller","Antihistamine","Diabetes","Hypertension","Antacid","Antibiotic","Hypertension","Supplement"},
MATCH(B882,{"Paracetamol","Amoxicillin","Ibuprofen","Cetirizine","Metformin","Amlodipine","Omeprazole","Azithromycin","Losartan","Vitamin C"},0))</f>
        <v>Hypertension</v>
      </c>
      <c r="D882" t="str" cm="1">
        <f t="array" aca="1" ref="D882" ca="1">INDEX({"MedSupply Co","HealthCorp","PharmaPlus","GlobalMed"}, RANDBETWEEN(1,4))</f>
        <v>GlobalMed</v>
      </c>
      <c r="E882">
        <f t="shared" ca="1" si="131"/>
        <v>140</v>
      </c>
      <c r="F882">
        <f t="shared" ca="1" si="132"/>
        <v>46</v>
      </c>
      <c r="G882">
        <f t="shared" ca="1" si="133"/>
        <v>1.31</v>
      </c>
      <c r="H882" s="1">
        <f t="shared" ca="1" si="134"/>
        <v>46339</v>
      </c>
      <c r="I882" s="1">
        <f t="shared" ca="1" si="135"/>
        <v>46083</v>
      </c>
      <c r="J882">
        <f t="shared" ca="1" si="136"/>
        <v>183.4</v>
      </c>
      <c r="K882" t="str">
        <f t="shared" ca="1" si="137"/>
        <v>In Stock</v>
      </c>
      <c r="L882" s="2">
        <f t="shared" ca="1" si="138"/>
        <v>220</v>
      </c>
      <c r="M882" t="str">
        <f t="shared" ca="1" si="139"/>
        <v>Safe</v>
      </c>
    </row>
    <row r="883" spans="1:13" x14ac:dyDescent="0.25">
      <c r="A883" t="str">
        <f t="shared" si="130"/>
        <v>M882</v>
      </c>
      <c r="B883" t="str" cm="1">
        <f t="array" aca="1" ref="B883" ca="1">INDEX({"Paracetamol","Amoxicillin","Ibuprofen","Cetirizine","Metformin","Amlodipine","Omeprazole","Azithromycin","Losartan","Vitamin C"}, RANDBETWEEN(1,10))</f>
        <v>Vitamin C</v>
      </c>
      <c r="C883" t="str" cm="1">
        <f t="array" aca="1" ref="C883" ca="1">INDEX({"Painkiller","Antibiotic","Painkiller","Antihistamine","Diabetes","Hypertension","Antacid","Antibiotic","Hypertension","Supplement"},
MATCH(B883,{"Paracetamol","Amoxicillin","Ibuprofen","Cetirizine","Metformin","Amlodipine","Omeprazole","Azithromycin","Losartan","Vitamin C"},0))</f>
        <v>Supplement</v>
      </c>
      <c r="D883" t="str" cm="1">
        <f t="array" aca="1" ref="D883" ca="1">INDEX({"MedSupply Co","HealthCorp","PharmaPlus","GlobalMed"}, RANDBETWEEN(1,4))</f>
        <v>HealthCorp</v>
      </c>
      <c r="E883">
        <f t="shared" ca="1" si="131"/>
        <v>141</v>
      </c>
      <c r="F883">
        <f t="shared" ca="1" si="132"/>
        <v>65</v>
      </c>
      <c r="G883">
        <f t="shared" ca="1" si="133"/>
        <v>0.72</v>
      </c>
      <c r="H883" s="1">
        <f t="shared" ca="1" si="134"/>
        <v>46238</v>
      </c>
      <c r="I883" s="1">
        <f t="shared" ca="1" si="135"/>
        <v>46023</v>
      </c>
      <c r="J883">
        <f t="shared" ca="1" si="136"/>
        <v>101.52</v>
      </c>
      <c r="K883" t="str">
        <f t="shared" ca="1" si="137"/>
        <v>In Stock</v>
      </c>
      <c r="L883" s="2">
        <f t="shared" ca="1" si="138"/>
        <v>119</v>
      </c>
      <c r="M883" t="str">
        <f t="shared" ca="1" si="139"/>
        <v>Safe</v>
      </c>
    </row>
    <row r="884" spans="1:13" x14ac:dyDescent="0.25">
      <c r="A884" t="str">
        <f t="shared" si="130"/>
        <v>M883</v>
      </c>
      <c r="B884" t="str" cm="1">
        <f t="array" aca="1" ref="B884" ca="1">INDEX({"Paracetamol","Amoxicillin","Ibuprofen","Cetirizine","Metformin","Amlodipine","Omeprazole","Azithromycin","Losartan","Vitamin C"}, RANDBETWEEN(1,10))</f>
        <v>Vitamin C</v>
      </c>
      <c r="C884" t="str" cm="1">
        <f t="array" aca="1" ref="C884" ca="1">INDEX({"Painkiller","Antibiotic","Painkiller","Antihistamine","Diabetes","Hypertension","Antacid","Antibiotic","Hypertension","Supplement"},
MATCH(B884,{"Paracetamol","Amoxicillin","Ibuprofen","Cetirizine","Metformin","Amlodipine","Omeprazole","Azithromycin","Losartan","Vitamin C"},0))</f>
        <v>Supplement</v>
      </c>
      <c r="D884" t="str" cm="1">
        <f t="array" aca="1" ref="D884" ca="1">INDEX({"MedSupply Co","HealthCorp","PharmaPlus","GlobalMed"}, RANDBETWEEN(1,4))</f>
        <v>HealthCorp</v>
      </c>
      <c r="E884">
        <f t="shared" ca="1" si="131"/>
        <v>117</v>
      </c>
      <c r="F884">
        <f t="shared" ca="1" si="132"/>
        <v>86</v>
      </c>
      <c r="G884">
        <f t="shared" ca="1" si="133"/>
        <v>0.72</v>
      </c>
      <c r="H884" s="1">
        <f t="shared" ca="1" si="134"/>
        <v>46202</v>
      </c>
      <c r="I884" s="1">
        <f t="shared" ca="1" si="135"/>
        <v>46061</v>
      </c>
      <c r="J884">
        <f t="shared" ca="1" si="136"/>
        <v>84.24</v>
      </c>
      <c r="K884" t="str">
        <f t="shared" ca="1" si="137"/>
        <v>In Stock</v>
      </c>
      <c r="L884" s="2">
        <f t="shared" ca="1" si="138"/>
        <v>83</v>
      </c>
      <c r="M884" t="str">
        <f t="shared" ca="1" si="139"/>
        <v>Safe</v>
      </c>
    </row>
    <row r="885" spans="1:13" x14ac:dyDescent="0.25">
      <c r="A885" t="str">
        <f t="shared" si="130"/>
        <v>M884</v>
      </c>
      <c r="B885" t="str" cm="1">
        <f t="array" aca="1" ref="B885" ca="1">INDEX({"Paracetamol","Amoxicillin","Ibuprofen","Cetirizine","Metformin","Amlodipine","Omeprazole","Azithromycin","Losartan","Vitamin C"}, RANDBETWEEN(1,10))</f>
        <v>Vitamin C</v>
      </c>
      <c r="C885" t="str" cm="1">
        <f t="array" aca="1" ref="C885" ca="1">INDEX({"Painkiller","Antibiotic","Painkiller","Antihistamine","Diabetes","Hypertension","Antacid","Antibiotic","Hypertension","Supplement"},
MATCH(B885,{"Paracetamol","Amoxicillin","Ibuprofen","Cetirizine","Metformin","Amlodipine","Omeprazole","Azithromycin","Losartan","Vitamin C"},0))</f>
        <v>Supplement</v>
      </c>
      <c r="D885" t="str" cm="1">
        <f t="array" aca="1" ref="D885" ca="1">INDEX({"MedSupply Co","HealthCorp","PharmaPlus","GlobalMed"}, RANDBETWEEN(1,4))</f>
        <v>MedSupply Co</v>
      </c>
      <c r="E885">
        <f t="shared" ca="1" si="131"/>
        <v>90</v>
      </c>
      <c r="F885">
        <f t="shared" ca="1" si="132"/>
        <v>75</v>
      </c>
      <c r="G885">
        <f t="shared" ca="1" si="133"/>
        <v>1.59</v>
      </c>
      <c r="H885" s="1">
        <f t="shared" ca="1" si="134"/>
        <v>46163</v>
      </c>
      <c r="I885" s="1">
        <f t="shared" ca="1" si="135"/>
        <v>45940</v>
      </c>
      <c r="J885">
        <f t="shared" ca="1" si="136"/>
        <v>143.1</v>
      </c>
      <c r="K885" t="str">
        <f t="shared" ca="1" si="137"/>
        <v>In Stock</v>
      </c>
      <c r="L885" s="2">
        <f t="shared" ca="1" si="138"/>
        <v>44</v>
      </c>
      <c r="M885" t="str">
        <f t="shared" ca="1" si="139"/>
        <v>Safe</v>
      </c>
    </row>
    <row r="886" spans="1:13" x14ac:dyDescent="0.25">
      <c r="A886" t="str">
        <f t="shared" si="130"/>
        <v>M885</v>
      </c>
      <c r="B886" t="str" cm="1">
        <f t="array" aca="1" ref="B886" ca="1">INDEX({"Paracetamol","Amoxicillin","Ibuprofen","Cetirizine","Metformin","Amlodipine","Omeprazole","Azithromycin","Losartan","Vitamin C"}, RANDBETWEEN(1,10))</f>
        <v>Metformin</v>
      </c>
      <c r="C886" t="str" cm="1">
        <f t="array" aca="1" ref="C886" ca="1">INDEX({"Painkiller","Antibiotic","Painkiller","Antihistamine","Diabetes","Hypertension","Antacid","Antibiotic","Hypertension","Supplement"},
MATCH(B886,{"Paracetamol","Amoxicillin","Ibuprofen","Cetirizine","Metformin","Amlodipine","Omeprazole","Azithromycin","Losartan","Vitamin C"},0))</f>
        <v>Diabetes</v>
      </c>
      <c r="D886" t="str" cm="1">
        <f t="array" aca="1" ref="D886" ca="1">INDEX({"MedSupply Co","HealthCorp","PharmaPlus","GlobalMed"}, RANDBETWEEN(1,4))</f>
        <v>MedSupply Co</v>
      </c>
      <c r="E886">
        <f t="shared" ca="1" si="131"/>
        <v>177</v>
      </c>
      <c r="F886">
        <f t="shared" ca="1" si="132"/>
        <v>96</v>
      </c>
      <c r="G886">
        <f t="shared" ca="1" si="133"/>
        <v>1.96</v>
      </c>
      <c r="H886" s="1">
        <f t="shared" ca="1" si="134"/>
        <v>46350</v>
      </c>
      <c r="I886" s="1">
        <f t="shared" ca="1" si="135"/>
        <v>45982</v>
      </c>
      <c r="J886">
        <f t="shared" ca="1" si="136"/>
        <v>346.92</v>
      </c>
      <c r="K886" t="str">
        <f t="shared" ca="1" si="137"/>
        <v>In Stock</v>
      </c>
      <c r="L886" s="2">
        <f t="shared" ca="1" si="138"/>
        <v>231</v>
      </c>
      <c r="M886" t="str">
        <f t="shared" ca="1" si="139"/>
        <v>Safe</v>
      </c>
    </row>
    <row r="887" spans="1:13" x14ac:dyDescent="0.25">
      <c r="A887" t="str">
        <f t="shared" si="130"/>
        <v>M886</v>
      </c>
      <c r="B887" t="str" cm="1">
        <f t="array" aca="1" ref="B887" ca="1">INDEX({"Paracetamol","Amoxicillin","Ibuprofen","Cetirizine","Metformin","Amlodipine","Omeprazole","Azithromycin","Losartan","Vitamin C"}, RANDBETWEEN(1,10))</f>
        <v>Cetirizine</v>
      </c>
      <c r="C887" t="str" cm="1">
        <f t="array" aca="1" ref="C887" ca="1">INDEX({"Painkiller","Antibiotic","Painkiller","Antihistamine","Diabetes","Hypertension","Antacid","Antibiotic","Hypertension","Supplement"},
MATCH(B887,{"Paracetamol","Amoxicillin","Ibuprofen","Cetirizine","Metformin","Amlodipine","Omeprazole","Azithromycin","Losartan","Vitamin C"},0))</f>
        <v>Antihistamine</v>
      </c>
      <c r="D887" t="str" cm="1">
        <f t="array" aca="1" ref="D887" ca="1">INDEX({"MedSupply Co","HealthCorp","PharmaPlus","GlobalMed"}, RANDBETWEEN(1,4))</f>
        <v>GlobalMed</v>
      </c>
      <c r="E887">
        <f t="shared" ca="1" si="131"/>
        <v>123</v>
      </c>
      <c r="F887">
        <f t="shared" ca="1" si="132"/>
        <v>26</v>
      </c>
      <c r="G887">
        <f t="shared" ca="1" si="133"/>
        <v>0.56999999999999995</v>
      </c>
      <c r="H887" s="1">
        <f t="shared" ca="1" si="134"/>
        <v>46480</v>
      </c>
      <c r="I887" s="1">
        <f t="shared" ca="1" si="135"/>
        <v>46013</v>
      </c>
      <c r="J887">
        <f t="shared" ca="1" si="136"/>
        <v>70.11</v>
      </c>
      <c r="K887" t="str">
        <f t="shared" ca="1" si="137"/>
        <v>In Stock</v>
      </c>
      <c r="L887" s="2">
        <f t="shared" ca="1" si="138"/>
        <v>361</v>
      </c>
      <c r="M887" t="str">
        <f t="shared" ca="1" si="139"/>
        <v>Safe</v>
      </c>
    </row>
    <row r="888" spans="1:13" x14ac:dyDescent="0.25">
      <c r="A888" t="str">
        <f t="shared" si="130"/>
        <v>M887</v>
      </c>
      <c r="B888" t="str" cm="1">
        <f t="array" aca="1" ref="B888" ca="1">INDEX({"Paracetamol","Amoxicillin","Ibuprofen","Cetirizine","Metformin","Amlodipine","Omeprazole","Azithromycin","Losartan","Vitamin C"}, RANDBETWEEN(1,10))</f>
        <v>Azithromycin</v>
      </c>
      <c r="C888" t="str" cm="1">
        <f t="array" aca="1" ref="C888" ca="1">INDEX({"Painkiller","Antibiotic","Painkiller","Antihistamine","Diabetes","Hypertension","Antacid","Antibiotic","Hypertension","Supplement"},
MATCH(B888,{"Paracetamol","Amoxicillin","Ibuprofen","Cetirizine","Metformin","Amlodipine","Omeprazole","Azithromycin","Losartan","Vitamin C"},0))</f>
        <v>Antibiotic</v>
      </c>
      <c r="D888" t="str" cm="1">
        <f t="array" aca="1" ref="D888" ca="1">INDEX({"MedSupply Co","HealthCorp","PharmaPlus","GlobalMed"}, RANDBETWEEN(1,4))</f>
        <v>GlobalMed</v>
      </c>
      <c r="E888">
        <f t="shared" ca="1" si="131"/>
        <v>151</v>
      </c>
      <c r="F888">
        <f t="shared" ca="1" si="132"/>
        <v>25</v>
      </c>
      <c r="G888">
        <f t="shared" ca="1" si="133"/>
        <v>1.73</v>
      </c>
      <c r="H888" s="1">
        <f t="shared" ca="1" si="134"/>
        <v>46269</v>
      </c>
      <c r="I888" s="1">
        <f t="shared" ca="1" si="135"/>
        <v>45943</v>
      </c>
      <c r="J888">
        <f t="shared" ca="1" si="136"/>
        <v>261.23</v>
      </c>
      <c r="K888" t="str">
        <f t="shared" ca="1" si="137"/>
        <v>In Stock</v>
      </c>
      <c r="L888" s="2">
        <f t="shared" ca="1" si="138"/>
        <v>150</v>
      </c>
      <c r="M888" t="str">
        <f t="shared" ca="1" si="139"/>
        <v>Safe</v>
      </c>
    </row>
    <row r="889" spans="1:13" x14ac:dyDescent="0.25">
      <c r="A889" t="str">
        <f t="shared" si="130"/>
        <v>M888</v>
      </c>
      <c r="B889" t="str" cm="1">
        <f t="array" aca="1" ref="B889" ca="1">INDEX({"Paracetamol","Amoxicillin","Ibuprofen","Cetirizine","Metformin","Amlodipine","Omeprazole","Azithromycin","Losartan","Vitamin C"}, RANDBETWEEN(1,10))</f>
        <v>Cetirizine</v>
      </c>
      <c r="C889" t="str" cm="1">
        <f t="array" aca="1" ref="C889" ca="1">INDEX({"Painkiller","Antibiotic","Painkiller","Antihistamine","Diabetes","Hypertension","Antacid","Antibiotic","Hypertension","Supplement"},
MATCH(B889,{"Paracetamol","Amoxicillin","Ibuprofen","Cetirizine","Metformin","Amlodipine","Omeprazole","Azithromycin","Losartan","Vitamin C"},0))</f>
        <v>Antihistamine</v>
      </c>
      <c r="D889" t="str" cm="1">
        <f t="array" aca="1" ref="D889" ca="1">INDEX({"MedSupply Co","HealthCorp","PharmaPlus","GlobalMed"}, RANDBETWEEN(1,4))</f>
        <v>GlobalMed</v>
      </c>
      <c r="E889">
        <f t="shared" ca="1" si="131"/>
        <v>132</v>
      </c>
      <c r="F889">
        <f t="shared" ca="1" si="132"/>
        <v>64</v>
      </c>
      <c r="G889">
        <f t="shared" ca="1" si="133"/>
        <v>0.95</v>
      </c>
      <c r="H889" s="1">
        <f t="shared" ca="1" si="134"/>
        <v>46240</v>
      </c>
      <c r="I889" s="1">
        <f t="shared" ca="1" si="135"/>
        <v>46071</v>
      </c>
      <c r="J889">
        <f t="shared" ca="1" si="136"/>
        <v>125.39999999999999</v>
      </c>
      <c r="K889" t="str">
        <f t="shared" ca="1" si="137"/>
        <v>In Stock</v>
      </c>
      <c r="L889" s="2">
        <f t="shared" ca="1" si="138"/>
        <v>121</v>
      </c>
      <c r="M889" t="str">
        <f t="shared" ca="1" si="139"/>
        <v>Safe</v>
      </c>
    </row>
    <row r="890" spans="1:13" x14ac:dyDescent="0.25">
      <c r="A890" t="str">
        <f t="shared" si="130"/>
        <v>M889</v>
      </c>
      <c r="B890" t="str" cm="1">
        <f t="array" aca="1" ref="B890" ca="1">INDEX({"Paracetamol","Amoxicillin","Ibuprofen","Cetirizine","Metformin","Amlodipine","Omeprazole","Azithromycin","Losartan","Vitamin C"}, RANDBETWEEN(1,10))</f>
        <v>Metformin</v>
      </c>
      <c r="C890" t="str" cm="1">
        <f t="array" aca="1" ref="C890" ca="1">INDEX({"Painkiller","Antibiotic","Painkiller","Antihistamine","Diabetes","Hypertension","Antacid","Antibiotic","Hypertension","Supplement"},
MATCH(B890,{"Paracetamol","Amoxicillin","Ibuprofen","Cetirizine","Metformin","Amlodipine","Omeprazole","Azithromycin","Losartan","Vitamin C"},0))</f>
        <v>Diabetes</v>
      </c>
      <c r="D890" t="str" cm="1">
        <f t="array" aca="1" ref="D890" ca="1">INDEX({"MedSupply Co","HealthCorp","PharmaPlus","GlobalMed"}, RANDBETWEEN(1,4))</f>
        <v>MedSupply Co</v>
      </c>
      <c r="E890">
        <f t="shared" ca="1" si="131"/>
        <v>2</v>
      </c>
      <c r="F890">
        <f t="shared" ca="1" si="132"/>
        <v>74</v>
      </c>
      <c r="G890">
        <f t="shared" ca="1" si="133"/>
        <v>0.55000000000000004</v>
      </c>
      <c r="H890" s="1">
        <f t="shared" ca="1" si="134"/>
        <v>46411</v>
      </c>
      <c r="I890" s="1">
        <f t="shared" ca="1" si="135"/>
        <v>46038</v>
      </c>
      <c r="J890">
        <f t="shared" ca="1" si="136"/>
        <v>1.1000000000000001</v>
      </c>
      <c r="K890" t="str">
        <f t="shared" ca="1" si="137"/>
        <v>Low Stock</v>
      </c>
      <c r="L890" s="2">
        <f t="shared" ca="1" si="138"/>
        <v>292</v>
      </c>
      <c r="M890" t="str">
        <f t="shared" ca="1" si="139"/>
        <v>Safe</v>
      </c>
    </row>
    <row r="891" spans="1:13" x14ac:dyDescent="0.25">
      <c r="A891" t="str">
        <f t="shared" si="130"/>
        <v>M890</v>
      </c>
      <c r="B891" t="str" cm="1">
        <f t="array" aca="1" ref="B891" ca="1">INDEX({"Paracetamol","Amoxicillin","Ibuprofen","Cetirizine","Metformin","Amlodipine","Omeprazole","Azithromycin","Losartan","Vitamin C"}, RANDBETWEEN(1,10))</f>
        <v>Cetirizine</v>
      </c>
      <c r="C891" t="str" cm="1">
        <f t="array" aca="1" ref="C891" ca="1">INDEX({"Painkiller","Antibiotic","Painkiller","Antihistamine","Diabetes","Hypertension","Antacid","Antibiotic","Hypertension","Supplement"},
MATCH(B891,{"Paracetamol","Amoxicillin","Ibuprofen","Cetirizine","Metformin","Amlodipine","Omeprazole","Azithromycin","Losartan","Vitamin C"},0))</f>
        <v>Antihistamine</v>
      </c>
      <c r="D891" t="str" cm="1">
        <f t="array" aca="1" ref="D891" ca="1">INDEX({"MedSupply Co","HealthCorp","PharmaPlus","GlobalMed"}, RANDBETWEEN(1,4))</f>
        <v>MedSupply Co</v>
      </c>
      <c r="E891">
        <f t="shared" ca="1" si="131"/>
        <v>158</v>
      </c>
      <c r="F891">
        <f t="shared" ca="1" si="132"/>
        <v>40</v>
      </c>
      <c r="G891">
        <f t="shared" ca="1" si="133"/>
        <v>1.61</v>
      </c>
      <c r="H891" s="1">
        <f t="shared" ca="1" si="134"/>
        <v>46224</v>
      </c>
      <c r="I891" s="1">
        <f t="shared" ca="1" si="135"/>
        <v>46005</v>
      </c>
      <c r="J891">
        <f t="shared" ca="1" si="136"/>
        <v>254.38000000000002</v>
      </c>
      <c r="K891" t="str">
        <f t="shared" ca="1" si="137"/>
        <v>In Stock</v>
      </c>
      <c r="L891" s="2">
        <f t="shared" ca="1" si="138"/>
        <v>105</v>
      </c>
      <c r="M891" t="str">
        <f t="shared" ca="1" si="139"/>
        <v>Safe</v>
      </c>
    </row>
    <row r="892" spans="1:13" x14ac:dyDescent="0.25">
      <c r="A892" t="str">
        <f t="shared" si="130"/>
        <v>M891</v>
      </c>
      <c r="B892" t="str" cm="1">
        <f t="array" aca="1" ref="B892" ca="1">INDEX({"Paracetamol","Amoxicillin","Ibuprofen","Cetirizine","Metformin","Amlodipine","Omeprazole","Azithromycin","Losartan","Vitamin C"}, RANDBETWEEN(1,10))</f>
        <v>Metformin</v>
      </c>
      <c r="C892" t="str" cm="1">
        <f t="array" aca="1" ref="C892" ca="1">INDEX({"Painkiller","Antibiotic","Painkiller","Antihistamine","Diabetes","Hypertension","Antacid","Antibiotic","Hypertension","Supplement"},
MATCH(B892,{"Paracetamol","Amoxicillin","Ibuprofen","Cetirizine","Metformin","Amlodipine","Omeprazole","Azithromycin","Losartan","Vitamin C"},0))</f>
        <v>Diabetes</v>
      </c>
      <c r="D892" t="str" cm="1">
        <f t="array" aca="1" ref="D892" ca="1">INDEX({"MedSupply Co","HealthCorp","PharmaPlus","GlobalMed"}, RANDBETWEEN(1,4))</f>
        <v>PharmaPlus</v>
      </c>
      <c r="E892">
        <f t="shared" ca="1" si="131"/>
        <v>133</v>
      </c>
      <c r="F892">
        <f t="shared" ca="1" si="132"/>
        <v>54</v>
      </c>
      <c r="G892">
        <f t="shared" ca="1" si="133"/>
        <v>1.62</v>
      </c>
      <c r="H892" s="1">
        <f t="shared" ca="1" si="134"/>
        <v>46224</v>
      </c>
      <c r="I892" s="1">
        <f t="shared" ca="1" si="135"/>
        <v>46033</v>
      </c>
      <c r="J892">
        <f t="shared" ca="1" si="136"/>
        <v>215.46</v>
      </c>
      <c r="K892" t="str">
        <f t="shared" ca="1" si="137"/>
        <v>In Stock</v>
      </c>
      <c r="L892" s="2">
        <f t="shared" ca="1" si="138"/>
        <v>105</v>
      </c>
      <c r="M892" t="str">
        <f t="shared" ca="1" si="139"/>
        <v>Safe</v>
      </c>
    </row>
    <row r="893" spans="1:13" x14ac:dyDescent="0.25">
      <c r="A893" t="str">
        <f t="shared" si="130"/>
        <v>M892</v>
      </c>
      <c r="B893" t="str" cm="1">
        <f t="array" aca="1" ref="B893" ca="1">INDEX({"Paracetamol","Amoxicillin","Ibuprofen","Cetirizine","Metformin","Amlodipine","Omeprazole","Azithromycin","Losartan","Vitamin C"}, RANDBETWEEN(1,10))</f>
        <v>Vitamin C</v>
      </c>
      <c r="C893" t="str" cm="1">
        <f t="array" aca="1" ref="C893" ca="1">INDEX({"Painkiller","Antibiotic","Painkiller","Antihistamine","Diabetes","Hypertension","Antacid","Antibiotic","Hypertension","Supplement"},
MATCH(B893,{"Paracetamol","Amoxicillin","Ibuprofen","Cetirizine","Metformin","Amlodipine","Omeprazole","Azithromycin","Losartan","Vitamin C"},0))</f>
        <v>Supplement</v>
      </c>
      <c r="D893" t="str" cm="1">
        <f t="array" aca="1" ref="D893" ca="1">INDEX({"MedSupply Co","HealthCorp","PharmaPlus","GlobalMed"}, RANDBETWEEN(1,4))</f>
        <v>PharmaPlus</v>
      </c>
      <c r="E893">
        <f t="shared" ca="1" si="131"/>
        <v>45</v>
      </c>
      <c r="F893">
        <f t="shared" ca="1" si="132"/>
        <v>75</v>
      </c>
      <c r="G893">
        <f t="shared" ca="1" si="133"/>
        <v>1.37</v>
      </c>
      <c r="H893" s="1">
        <f t="shared" ca="1" si="134"/>
        <v>46316</v>
      </c>
      <c r="I893" s="1">
        <f t="shared" ca="1" si="135"/>
        <v>46036</v>
      </c>
      <c r="J893">
        <f t="shared" ca="1" si="136"/>
        <v>61.650000000000006</v>
      </c>
      <c r="K893" t="str">
        <f t="shared" ca="1" si="137"/>
        <v>Low Stock</v>
      </c>
      <c r="L893" s="2">
        <f t="shared" ca="1" si="138"/>
        <v>197</v>
      </c>
      <c r="M893" t="str">
        <f t="shared" ca="1" si="139"/>
        <v>Safe</v>
      </c>
    </row>
    <row r="894" spans="1:13" x14ac:dyDescent="0.25">
      <c r="A894" t="str">
        <f t="shared" si="130"/>
        <v>M893</v>
      </c>
      <c r="B894" t="str" cm="1">
        <f t="array" aca="1" ref="B894" ca="1">INDEX({"Paracetamol","Amoxicillin","Ibuprofen","Cetirizine","Metformin","Amlodipine","Omeprazole","Azithromycin","Losartan","Vitamin C"}, RANDBETWEEN(1,10))</f>
        <v>Vitamin C</v>
      </c>
      <c r="C894" t="str" cm="1">
        <f t="array" aca="1" ref="C894" ca="1">INDEX({"Painkiller","Antibiotic","Painkiller","Antihistamine","Diabetes","Hypertension","Antacid","Antibiotic","Hypertension","Supplement"},
MATCH(B894,{"Paracetamol","Amoxicillin","Ibuprofen","Cetirizine","Metformin","Amlodipine","Omeprazole","Azithromycin","Losartan","Vitamin C"},0))</f>
        <v>Supplement</v>
      </c>
      <c r="D894" t="str" cm="1">
        <f t="array" aca="1" ref="D894" ca="1">INDEX({"MedSupply Co","HealthCorp","PharmaPlus","GlobalMed"}, RANDBETWEEN(1,4))</f>
        <v>PharmaPlus</v>
      </c>
      <c r="E894">
        <f t="shared" ca="1" si="131"/>
        <v>161</v>
      </c>
      <c r="F894">
        <f t="shared" ca="1" si="132"/>
        <v>68</v>
      </c>
      <c r="G894">
        <f t="shared" ca="1" si="133"/>
        <v>1.28</v>
      </c>
      <c r="H894" s="1">
        <f t="shared" ca="1" si="134"/>
        <v>46391</v>
      </c>
      <c r="I894" s="1">
        <f t="shared" ca="1" si="135"/>
        <v>46112</v>
      </c>
      <c r="J894">
        <f t="shared" ca="1" si="136"/>
        <v>206.08</v>
      </c>
      <c r="K894" t="str">
        <f t="shared" ca="1" si="137"/>
        <v>In Stock</v>
      </c>
      <c r="L894" s="2">
        <f t="shared" ca="1" si="138"/>
        <v>272</v>
      </c>
      <c r="M894" t="str">
        <f t="shared" ca="1" si="139"/>
        <v>Safe</v>
      </c>
    </row>
    <row r="895" spans="1:13" x14ac:dyDescent="0.25">
      <c r="A895" t="str">
        <f t="shared" si="130"/>
        <v>M894</v>
      </c>
      <c r="B895" t="str" cm="1">
        <f t="array" aca="1" ref="B895" ca="1">INDEX({"Paracetamol","Amoxicillin","Ibuprofen","Cetirizine","Metformin","Amlodipine","Omeprazole","Azithromycin","Losartan","Vitamin C"}, RANDBETWEEN(1,10))</f>
        <v>Metformin</v>
      </c>
      <c r="C895" t="str" cm="1">
        <f t="array" aca="1" ref="C895" ca="1">INDEX({"Painkiller","Antibiotic","Painkiller","Antihistamine","Diabetes","Hypertension","Antacid","Antibiotic","Hypertension","Supplement"},
MATCH(B895,{"Paracetamol","Amoxicillin","Ibuprofen","Cetirizine","Metformin","Amlodipine","Omeprazole","Azithromycin","Losartan","Vitamin C"},0))</f>
        <v>Diabetes</v>
      </c>
      <c r="D895" t="str" cm="1">
        <f t="array" aca="1" ref="D895" ca="1">INDEX({"MedSupply Co","HealthCorp","PharmaPlus","GlobalMed"}, RANDBETWEEN(1,4))</f>
        <v>MedSupply Co</v>
      </c>
      <c r="E895">
        <f t="shared" ca="1" si="131"/>
        <v>61</v>
      </c>
      <c r="F895">
        <f t="shared" ca="1" si="132"/>
        <v>87</v>
      </c>
      <c r="G895">
        <f t="shared" ca="1" si="133"/>
        <v>1.25</v>
      </c>
      <c r="H895" s="1">
        <f t="shared" ca="1" si="134"/>
        <v>46173</v>
      </c>
      <c r="I895" s="1">
        <f t="shared" ca="1" si="135"/>
        <v>46099</v>
      </c>
      <c r="J895">
        <f t="shared" ca="1" si="136"/>
        <v>76.25</v>
      </c>
      <c r="K895" t="str">
        <f t="shared" ca="1" si="137"/>
        <v>Low Stock</v>
      </c>
      <c r="L895" s="2">
        <f t="shared" ca="1" si="138"/>
        <v>54</v>
      </c>
      <c r="M895" t="str">
        <f t="shared" ca="1" si="139"/>
        <v>Safe</v>
      </c>
    </row>
    <row r="896" spans="1:13" x14ac:dyDescent="0.25">
      <c r="A896" t="str">
        <f t="shared" si="130"/>
        <v>M895</v>
      </c>
      <c r="B896" t="str" cm="1">
        <f t="array" aca="1" ref="B896" ca="1">INDEX({"Paracetamol","Amoxicillin","Ibuprofen","Cetirizine","Metformin","Amlodipine","Omeprazole","Azithromycin","Losartan","Vitamin C"}, RANDBETWEEN(1,10))</f>
        <v>Paracetamol</v>
      </c>
      <c r="C896" t="str" cm="1">
        <f t="array" aca="1" ref="C896" ca="1">INDEX({"Painkiller","Antibiotic","Painkiller","Antihistamine","Diabetes","Hypertension","Antacid","Antibiotic","Hypertension","Supplement"},
MATCH(B896,{"Paracetamol","Amoxicillin","Ibuprofen","Cetirizine","Metformin","Amlodipine","Omeprazole","Azithromycin","Losartan","Vitamin C"},0))</f>
        <v>Painkiller</v>
      </c>
      <c r="D896" t="str" cm="1">
        <f t="array" aca="1" ref="D896" ca="1">INDEX({"MedSupply Co","HealthCorp","PharmaPlus","GlobalMed"}, RANDBETWEEN(1,4))</f>
        <v>PharmaPlus</v>
      </c>
      <c r="E896">
        <f t="shared" ca="1" si="131"/>
        <v>154</v>
      </c>
      <c r="F896">
        <f t="shared" ca="1" si="132"/>
        <v>46</v>
      </c>
      <c r="G896">
        <f t="shared" ca="1" si="133"/>
        <v>1.33</v>
      </c>
      <c r="H896" s="1">
        <f t="shared" ca="1" si="134"/>
        <v>46347</v>
      </c>
      <c r="I896" s="1">
        <f t="shared" ca="1" si="135"/>
        <v>46026</v>
      </c>
      <c r="J896">
        <f t="shared" ca="1" si="136"/>
        <v>204.82000000000002</v>
      </c>
      <c r="K896" t="str">
        <f t="shared" ca="1" si="137"/>
        <v>In Stock</v>
      </c>
      <c r="L896" s="2">
        <f t="shared" ca="1" si="138"/>
        <v>228</v>
      </c>
      <c r="M896" t="str">
        <f t="shared" ca="1" si="139"/>
        <v>Safe</v>
      </c>
    </row>
    <row r="897" spans="1:13" x14ac:dyDescent="0.25">
      <c r="A897" t="str">
        <f t="shared" si="130"/>
        <v>M896</v>
      </c>
      <c r="B897" t="str" cm="1">
        <f t="array" aca="1" ref="B897" ca="1">INDEX({"Paracetamol","Amoxicillin","Ibuprofen","Cetirizine","Metformin","Amlodipine","Omeprazole","Azithromycin","Losartan","Vitamin C"}, RANDBETWEEN(1,10))</f>
        <v>Azithromycin</v>
      </c>
      <c r="C897" t="str" cm="1">
        <f t="array" aca="1" ref="C897" ca="1">INDEX({"Painkiller","Antibiotic","Painkiller","Antihistamine","Diabetes","Hypertension","Antacid","Antibiotic","Hypertension","Supplement"},
MATCH(B897,{"Paracetamol","Amoxicillin","Ibuprofen","Cetirizine","Metformin","Amlodipine","Omeprazole","Azithromycin","Losartan","Vitamin C"},0))</f>
        <v>Antibiotic</v>
      </c>
      <c r="D897" t="str" cm="1">
        <f t="array" aca="1" ref="D897" ca="1">INDEX({"MedSupply Co","HealthCorp","PharmaPlus","GlobalMed"}, RANDBETWEEN(1,4))</f>
        <v>GlobalMed</v>
      </c>
      <c r="E897">
        <f t="shared" ca="1" si="131"/>
        <v>153</v>
      </c>
      <c r="F897">
        <f t="shared" ca="1" si="132"/>
        <v>74</v>
      </c>
      <c r="G897">
        <f t="shared" ca="1" si="133"/>
        <v>1.05</v>
      </c>
      <c r="H897" s="1">
        <f t="shared" ca="1" si="134"/>
        <v>46334</v>
      </c>
      <c r="I897" s="1">
        <f t="shared" ca="1" si="135"/>
        <v>45999</v>
      </c>
      <c r="J897">
        <f t="shared" ca="1" si="136"/>
        <v>160.65</v>
      </c>
      <c r="K897" t="str">
        <f t="shared" ca="1" si="137"/>
        <v>In Stock</v>
      </c>
      <c r="L897" s="2">
        <f t="shared" ca="1" si="138"/>
        <v>215</v>
      </c>
      <c r="M897" t="str">
        <f t="shared" ca="1" si="139"/>
        <v>Safe</v>
      </c>
    </row>
    <row r="898" spans="1:13" x14ac:dyDescent="0.25">
      <c r="A898" t="str">
        <f t="shared" si="130"/>
        <v>M897</v>
      </c>
      <c r="B898" t="str" cm="1">
        <f t="array" aca="1" ref="B898" ca="1">INDEX({"Paracetamol","Amoxicillin","Ibuprofen","Cetirizine","Metformin","Amlodipine","Omeprazole","Azithromycin","Losartan","Vitamin C"}, RANDBETWEEN(1,10))</f>
        <v>Omeprazole</v>
      </c>
      <c r="C898" t="str" cm="1">
        <f t="array" aca="1" ref="C898" ca="1">INDEX({"Painkiller","Antibiotic","Painkiller","Antihistamine","Diabetes","Hypertension","Antacid","Antibiotic","Hypertension","Supplement"},
MATCH(B898,{"Paracetamol","Amoxicillin","Ibuprofen","Cetirizine","Metformin","Amlodipine","Omeprazole","Azithromycin","Losartan","Vitamin C"},0))</f>
        <v>Antacid</v>
      </c>
      <c r="D898" t="str" cm="1">
        <f t="array" aca="1" ref="D898" ca="1">INDEX({"MedSupply Co","HealthCorp","PharmaPlus","GlobalMed"}, RANDBETWEEN(1,4))</f>
        <v>GlobalMed</v>
      </c>
      <c r="E898">
        <f t="shared" ca="1" si="131"/>
        <v>95</v>
      </c>
      <c r="F898">
        <f t="shared" ca="1" si="132"/>
        <v>66</v>
      </c>
      <c r="G898">
        <f t="shared" ca="1" si="133"/>
        <v>0.94</v>
      </c>
      <c r="H898" s="1">
        <f t="shared" ca="1" si="134"/>
        <v>46473</v>
      </c>
      <c r="I898" s="1">
        <f t="shared" ca="1" si="135"/>
        <v>45993</v>
      </c>
      <c r="J898">
        <f t="shared" ca="1" si="136"/>
        <v>89.3</v>
      </c>
      <c r="K898" t="str">
        <f t="shared" ca="1" si="137"/>
        <v>In Stock</v>
      </c>
      <c r="L898" s="2">
        <f t="shared" ca="1" si="138"/>
        <v>354</v>
      </c>
      <c r="M898" t="str">
        <f t="shared" ca="1" si="139"/>
        <v>Safe</v>
      </c>
    </row>
    <row r="899" spans="1:13" x14ac:dyDescent="0.25">
      <c r="A899" t="str">
        <f t="shared" ref="A899:A962" si="140">"M"&amp;TEXT(ROW(A898),"000")</f>
        <v>M898</v>
      </c>
      <c r="B899" t="str" cm="1">
        <f t="array" aca="1" ref="B899" ca="1">INDEX({"Paracetamol","Amoxicillin","Ibuprofen","Cetirizine","Metformin","Amlodipine","Omeprazole","Azithromycin","Losartan","Vitamin C"}, RANDBETWEEN(1,10))</f>
        <v>Paracetamol</v>
      </c>
      <c r="C899" t="str" cm="1">
        <f t="array" aca="1" ref="C899" ca="1">INDEX({"Painkiller","Antibiotic","Painkiller","Antihistamine","Diabetes","Hypertension","Antacid","Antibiotic","Hypertension","Supplement"},
MATCH(B899,{"Paracetamol","Amoxicillin","Ibuprofen","Cetirizine","Metformin","Amlodipine","Omeprazole","Azithromycin","Losartan","Vitamin C"},0))</f>
        <v>Painkiller</v>
      </c>
      <c r="D899" t="str" cm="1">
        <f t="array" aca="1" ref="D899" ca="1">INDEX({"MedSupply Co","HealthCorp","PharmaPlus","GlobalMed"}, RANDBETWEEN(1,4))</f>
        <v>MedSupply Co</v>
      </c>
      <c r="E899">
        <f t="shared" ref="E899:E962" ca="1" si="141">RANDBETWEEN(0,200)</f>
        <v>2</v>
      </c>
      <c r="F899">
        <f t="shared" ref="F899:F962" ca="1" si="142">RANDBETWEEN(20,100)</f>
        <v>88</v>
      </c>
      <c r="G899">
        <f t="shared" ref="G899:G962" ca="1" si="143">ROUND(RANDBETWEEN(50,200)/100,2)</f>
        <v>1.29</v>
      </c>
      <c r="H899" s="1">
        <f t="shared" ref="H899:H962" ca="1" si="144">TODAY()+RANDBETWEEN(30,365)</f>
        <v>46258</v>
      </c>
      <c r="I899" s="1">
        <f t="shared" ref="I899:I962" ca="1" si="145">TODAY()-RANDBETWEEN(1,180)</f>
        <v>45997</v>
      </c>
      <c r="J899">
        <f t="shared" ref="J899:J962" ca="1" si="146">E899*G899</f>
        <v>2.58</v>
      </c>
      <c r="K899" t="str">
        <f t="shared" ref="K899:K962" ca="1" si="147">IF(E899=0,"Out of Stock",IF(E899&lt;F899,"Low Stock","In Stock"))</f>
        <v>Low Stock</v>
      </c>
      <c r="L899" s="2">
        <f t="shared" ref="L899:L962" ca="1" si="148">H899-TODAY()</f>
        <v>139</v>
      </c>
      <c r="M899" t="str">
        <f t="shared" ref="M899:M962" ca="1" si="149">IF(H899&lt;=TODAY()+30,"Expiring Soon","Safe")</f>
        <v>Safe</v>
      </c>
    </row>
    <row r="900" spans="1:13" x14ac:dyDescent="0.25">
      <c r="A900" t="str">
        <f t="shared" si="140"/>
        <v>M899</v>
      </c>
      <c r="B900" t="str" cm="1">
        <f t="array" aca="1" ref="B900" ca="1">INDEX({"Paracetamol","Amoxicillin","Ibuprofen","Cetirizine","Metformin","Amlodipine","Omeprazole","Azithromycin","Losartan","Vitamin C"}, RANDBETWEEN(1,10))</f>
        <v>Paracetamol</v>
      </c>
      <c r="C900" t="str" cm="1">
        <f t="array" aca="1" ref="C900" ca="1">INDEX({"Painkiller","Antibiotic","Painkiller","Antihistamine","Diabetes","Hypertension","Antacid","Antibiotic","Hypertension","Supplement"},
MATCH(B900,{"Paracetamol","Amoxicillin","Ibuprofen","Cetirizine","Metformin","Amlodipine","Omeprazole","Azithromycin","Losartan","Vitamin C"},0))</f>
        <v>Painkiller</v>
      </c>
      <c r="D900" t="str" cm="1">
        <f t="array" aca="1" ref="D900" ca="1">INDEX({"MedSupply Co","HealthCorp","PharmaPlus","GlobalMed"}, RANDBETWEEN(1,4))</f>
        <v>PharmaPlus</v>
      </c>
      <c r="E900">
        <f t="shared" ca="1" si="141"/>
        <v>107</v>
      </c>
      <c r="F900">
        <f t="shared" ca="1" si="142"/>
        <v>44</v>
      </c>
      <c r="G900">
        <f t="shared" ca="1" si="143"/>
        <v>1.89</v>
      </c>
      <c r="H900" s="1">
        <f t="shared" ca="1" si="144"/>
        <v>46304</v>
      </c>
      <c r="I900" s="1">
        <f t="shared" ca="1" si="145"/>
        <v>46007</v>
      </c>
      <c r="J900">
        <f t="shared" ca="1" si="146"/>
        <v>202.23</v>
      </c>
      <c r="K900" t="str">
        <f t="shared" ca="1" si="147"/>
        <v>In Stock</v>
      </c>
      <c r="L900" s="2">
        <f t="shared" ca="1" si="148"/>
        <v>185</v>
      </c>
      <c r="M900" t="str">
        <f t="shared" ca="1" si="149"/>
        <v>Safe</v>
      </c>
    </row>
    <row r="901" spans="1:13" x14ac:dyDescent="0.25">
      <c r="A901" t="str">
        <f t="shared" si="140"/>
        <v>M900</v>
      </c>
      <c r="B901" t="str" cm="1">
        <f t="array" aca="1" ref="B901" ca="1">INDEX({"Paracetamol","Amoxicillin","Ibuprofen","Cetirizine","Metformin","Amlodipine","Omeprazole","Azithromycin","Losartan","Vitamin C"}, RANDBETWEEN(1,10))</f>
        <v>Amlodipine</v>
      </c>
      <c r="C901" t="str" cm="1">
        <f t="array" aca="1" ref="C901" ca="1">INDEX({"Painkiller","Antibiotic","Painkiller","Antihistamine","Diabetes","Hypertension","Antacid","Antibiotic","Hypertension","Supplement"},
MATCH(B901,{"Paracetamol","Amoxicillin","Ibuprofen","Cetirizine","Metformin","Amlodipine","Omeprazole","Azithromycin","Losartan","Vitamin C"},0))</f>
        <v>Hypertension</v>
      </c>
      <c r="D901" t="str" cm="1">
        <f t="array" aca="1" ref="D901" ca="1">INDEX({"MedSupply Co","HealthCorp","PharmaPlus","GlobalMed"}, RANDBETWEEN(1,4))</f>
        <v>PharmaPlus</v>
      </c>
      <c r="E901">
        <f t="shared" ca="1" si="141"/>
        <v>200</v>
      </c>
      <c r="F901">
        <f t="shared" ca="1" si="142"/>
        <v>66</v>
      </c>
      <c r="G901">
        <f t="shared" ca="1" si="143"/>
        <v>1.68</v>
      </c>
      <c r="H901" s="1">
        <f t="shared" ca="1" si="144"/>
        <v>46313</v>
      </c>
      <c r="I901" s="1">
        <f t="shared" ca="1" si="145"/>
        <v>46087</v>
      </c>
      <c r="J901">
        <f t="shared" ca="1" si="146"/>
        <v>336</v>
      </c>
      <c r="K901" t="str">
        <f t="shared" ca="1" si="147"/>
        <v>In Stock</v>
      </c>
      <c r="L901" s="2">
        <f t="shared" ca="1" si="148"/>
        <v>194</v>
      </c>
      <c r="M901" t="str">
        <f t="shared" ca="1" si="149"/>
        <v>Safe</v>
      </c>
    </row>
    <row r="902" spans="1:13" x14ac:dyDescent="0.25">
      <c r="A902" t="str">
        <f t="shared" si="140"/>
        <v>M901</v>
      </c>
      <c r="B902" t="str" cm="1">
        <f t="array" aca="1" ref="B902" ca="1">INDEX({"Paracetamol","Amoxicillin","Ibuprofen","Cetirizine","Metformin","Amlodipine","Omeprazole","Azithromycin","Losartan","Vitamin C"}, RANDBETWEEN(1,10))</f>
        <v>Metformin</v>
      </c>
      <c r="C902" t="str" cm="1">
        <f t="array" aca="1" ref="C902" ca="1">INDEX({"Painkiller","Antibiotic","Painkiller","Antihistamine","Diabetes","Hypertension","Antacid","Antibiotic","Hypertension","Supplement"},
MATCH(B902,{"Paracetamol","Amoxicillin","Ibuprofen","Cetirizine","Metformin","Amlodipine","Omeprazole","Azithromycin","Losartan","Vitamin C"},0))</f>
        <v>Diabetes</v>
      </c>
      <c r="D902" t="str" cm="1">
        <f t="array" aca="1" ref="D902" ca="1">INDEX({"MedSupply Co","HealthCorp","PharmaPlus","GlobalMed"}, RANDBETWEEN(1,4))</f>
        <v>GlobalMed</v>
      </c>
      <c r="E902">
        <f t="shared" ca="1" si="141"/>
        <v>183</v>
      </c>
      <c r="F902">
        <f t="shared" ca="1" si="142"/>
        <v>72</v>
      </c>
      <c r="G902">
        <f t="shared" ca="1" si="143"/>
        <v>1.49</v>
      </c>
      <c r="H902" s="1">
        <f t="shared" ca="1" si="144"/>
        <v>46372</v>
      </c>
      <c r="I902" s="1">
        <f t="shared" ca="1" si="145"/>
        <v>46071</v>
      </c>
      <c r="J902">
        <f t="shared" ca="1" si="146"/>
        <v>272.67</v>
      </c>
      <c r="K902" t="str">
        <f t="shared" ca="1" si="147"/>
        <v>In Stock</v>
      </c>
      <c r="L902" s="2">
        <f t="shared" ca="1" si="148"/>
        <v>253</v>
      </c>
      <c r="M902" t="str">
        <f t="shared" ca="1" si="149"/>
        <v>Safe</v>
      </c>
    </row>
    <row r="903" spans="1:13" x14ac:dyDescent="0.25">
      <c r="A903" t="str">
        <f t="shared" si="140"/>
        <v>M902</v>
      </c>
      <c r="B903" t="str" cm="1">
        <f t="array" aca="1" ref="B903" ca="1">INDEX({"Paracetamol","Amoxicillin","Ibuprofen","Cetirizine","Metformin","Amlodipine","Omeprazole","Azithromycin","Losartan","Vitamin C"}, RANDBETWEEN(1,10))</f>
        <v>Paracetamol</v>
      </c>
      <c r="C903" t="str" cm="1">
        <f t="array" aca="1" ref="C903" ca="1">INDEX({"Painkiller","Antibiotic","Painkiller","Antihistamine","Diabetes","Hypertension","Antacid","Antibiotic","Hypertension","Supplement"},
MATCH(B903,{"Paracetamol","Amoxicillin","Ibuprofen","Cetirizine","Metformin","Amlodipine","Omeprazole","Azithromycin","Losartan","Vitamin C"},0))</f>
        <v>Painkiller</v>
      </c>
      <c r="D903" t="str" cm="1">
        <f t="array" aca="1" ref="D903" ca="1">INDEX({"MedSupply Co","HealthCorp","PharmaPlus","GlobalMed"}, RANDBETWEEN(1,4))</f>
        <v>HealthCorp</v>
      </c>
      <c r="E903">
        <f t="shared" ca="1" si="141"/>
        <v>161</v>
      </c>
      <c r="F903">
        <f t="shared" ca="1" si="142"/>
        <v>22</v>
      </c>
      <c r="G903">
        <f t="shared" ca="1" si="143"/>
        <v>0.87</v>
      </c>
      <c r="H903" s="1">
        <f t="shared" ca="1" si="144"/>
        <v>46221</v>
      </c>
      <c r="I903" s="1">
        <f t="shared" ca="1" si="145"/>
        <v>46089</v>
      </c>
      <c r="J903">
        <f t="shared" ca="1" si="146"/>
        <v>140.07</v>
      </c>
      <c r="K903" t="str">
        <f t="shared" ca="1" si="147"/>
        <v>In Stock</v>
      </c>
      <c r="L903" s="2">
        <f t="shared" ca="1" si="148"/>
        <v>102</v>
      </c>
      <c r="M903" t="str">
        <f t="shared" ca="1" si="149"/>
        <v>Safe</v>
      </c>
    </row>
    <row r="904" spans="1:13" x14ac:dyDescent="0.25">
      <c r="A904" t="str">
        <f t="shared" si="140"/>
        <v>M903</v>
      </c>
      <c r="B904" t="str" cm="1">
        <f t="array" aca="1" ref="B904" ca="1">INDEX({"Paracetamol","Amoxicillin","Ibuprofen","Cetirizine","Metformin","Amlodipine","Omeprazole","Azithromycin","Losartan","Vitamin C"}, RANDBETWEEN(1,10))</f>
        <v>Ibuprofen</v>
      </c>
      <c r="C904" t="str" cm="1">
        <f t="array" aca="1" ref="C904" ca="1">INDEX({"Painkiller","Antibiotic","Painkiller","Antihistamine","Diabetes","Hypertension","Antacid","Antibiotic","Hypertension","Supplement"},
MATCH(B904,{"Paracetamol","Amoxicillin","Ibuprofen","Cetirizine","Metformin","Amlodipine","Omeprazole","Azithromycin","Losartan","Vitamin C"},0))</f>
        <v>Painkiller</v>
      </c>
      <c r="D904" t="str" cm="1">
        <f t="array" aca="1" ref="D904" ca="1">INDEX({"MedSupply Co","HealthCorp","PharmaPlus","GlobalMed"}, RANDBETWEEN(1,4))</f>
        <v>HealthCorp</v>
      </c>
      <c r="E904">
        <f t="shared" ca="1" si="141"/>
        <v>125</v>
      </c>
      <c r="F904">
        <f t="shared" ca="1" si="142"/>
        <v>71</v>
      </c>
      <c r="G904">
        <f t="shared" ca="1" si="143"/>
        <v>0.67</v>
      </c>
      <c r="H904" s="1">
        <f t="shared" ca="1" si="144"/>
        <v>46194</v>
      </c>
      <c r="I904" s="1">
        <f t="shared" ca="1" si="145"/>
        <v>45950</v>
      </c>
      <c r="J904">
        <f t="shared" ca="1" si="146"/>
        <v>83.75</v>
      </c>
      <c r="K904" t="str">
        <f t="shared" ca="1" si="147"/>
        <v>In Stock</v>
      </c>
      <c r="L904" s="2">
        <f t="shared" ca="1" si="148"/>
        <v>75</v>
      </c>
      <c r="M904" t="str">
        <f t="shared" ca="1" si="149"/>
        <v>Safe</v>
      </c>
    </row>
    <row r="905" spans="1:13" x14ac:dyDescent="0.25">
      <c r="A905" t="str">
        <f t="shared" si="140"/>
        <v>M904</v>
      </c>
      <c r="B905" t="str" cm="1">
        <f t="array" aca="1" ref="B905" ca="1">INDEX({"Paracetamol","Amoxicillin","Ibuprofen","Cetirizine","Metformin","Amlodipine","Omeprazole","Azithromycin","Losartan","Vitamin C"}, RANDBETWEEN(1,10))</f>
        <v>Metformin</v>
      </c>
      <c r="C905" t="str" cm="1">
        <f t="array" aca="1" ref="C905" ca="1">INDEX({"Painkiller","Antibiotic","Painkiller","Antihistamine","Diabetes","Hypertension","Antacid","Antibiotic","Hypertension","Supplement"},
MATCH(B905,{"Paracetamol","Amoxicillin","Ibuprofen","Cetirizine","Metformin","Amlodipine","Omeprazole","Azithromycin","Losartan","Vitamin C"},0))</f>
        <v>Diabetes</v>
      </c>
      <c r="D905" t="str" cm="1">
        <f t="array" aca="1" ref="D905" ca="1">INDEX({"MedSupply Co","HealthCorp","PharmaPlus","GlobalMed"}, RANDBETWEEN(1,4))</f>
        <v>PharmaPlus</v>
      </c>
      <c r="E905">
        <f t="shared" ca="1" si="141"/>
        <v>122</v>
      </c>
      <c r="F905">
        <f t="shared" ca="1" si="142"/>
        <v>35</v>
      </c>
      <c r="G905">
        <f t="shared" ca="1" si="143"/>
        <v>1.52</v>
      </c>
      <c r="H905" s="1">
        <f t="shared" ca="1" si="144"/>
        <v>46270</v>
      </c>
      <c r="I905" s="1">
        <f t="shared" ca="1" si="145"/>
        <v>46058</v>
      </c>
      <c r="J905">
        <f t="shared" ca="1" si="146"/>
        <v>185.44</v>
      </c>
      <c r="K905" t="str">
        <f t="shared" ca="1" si="147"/>
        <v>In Stock</v>
      </c>
      <c r="L905" s="2">
        <f t="shared" ca="1" si="148"/>
        <v>151</v>
      </c>
      <c r="M905" t="str">
        <f t="shared" ca="1" si="149"/>
        <v>Safe</v>
      </c>
    </row>
    <row r="906" spans="1:13" x14ac:dyDescent="0.25">
      <c r="A906" t="str">
        <f t="shared" si="140"/>
        <v>M905</v>
      </c>
      <c r="B906" t="str" cm="1">
        <f t="array" aca="1" ref="B906" ca="1">INDEX({"Paracetamol","Amoxicillin","Ibuprofen","Cetirizine","Metformin","Amlodipine","Omeprazole","Azithromycin","Losartan","Vitamin C"}, RANDBETWEEN(1,10))</f>
        <v>Vitamin C</v>
      </c>
      <c r="C906" t="str" cm="1">
        <f t="array" aca="1" ref="C906" ca="1">INDEX({"Painkiller","Antibiotic","Painkiller","Antihistamine","Diabetes","Hypertension","Antacid","Antibiotic","Hypertension","Supplement"},
MATCH(B906,{"Paracetamol","Amoxicillin","Ibuprofen","Cetirizine","Metformin","Amlodipine","Omeprazole","Azithromycin","Losartan","Vitamin C"},0))</f>
        <v>Supplement</v>
      </c>
      <c r="D906" t="str" cm="1">
        <f t="array" aca="1" ref="D906" ca="1">INDEX({"MedSupply Co","HealthCorp","PharmaPlus","GlobalMed"}, RANDBETWEEN(1,4))</f>
        <v>HealthCorp</v>
      </c>
      <c r="E906">
        <f t="shared" ca="1" si="141"/>
        <v>155</v>
      </c>
      <c r="F906">
        <f t="shared" ca="1" si="142"/>
        <v>53</v>
      </c>
      <c r="G906">
        <f t="shared" ca="1" si="143"/>
        <v>1.49</v>
      </c>
      <c r="H906" s="1">
        <f t="shared" ca="1" si="144"/>
        <v>46361</v>
      </c>
      <c r="I906" s="1">
        <f t="shared" ca="1" si="145"/>
        <v>46101</v>
      </c>
      <c r="J906">
        <f t="shared" ca="1" si="146"/>
        <v>230.95</v>
      </c>
      <c r="K906" t="str">
        <f t="shared" ca="1" si="147"/>
        <v>In Stock</v>
      </c>
      <c r="L906" s="2">
        <f t="shared" ca="1" si="148"/>
        <v>242</v>
      </c>
      <c r="M906" t="str">
        <f t="shared" ca="1" si="149"/>
        <v>Safe</v>
      </c>
    </row>
    <row r="907" spans="1:13" x14ac:dyDescent="0.25">
      <c r="A907" t="str">
        <f t="shared" si="140"/>
        <v>M906</v>
      </c>
      <c r="B907" t="str" cm="1">
        <f t="array" aca="1" ref="B907" ca="1">INDEX({"Paracetamol","Amoxicillin","Ibuprofen","Cetirizine","Metformin","Amlodipine","Omeprazole","Azithromycin","Losartan","Vitamin C"}, RANDBETWEEN(1,10))</f>
        <v>Paracetamol</v>
      </c>
      <c r="C907" t="str" cm="1">
        <f t="array" aca="1" ref="C907" ca="1">INDEX({"Painkiller","Antibiotic","Painkiller","Antihistamine","Diabetes","Hypertension","Antacid","Antibiotic","Hypertension","Supplement"},
MATCH(B907,{"Paracetamol","Amoxicillin","Ibuprofen","Cetirizine","Metformin","Amlodipine","Omeprazole","Azithromycin","Losartan","Vitamin C"},0))</f>
        <v>Painkiller</v>
      </c>
      <c r="D907" t="str" cm="1">
        <f t="array" aca="1" ref="D907" ca="1">INDEX({"MedSupply Co","HealthCorp","PharmaPlus","GlobalMed"}, RANDBETWEEN(1,4))</f>
        <v>GlobalMed</v>
      </c>
      <c r="E907">
        <f t="shared" ca="1" si="141"/>
        <v>131</v>
      </c>
      <c r="F907">
        <f t="shared" ca="1" si="142"/>
        <v>42</v>
      </c>
      <c r="G907">
        <f t="shared" ca="1" si="143"/>
        <v>1.0900000000000001</v>
      </c>
      <c r="H907" s="1">
        <f t="shared" ca="1" si="144"/>
        <v>46286</v>
      </c>
      <c r="I907" s="1">
        <f t="shared" ca="1" si="145"/>
        <v>46093</v>
      </c>
      <c r="J907">
        <f t="shared" ca="1" si="146"/>
        <v>142.79000000000002</v>
      </c>
      <c r="K907" t="str">
        <f t="shared" ca="1" si="147"/>
        <v>In Stock</v>
      </c>
      <c r="L907" s="2">
        <f t="shared" ca="1" si="148"/>
        <v>167</v>
      </c>
      <c r="M907" t="str">
        <f t="shared" ca="1" si="149"/>
        <v>Safe</v>
      </c>
    </row>
    <row r="908" spans="1:13" x14ac:dyDescent="0.25">
      <c r="A908" t="str">
        <f t="shared" si="140"/>
        <v>M907</v>
      </c>
      <c r="B908" t="str" cm="1">
        <f t="array" aca="1" ref="B908" ca="1">INDEX({"Paracetamol","Amoxicillin","Ibuprofen","Cetirizine","Metformin","Amlodipine","Omeprazole","Azithromycin","Losartan","Vitamin C"}, RANDBETWEEN(1,10))</f>
        <v>Azithromycin</v>
      </c>
      <c r="C908" t="str" cm="1">
        <f t="array" aca="1" ref="C908" ca="1">INDEX({"Painkiller","Antibiotic","Painkiller","Antihistamine","Diabetes","Hypertension","Antacid","Antibiotic","Hypertension","Supplement"},
MATCH(B908,{"Paracetamol","Amoxicillin","Ibuprofen","Cetirizine","Metformin","Amlodipine","Omeprazole","Azithromycin","Losartan","Vitamin C"},0))</f>
        <v>Antibiotic</v>
      </c>
      <c r="D908" t="str" cm="1">
        <f t="array" aca="1" ref="D908" ca="1">INDEX({"MedSupply Co","HealthCorp","PharmaPlus","GlobalMed"}, RANDBETWEEN(1,4))</f>
        <v>MedSupply Co</v>
      </c>
      <c r="E908">
        <f t="shared" ca="1" si="141"/>
        <v>11</v>
      </c>
      <c r="F908">
        <f t="shared" ca="1" si="142"/>
        <v>95</v>
      </c>
      <c r="G908">
        <f t="shared" ca="1" si="143"/>
        <v>1.5</v>
      </c>
      <c r="H908" s="1">
        <f t="shared" ca="1" si="144"/>
        <v>46268</v>
      </c>
      <c r="I908" s="1">
        <f t="shared" ca="1" si="145"/>
        <v>45946</v>
      </c>
      <c r="J908">
        <f t="shared" ca="1" si="146"/>
        <v>16.5</v>
      </c>
      <c r="K908" t="str">
        <f t="shared" ca="1" si="147"/>
        <v>Low Stock</v>
      </c>
      <c r="L908" s="2">
        <f t="shared" ca="1" si="148"/>
        <v>149</v>
      </c>
      <c r="M908" t="str">
        <f t="shared" ca="1" si="149"/>
        <v>Safe</v>
      </c>
    </row>
    <row r="909" spans="1:13" x14ac:dyDescent="0.25">
      <c r="A909" t="str">
        <f t="shared" si="140"/>
        <v>M908</v>
      </c>
      <c r="B909" t="str" cm="1">
        <f t="array" aca="1" ref="B909" ca="1">INDEX({"Paracetamol","Amoxicillin","Ibuprofen","Cetirizine","Metformin","Amlodipine","Omeprazole","Azithromycin","Losartan","Vitamin C"}, RANDBETWEEN(1,10))</f>
        <v>Azithromycin</v>
      </c>
      <c r="C909" t="str" cm="1">
        <f t="array" aca="1" ref="C909" ca="1">INDEX({"Painkiller","Antibiotic","Painkiller","Antihistamine","Diabetes","Hypertension","Antacid","Antibiotic","Hypertension","Supplement"},
MATCH(B909,{"Paracetamol","Amoxicillin","Ibuprofen","Cetirizine","Metformin","Amlodipine","Omeprazole","Azithromycin","Losartan","Vitamin C"},0))</f>
        <v>Antibiotic</v>
      </c>
      <c r="D909" t="str" cm="1">
        <f t="array" aca="1" ref="D909" ca="1">INDEX({"MedSupply Co","HealthCorp","PharmaPlus","GlobalMed"}, RANDBETWEEN(1,4))</f>
        <v>HealthCorp</v>
      </c>
      <c r="E909">
        <f t="shared" ca="1" si="141"/>
        <v>193</v>
      </c>
      <c r="F909">
        <f t="shared" ca="1" si="142"/>
        <v>62</v>
      </c>
      <c r="G909">
        <f t="shared" ca="1" si="143"/>
        <v>1.7</v>
      </c>
      <c r="H909" s="1">
        <f t="shared" ca="1" si="144"/>
        <v>46337</v>
      </c>
      <c r="I909" s="1">
        <f t="shared" ca="1" si="145"/>
        <v>46045</v>
      </c>
      <c r="J909">
        <f t="shared" ca="1" si="146"/>
        <v>328.09999999999997</v>
      </c>
      <c r="K909" t="str">
        <f t="shared" ca="1" si="147"/>
        <v>In Stock</v>
      </c>
      <c r="L909" s="2">
        <f t="shared" ca="1" si="148"/>
        <v>218</v>
      </c>
      <c r="M909" t="str">
        <f t="shared" ca="1" si="149"/>
        <v>Safe</v>
      </c>
    </row>
    <row r="910" spans="1:13" x14ac:dyDescent="0.25">
      <c r="A910" t="str">
        <f t="shared" si="140"/>
        <v>M909</v>
      </c>
      <c r="B910" t="str" cm="1">
        <f t="array" aca="1" ref="B910" ca="1">INDEX({"Paracetamol","Amoxicillin","Ibuprofen","Cetirizine","Metformin","Amlodipine","Omeprazole","Azithromycin","Losartan","Vitamin C"}, RANDBETWEEN(1,10))</f>
        <v>Metformin</v>
      </c>
      <c r="C910" t="str" cm="1">
        <f t="array" aca="1" ref="C910" ca="1">INDEX({"Painkiller","Antibiotic","Painkiller","Antihistamine","Diabetes","Hypertension","Antacid","Antibiotic","Hypertension","Supplement"},
MATCH(B910,{"Paracetamol","Amoxicillin","Ibuprofen","Cetirizine","Metformin","Amlodipine","Omeprazole","Azithromycin","Losartan","Vitamin C"},0))</f>
        <v>Diabetes</v>
      </c>
      <c r="D910" t="str" cm="1">
        <f t="array" aca="1" ref="D910" ca="1">INDEX({"MedSupply Co","HealthCorp","PharmaPlus","GlobalMed"}, RANDBETWEEN(1,4))</f>
        <v>PharmaPlus</v>
      </c>
      <c r="E910">
        <f t="shared" ca="1" si="141"/>
        <v>170</v>
      </c>
      <c r="F910">
        <f t="shared" ca="1" si="142"/>
        <v>56</v>
      </c>
      <c r="G910">
        <f t="shared" ca="1" si="143"/>
        <v>1.42</v>
      </c>
      <c r="H910" s="1">
        <f t="shared" ca="1" si="144"/>
        <v>46432</v>
      </c>
      <c r="I910" s="1">
        <f t="shared" ca="1" si="145"/>
        <v>45972</v>
      </c>
      <c r="J910">
        <f t="shared" ca="1" si="146"/>
        <v>241.39999999999998</v>
      </c>
      <c r="K910" t="str">
        <f t="shared" ca="1" si="147"/>
        <v>In Stock</v>
      </c>
      <c r="L910" s="2">
        <f t="shared" ca="1" si="148"/>
        <v>313</v>
      </c>
      <c r="M910" t="str">
        <f t="shared" ca="1" si="149"/>
        <v>Safe</v>
      </c>
    </row>
    <row r="911" spans="1:13" x14ac:dyDescent="0.25">
      <c r="A911" t="str">
        <f t="shared" si="140"/>
        <v>M910</v>
      </c>
      <c r="B911" t="str" cm="1">
        <f t="array" aca="1" ref="B911" ca="1">INDEX({"Paracetamol","Amoxicillin","Ibuprofen","Cetirizine","Metformin","Amlodipine","Omeprazole","Azithromycin","Losartan","Vitamin C"}, RANDBETWEEN(1,10))</f>
        <v>Metformin</v>
      </c>
      <c r="C911" t="str" cm="1">
        <f t="array" aca="1" ref="C911" ca="1">INDEX({"Painkiller","Antibiotic","Painkiller","Antihistamine","Diabetes","Hypertension","Antacid","Antibiotic","Hypertension","Supplement"},
MATCH(B911,{"Paracetamol","Amoxicillin","Ibuprofen","Cetirizine","Metformin","Amlodipine","Omeprazole","Azithromycin","Losartan","Vitamin C"},0))</f>
        <v>Diabetes</v>
      </c>
      <c r="D911" t="str" cm="1">
        <f t="array" aca="1" ref="D911" ca="1">INDEX({"MedSupply Co","HealthCorp","PharmaPlus","GlobalMed"}, RANDBETWEEN(1,4))</f>
        <v>HealthCorp</v>
      </c>
      <c r="E911">
        <f t="shared" ca="1" si="141"/>
        <v>67</v>
      </c>
      <c r="F911">
        <f t="shared" ca="1" si="142"/>
        <v>57</v>
      </c>
      <c r="G911">
        <f t="shared" ca="1" si="143"/>
        <v>1.68</v>
      </c>
      <c r="H911" s="1">
        <f t="shared" ca="1" si="144"/>
        <v>46247</v>
      </c>
      <c r="I911" s="1">
        <f t="shared" ca="1" si="145"/>
        <v>46050</v>
      </c>
      <c r="J911">
        <f t="shared" ca="1" si="146"/>
        <v>112.56</v>
      </c>
      <c r="K911" t="str">
        <f t="shared" ca="1" si="147"/>
        <v>In Stock</v>
      </c>
      <c r="L911" s="2">
        <f t="shared" ca="1" si="148"/>
        <v>128</v>
      </c>
      <c r="M911" t="str">
        <f t="shared" ca="1" si="149"/>
        <v>Safe</v>
      </c>
    </row>
    <row r="912" spans="1:13" x14ac:dyDescent="0.25">
      <c r="A912" t="str">
        <f t="shared" si="140"/>
        <v>M911</v>
      </c>
      <c r="B912" t="str" cm="1">
        <f t="array" aca="1" ref="B912" ca="1">INDEX({"Paracetamol","Amoxicillin","Ibuprofen","Cetirizine","Metformin","Amlodipine","Omeprazole","Azithromycin","Losartan","Vitamin C"}, RANDBETWEEN(1,10))</f>
        <v>Vitamin C</v>
      </c>
      <c r="C912" t="str" cm="1">
        <f t="array" aca="1" ref="C912" ca="1">INDEX({"Painkiller","Antibiotic","Painkiller","Antihistamine","Diabetes","Hypertension","Antacid","Antibiotic","Hypertension","Supplement"},
MATCH(B912,{"Paracetamol","Amoxicillin","Ibuprofen","Cetirizine","Metformin","Amlodipine","Omeprazole","Azithromycin","Losartan","Vitamin C"},0))</f>
        <v>Supplement</v>
      </c>
      <c r="D912" t="str" cm="1">
        <f t="array" aca="1" ref="D912" ca="1">INDEX({"MedSupply Co","HealthCorp","PharmaPlus","GlobalMed"}, RANDBETWEEN(1,4))</f>
        <v>PharmaPlus</v>
      </c>
      <c r="E912">
        <f t="shared" ca="1" si="141"/>
        <v>79</v>
      </c>
      <c r="F912">
        <f t="shared" ca="1" si="142"/>
        <v>89</v>
      </c>
      <c r="G912">
        <f t="shared" ca="1" si="143"/>
        <v>0.94</v>
      </c>
      <c r="H912" s="1">
        <f t="shared" ca="1" si="144"/>
        <v>46362</v>
      </c>
      <c r="I912" s="1">
        <f t="shared" ca="1" si="145"/>
        <v>46010</v>
      </c>
      <c r="J912">
        <f t="shared" ca="1" si="146"/>
        <v>74.259999999999991</v>
      </c>
      <c r="K912" t="str">
        <f t="shared" ca="1" si="147"/>
        <v>Low Stock</v>
      </c>
      <c r="L912" s="2">
        <f t="shared" ca="1" si="148"/>
        <v>243</v>
      </c>
      <c r="M912" t="str">
        <f t="shared" ca="1" si="149"/>
        <v>Safe</v>
      </c>
    </row>
    <row r="913" spans="1:13" x14ac:dyDescent="0.25">
      <c r="A913" t="str">
        <f t="shared" si="140"/>
        <v>M912</v>
      </c>
      <c r="B913" t="str" cm="1">
        <f t="array" aca="1" ref="B913" ca="1">INDEX({"Paracetamol","Amoxicillin","Ibuprofen","Cetirizine","Metformin","Amlodipine","Omeprazole","Azithromycin","Losartan","Vitamin C"}, RANDBETWEEN(1,10))</f>
        <v>Amlodipine</v>
      </c>
      <c r="C913" t="str" cm="1">
        <f t="array" aca="1" ref="C913" ca="1">INDEX({"Painkiller","Antibiotic","Painkiller","Antihistamine","Diabetes","Hypertension","Antacid","Antibiotic","Hypertension","Supplement"},
MATCH(B913,{"Paracetamol","Amoxicillin","Ibuprofen","Cetirizine","Metformin","Amlodipine","Omeprazole","Azithromycin","Losartan","Vitamin C"},0))</f>
        <v>Hypertension</v>
      </c>
      <c r="D913" t="str" cm="1">
        <f t="array" aca="1" ref="D913" ca="1">INDEX({"MedSupply Co","HealthCorp","PharmaPlus","GlobalMed"}, RANDBETWEEN(1,4))</f>
        <v>PharmaPlus</v>
      </c>
      <c r="E913">
        <f t="shared" ca="1" si="141"/>
        <v>163</v>
      </c>
      <c r="F913">
        <f t="shared" ca="1" si="142"/>
        <v>97</v>
      </c>
      <c r="G913">
        <f t="shared" ca="1" si="143"/>
        <v>1.35</v>
      </c>
      <c r="H913" s="1">
        <f t="shared" ca="1" si="144"/>
        <v>46399</v>
      </c>
      <c r="I913" s="1">
        <f t="shared" ca="1" si="145"/>
        <v>46006</v>
      </c>
      <c r="J913">
        <f t="shared" ca="1" si="146"/>
        <v>220.05</v>
      </c>
      <c r="K913" t="str">
        <f t="shared" ca="1" si="147"/>
        <v>In Stock</v>
      </c>
      <c r="L913" s="2">
        <f t="shared" ca="1" si="148"/>
        <v>280</v>
      </c>
      <c r="M913" t="str">
        <f t="shared" ca="1" si="149"/>
        <v>Safe</v>
      </c>
    </row>
    <row r="914" spans="1:13" x14ac:dyDescent="0.25">
      <c r="A914" t="str">
        <f t="shared" si="140"/>
        <v>M913</v>
      </c>
      <c r="B914" t="str" cm="1">
        <f t="array" aca="1" ref="B914" ca="1">INDEX({"Paracetamol","Amoxicillin","Ibuprofen","Cetirizine","Metformin","Amlodipine","Omeprazole","Azithromycin","Losartan","Vitamin C"}, RANDBETWEEN(1,10))</f>
        <v>Ibuprofen</v>
      </c>
      <c r="C914" t="str" cm="1">
        <f t="array" aca="1" ref="C914" ca="1">INDEX({"Painkiller","Antibiotic","Painkiller","Antihistamine","Diabetes","Hypertension","Antacid","Antibiotic","Hypertension","Supplement"},
MATCH(B914,{"Paracetamol","Amoxicillin","Ibuprofen","Cetirizine","Metformin","Amlodipine","Omeprazole","Azithromycin","Losartan","Vitamin C"},0))</f>
        <v>Painkiller</v>
      </c>
      <c r="D914" t="str" cm="1">
        <f t="array" aca="1" ref="D914" ca="1">INDEX({"MedSupply Co","HealthCorp","PharmaPlus","GlobalMed"}, RANDBETWEEN(1,4))</f>
        <v>MedSupply Co</v>
      </c>
      <c r="E914">
        <f t="shared" ca="1" si="141"/>
        <v>62</v>
      </c>
      <c r="F914">
        <f t="shared" ca="1" si="142"/>
        <v>30</v>
      </c>
      <c r="G914">
        <f t="shared" ca="1" si="143"/>
        <v>1.81</v>
      </c>
      <c r="H914" s="1">
        <f t="shared" ca="1" si="144"/>
        <v>46406</v>
      </c>
      <c r="I914" s="1">
        <f t="shared" ca="1" si="145"/>
        <v>46103</v>
      </c>
      <c r="J914">
        <f t="shared" ca="1" si="146"/>
        <v>112.22</v>
      </c>
      <c r="K914" t="str">
        <f t="shared" ca="1" si="147"/>
        <v>In Stock</v>
      </c>
      <c r="L914" s="2">
        <f t="shared" ca="1" si="148"/>
        <v>287</v>
      </c>
      <c r="M914" t="str">
        <f t="shared" ca="1" si="149"/>
        <v>Safe</v>
      </c>
    </row>
    <row r="915" spans="1:13" x14ac:dyDescent="0.25">
      <c r="A915" t="str">
        <f t="shared" si="140"/>
        <v>M914</v>
      </c>
      <c r="B915" t="str" cm="1">
        <f t="array" aca="1" ref="B915" ca="1">INDEX({"Paracetamol","Amoxicillin","Ibuprofen","Cetirizine","Metformin","Amlodipine","Omeprazole","Azithromycin","Losartan","Vitamin C"}, RANDBETWEEN(1,10))</f>
        <v>Cetirizine</v>
      </c>
      <c r="C915" t="str" cm="1">
        <f t="array" aca="1" ref="C915" ca="1">INDEX({"Painkiller","Antibiotic","Painkiller","Antihistamine","Diabetes","Hypertension","Antacid","Antibiotic","Hypertension","Supplement"},
MATCH(B915,{"Paracetamol","Amoxicillin","Ibuprofen","Cetirizine","Metformin","Amlodipine","Omeprazole","Azithromycin","Losartan","Vitamin C"},0))</f>
        <v>Antihistamine</v>
      </c>
      <c r="D915" t="str" cm="1">
        <f t="array" aca="1" ref="D915" ca="1">INDEX({"MedSupply Co","HealthCorp","PharmaPlus","GlobalMed"}, RANDBETWEEN(1,4))</f>
        <v>HealthCorp</v>
      </c>
      <c r="E915">
        <f t="shared" ca="1" si="141"/>
        <v>116</v>
      </c>
      <c r="F915">
        <f t="shared" ca="1" si="142"/>
        <v>71</v>
      </c>
      <c r="G915">
        <f t="shared" ca="1" si="143"/>
        <v>1.35</v>
      </c>
      <c r="H915" s="1">
        <f t="shared" ca="1" si="144"/>
        <v>46383</v>
      </c>
      <c r="I915" s="1">
        <f t="shared" ca="1" si="145"/>
        <v>46015</v>
      </c>
      <c r="J915">
        <f t="shared" ca="1" si="146"/>
        <v>156.60000000000002</v>
      </c>
      <c r="K915" t="str">
        <f t="shared" ca="1" si="147"/>
        <v>In Stock</v>
      </c>
      <c r="L915" s="2">
        <f t="shared" ca="1" si="148"/>
        <v>264</v>
      </c>
      <c r="M915" t="str">
        <f t="shared" ca="1" si="149"/>
        <v>Safe</v>
      </c>
    </row>
    <row r="916" spans="1:13" x14ac:dyDescent="0.25">
      <c r="A916" t="str">
        <f t="shared" si="140"/>
        <v>M915</v>
      </c>
      <c r="B916" t="str" cm="1">
        <f t="array" aca="1" ref="B916" ca="1">INDEX({"Paracetamol","Amoxicillin","Ibuprofen","Cetirizine","Metformin","Amlodipine","Omeprazole","Azithromycin","Losartan","Vitamin C"}, RANDBETWEEN(1,10))</f>
        <v>Losartan</v>
      </c>
      <c r="C916" t="str" cm="1">
        <f t="array" aca="1" ref="C916" ca="1">INDEX({"Painkiller","Antibiotic","Painkiller","Antihistamine","Diabetes","Hypertension","Antacid","Antibiotic","Hypertension","Supplement"},
MATCH(B916,{"Paracetamol","Amoxicillin","Ibuprofen","Cetirizine","Metformin","Amlodipine","Omeprazole","Azithromycin","Losartan","Vitamin C"},0))</f>
        <v>Hypertension</v>
      </c>
      <c r="D916" t="str" cm="1">
        <f t="array" aca="1" ref="D916" ca="1">INDEX({"MedSupply Co","HealthCorp","PharmaPlus","GlobalMed"}, RANDBETWEEN(1,4))</f>
        <v>MedSupply Co</v>
      </c>
      <c r="E916">
        <f t="shared" ca="1" si="141"/>
        <v>8</v>
      </c>
      <c r="F916">
        <f t="shared" ca="1" si="142"/>
        <v>24</v>
      </c>
      <c r="G916">
        <f t="shared" ca="1" si="143"/>
        <v>1.3</v>
      </c>
      <c r="H916" s="1">
        <f t="shared" ca="1" si="144"/>
        <v>46427</v>
      </c>
      <c r="I916" s="1">
        <f t="shared" ca="1" si="145"/>
        <v>46059</v>
      </c>
      <c r="J916">
        <f t="shared" ca="1" si="146"/>
        <v>10.4</v>
      </c>
      <c r="K916" t="str">
        <f t="shared" ca="1" si="147"/>
        <v>Low Stock</v>
      </c>
      <c r="L916" s="2">
        <f t="shared" ca="1" si="148"/>
        <v>308</v>
      </c>
      <c r="M916" t="str">
        <f t="shared" ca="1" si="149"/>
        <v>Safe</v>
      </c>
    </row>
    <row r="917" spans="1:13" x14ac:dyDescent="0.25">
      <c r="A917" t="str">
        <f t="shared" si="140"/>
        <v>M916</v>
      </c>
      <c r="B917" t="str" cm="1">
        <f t="array" aca="1" ref="B917" ca="1">INDEX({"Paracetamol","Amoxicillin","Ibuprofen","Cetirizine","Metformin","Amlodipine","Omeprazole","Azithromycin","Losartan","Vitamin C"}, RANDBETWEEN(1,10))</f>
        <v>Vitamin C</v>
      </c>
      <c r="C917" t="str" cm="1">
        <f t="array" aca="1" ref="C917" ca="1">INDEX({"Painkiller","Antibiotic","Painkiller","Antihistamine","Diabetes","Hypertension","Antacid","Antibiotic","Hypertension","Supplement"},
MATCH(B917,{"Paracetamol","Amoxicillin","Ibuprofen","Cetirizine","Metformin","Amlodipine","Omeprazole","Azithromycin","Losartan","Vitamin C"},0))</f>
        <v>Supplement</v>
      </c>
      <c r="D917" t="str" cm="1">
        <f t="array" aca="1" ref="D917" ca="1">INDEX({"MedSupply Co","HealthCorp","PharmaPlus","GlobalMed"}, RANDBETWEEN(1,4))</f>
        <v>PharmaPlus</v>
      </c>
      <c r="E917">
        <f t="shared" ca="1" si="141"/>
        <v>139</v>
      </c>
      <c r="F917">
        <f t="shared" ca="1" si="142"/>
        <v>26</v>
      </c>
      <c r="G917">
        <f t="shared" ca="1" si="143"/>
        <v>1.68</v>
      </c>
      <c r="H917" s="1">
        <f t="shared" ca="1" si="144"/>
        <v>46288</v>
      </c>
      <c r="I917" s="1">
        <f t="shared" ca="1" si="145"/>
        <v>46094</v>
      </c>
      <c r="J917">
        <f t="shared" ca="1" si="146"/>
        <v>233.51999999999998</v>
      </c>
      <c r="K917" t="str">
        <f t="shared" ca="1" si="147"/>
        <v>In Stock</v>
      </c>
      <c r="L917" s="2">
        <f t="shared" ca="1" si="148"/>
        <v>169</v>
      </c>
      <c r="M917" t="str">
        <f t="shared" ca="1" si="149"/>
        <v>Safe</v>
      </c>
    </row>
    <row r="918" spans="1:13" x14ac:dyDescent="0.25">
      <c r="A918" t="str">
        <f t="shared" si="140"/>
        <v>M917</v>
      </c>
      <c r="B918" t="str" cm="1">
        <f t="array" aca="1" ref="B918" ca="1">INDEX({"Paracetamol","Amoxicillin","Ibuprofen","Cetirizine","Metformin","Amlodipine","Omeprazole","Azithromycin","Losartan","Vitamin C"}, RANDBETWEEN(1,10))</f>
        <v>Omeprazole</v>
      </c>
      <c r="C918" t="str" cm="1">
        <f t="array" aca="1" ref="C918" ca="1">INDEX({"Painkiller","Antibiotic","Painkiller","Antihistamine","Diabetes","Hypertension","Antacid","Antibiotic","Hypertension","Supplement"},
MATCH(B918,{"Paracetamol","Amoxicillin","Ibuprofen","Cetirizine","Metformin","Amlodipine","Omeprazole","Azithromycin","Losartan","Vitamin C"},0))</f>
        <v>Antacid</v>
      </c>
      <c r="D918" t="str" cm="1">
        <f t="array" aca="1" ref="D918" ca="1">INDEX({"MedSupply Co","HealthCorp","PharmaPlus","GlobalMed"}, RANDBETWEEN(1,4))</f>
        <v>PharmaPlus</v>
      </c>
      <c r="E918">
        <f t="shared" ca="1" si="141"/>
        <v>59</v>
      </c>
      <c r="F918">
        <f t="shared" ca="1" si="142"/>
        <v>26</v>
      </c>
      <c r="G918">
        <f t="shared" ca="1" si="143"/>
        <v>0.93</v>
      </c>
      <c r="H918" s="1">
        <f t="shared" ca="1" si="144"/>
        <v>46166</v>
      </c>
      <c r="I918" s="1">
        <f t="shared" ca="1" si="145"/>
        <v>46024</v>
      </c>
      <c r="J918">
        <f t="shared" ca="1" si="146"/>
        <v>54.870000000000005</v>
      </c>
      <c r="K918" t="str">
        <f t="shared" ca="1" si="147"/>
        <v>In Stock</v>
      </c>
      <c r="L918" s="2">
        <f t="shared" ca="1" si="148"/>
        <v>47</v>
      </c>
      <c r="M918" t="str">
        <f t="shared" ca="1" si="149"/>
        <v>Safe</v>
      </c>
    </row>
    <row r="919" spans="1:13" x14ac:dyDescent="0.25">
      <c r="A919" t="str">
        <f t="shared" si="140"/>
        <v>M918</v>
      </c>
      <c r="B919" t="str" cm="1">
        <f t="array" aca="1" ref="B919" ca="1">INDEX({"Paracetamol","Amoxicillin","Ibuprofen","Cetirizine","Metformin","Amlodipine","Omeprazole","Azithromycin","Losartan","Vitamin C"}, RANDBETWEEN(1,10))</f>
        <v>Vitamin C</v>
      </c>
      <c r="C919" t="str" cm="1">
        <f t="array" aca="1" ref="C919" ca="1">INDEX({"Painkiller","Antibiotic","Painkiller","Antihistamine","Diabetes","Hypertension","Antacid","Antibiotic","Hypertension","Supplement"},
MATCH(B919,{"Paracetamol","Amoxicillin","Ibuprofen","Cetirizine","Metformin","Amlodipine","Omeprazole","Azithromycin","Losartan","Vitamin C"},0))</f>
        <v>Supplement</v>
      </c>
      <c r="D919" t="str" cm="1">
        <f t="array" aca="1" ref="D919" ca="1">INDEX({"MedSupply Co","HealthCorp","PharmaPlus","GlobalMed"}, RANDBETWEEN(1,4))</f>
        <v>PharmaPlus</v>
      </c>
      <c r="E919">
        <f t="shared" ca="1" si="141"/>
        <v>131</v>
      </c>
      <c r="F919">
        <f t="shared" ca="1" si="142"/>
        <v>50</v>
      </c>
      <c r="G919">
        <f t="shared" ca="1" si="143"/>
        <v>0.92</v>
      </c>
      <c r="H919" s="1">
        <f t="shared" ca="1" si="144"/>
        <v>46404</v>
      </c>
      <c r="I919" s="1">
        <f t="shared" ca="1" si="145"/>
        <v>45962</v>
      </c>
      <c r="J919">
        <f t="shared" ca="1" si="146"/>
        <v>120.52000000000001</v>
      </c>
      <c r="K919" t="str">
        <f t="shared" ca="1" si="147"/>
        <v>In Stock</v>
      </c>
      <c r="L919" s="2">
        <f t="shared" ca="1" si="148"/>
        <v>285</v>
      </c>
      <c r="M919" t="str">
        <f t="shared" ca="1" si="149"/>
        <v>Safe</v>
      </c>
    </row>
    <row r="920" spans="1:13" x14ac:dyDescent="0.25">
      <c r="A920" t="str">
        <f t="shared" si="140"/>
        <v>M919</v>
      </c>
      <c r="B920" t="str" cm="1">
        <f t="array" aca="1" ref="B920" ca="1">INDEX({"Paracetamol","Amoxicillin","Ibuprofen","Cetirizine","Metformin","Amlodipine","Omeprazole","Azithromycin","Losartan","Vitamin C"}, RANDBETWEEN(1,10))</f>
        <v>Paracetamol</v>
      </c>
      <c r="C920" t="str" cm="1">
        <f t="array" aca="1" ref="C920" ca="1">INDEX({"Painkiller","Antibiotic","Painkiller","Antihistamine","Diabetes","Hypertension","Antacid","Antibiotic","Hypertension","Supplement"},
MATCH(B920,{"Paracetamol","Amoxicillin","Ibuprofen","Cetirizine","Metformin","Amlodipine","Omeprazole","Azithromycin","Losartan","Vitamin C"},0))</f>
        <v>Painkiller</v>
      </c>
      <c r="D920" t="str" cm="1">
        <f t="array" aca="1" ref="D920" ca="1">INDEX({"MedSupply Co","HealthCorp","PharmaPlus","GlobalMed"}, RANDBETWEEN(1,4))</f>
        <v>PharmaPlus</v>
      </c>
      <c r="E920">
        <f t="shared" ca="1" si="141"/>
        <v>31</v>
      </c>
      <c r="F920">
        <f t="shared" ca="1" si="142"/>
        <v>45</v>
      </c>
      <c r="G920">
        <f t="shared" ca="1" si="143"/>
        <v>1.1599999999999999</v>
      </c>
      <c r="H920" s="1">
        <f t="shared" ca="1" si="144"/>
        <v>46358</v>
      </c>
      <c r="I920" s="1">
        <f t="shared" ca="1" si="145"/>
        <v>46111</v>
      </c>
      <c r="J920">
        <f t="shared" ca="1" si="146"/>
        <v>35.96</v>
      </c>
      <c r="K920" t="str">
        <f t="shared" ca="1" si="147"/>
        <v>Low Stock</v>
      </c>
      <c r="L920" s="2">
        <f t="shared" ca="1" si="148"/>
        <v>239</v>
      </c>
      <c r="M920" t="str">
        <f t="shared" ca="1" si="149"/>
        <v>Safe</v>
      </c>
    </row>
    <row r="921" spans="1:13" x14ac:dyDescent="0.25">
      <c r="A921" t="str">
        <f t="shared" si="140"/>
        <v>M920</v>
      </c>
      <c r="B921" t="str" cm="1">
        <f t="array" aca="1" ref="B921" ca="1">INDEX({"Paracetamol","Amoxicillin","Ibuprofen","Cetirizine","Metformin","Amlodipine","Omeprazole","Azithromycin","Losartan","Vitamin C"}, RANDBETWEEN(1,10))</f>
        <v>Cetirizine</v>
      </c>
      <c r="C921" t="str" cm="1">
        <f t="array" aca="1" ref="C921" ca="1">INDEX({"Painkiller","Antibiotic","Painkiller","Antihistamine","Diabetes","Hypertension","Antacid","Antibiotic","Hypertension","Supplement"},
MATCH(B921,{"Paracetamol","Amoxicillin","Ibuprofen","Cetirizine","Metformin","Amlodipine","Omeprazole","Azithromycin","Losartan","Vitamin C"},0))</f>
        <v>Antihistamine</v>
      </c>
      <c r="D921" t="str" cm="1">
        <f t="array" aca="1" ref="D921" ca="1">INDEX({"MedSupply Co","HealthCorp","PharmaPlus","GlobalMed"}, RANDBETWEEN(1,4))</f>
        <v>MedSupply Co</v>
      </c>
      <c r="E921">
        <f t="shared" ca="1" si="141"/>
        <v>187</v>
      </c>
      <c r="F921">
        <f t="shared" ca="1" si="142"/>
        <v>80</v>
      </c>
      <c r="G921">
        <f t="shared" ca="1" si="143"/>
        <v>0.74</v>
      </c>
      <c r="H921" s="1">
        <f t="shared" ca="1" si="144"/>
        <v>46303</v>
      </c>
      <c r="I921" s="1">
        <f t="shared" ca="1" si="145"/>
        <v>46103</v>
      </c>
      <c r="J921">
        <f t="shared" ca="1" si="146"/>
        <v>138.38</v>
      </c>
      <c r="K921" t="str">
        <f t="shared" ca="1" si="147"/>
        <v>In Stock</v>
      </c>
      <c r="L921" s="2">
        <f t="shared" ca="1" si="148"/>
        <v>184</v>
      </c>
      <c r="M921" t="str">
        <f t="shared" ca="1" si="149"/>
        <v>Safe</v>
      </c>
    </row>
    <row r="922" spans="1:13" x14ac:dyDescent="0.25">
      <c r="A922" t="str">
        <f t="shared" si="140"/>
        <v>M921</v>
      </c>
      <c r="B922" t="str" cm="1">
        <f t="array" aca="1" ref="B922" ca="1">INDEX({"Paracetamol","Amoxicillin","Ibuprofen","Cetirizine","Metformin","Amlodipine","Omeprazole","Azithromycin","Losartan","Vitamin C"}, RANDBETWEEN(1,10))</f>
        <v>Cetirizine</v>
      </c>
      <c r="C922" t="str" cm="1">
        <f t="array" aca="1" ref="C922" ca="1">INDEX({"Painkiller","Antibiotic","Painkiller","Antihistamine","Diabetes","Hypertension","Antacid","Antibiotic","Hypertension","Supplement"},
MATCH(B922,{"Paracetamol","Amoxicillin","Ibuprofen","Cetirizine","Metformin","Amlodipine","Omeprazole","Azithromycin","Losartan","Vitamin C"},0))</f>
        <v>Antihistamine</v>
      </c>
      <c r="D922" t="str" cm="1">
        <f t="array" aca="1" ref="D922" ca="1">INDEX({"MedSupply Co","HealthCorp","PharmaPlus","GlobalMed"}, RANDBETWEEN(1,4))</f>
        <v>GlobalMed</v>
      </c>
      <c r="E922">
        <f t="shared" ca="1" si="141"/>
        <v>42</v>
      </c>
      <c r="F922">
        <f t="shared" ca="1" si="142"/>
        <v>20</v>
      </c>
      <c r="G922">
        <f t="shared" ca="1" si="143"/>
        <v>1.46</v>
      </c>
      <c r="H922" s="1">
        <f t="shared" ca="1" si="144"/>
        <v>46203</v>
      </c>
      <c r="I922" s="1">
        <f t="shared" ca="1" si="145"/>
        <v>46092</v>
      </c>
      <c r="J922">
        <f t="shared" ca="1" si="146"/>
        <v>61.32</v>
      </c>
      <c r="K922" t="str">
        <f t="shared" ca="1" si="147"/>
        <v>In Stock</v>
      </c>
      <c r="L922" s="2">
        <f t="shared" ca="1" si="148"/>
        <v>84</v>
      </c>
      <c r="M922" t="str">
        <f t="shared" ca="1" si="149"/>
        <v>Safe</v>
      </c>
    </row>
    <row r="923" spans="1:13" x14ac:dyDescent="0.25">
      <c r="A923" t="str">
        <f t="shared" si="140"/>
        <v>M922</v>
      </c>
      <c r="B923" t="str" cm="1">
        <f t="array" aca="1" ref="B923" ca="1">INDEX({"Paracetamol","Amoxicillin","Ibuprofen","Cetirizine","Metformin","Amlodipine","Omeprazole","Azithromycin","Losartan","Vitamin C"}, RANDBETWEEN(1,10))</f>
        <v>Cetirizine</v>
      </c>
      <c r="C923" t="str" cm="1">
        <f t="array" aca="1" ref="C923" ca="1">INDEX({"Painkiller","Antibiotic","Painkiller","Antihistamine","Diabetes","Hypertension","Antacid","Antibiotic","Hypertension","Supplement"},
MATCH(B923,{"Paracetamol","Amoxicillin","Ibuprofen","Cetirizine","Metformin","Amlodipine","Omeprazole","Azithromycin","Losartan","Vitamin C"},0))</f>
        <v>Antihistamine</v>
      </c>
      <c r="D923" t="str" cm="1">
        <f t="array" aca="1" ref="D923" ca="1">INDEX({"MedSupply Co","HealthCorp","PharmaPlus","GlobalMed"}, RANDBETWEEN(1,4))</f>
        <v>MedSupply Co</v>
      </c>
      <c r="E923">
        <f t="shared" ca="1" si="141"/>
        <v>12</v>
      </c>
      <c r="F923">
        <f t="shared" ca="1" si="142"/>
        <v>54</v>
      </c>
      <c r="G923">
        <f t="shared" ca="1" si="143"/>
        <v>2</v>
      </c>
      <c r="H923" s="1">
        <f t="shared" ca="1" si="144"/>
        <v>46332</v>
      </c>
      <c r="I923" s="1">
        <f t="shared" ca="1" si="145"/>
        <v>45954</v>
      </c>
      <c r="J923">
        <f t="shared" ca="1" si="146"/>
        <v>24</v>
      </c>
      <c r="K923" t="str">
        <f t="shared" ca="1" si="147"/>
        <v>Low Stock</v>
      </c>
      <c r="L923" s="2">
        <f t="shared" ca="1" si="148"/>
        <v>213</v>
      </c>
      <c r="M923" t="str">
        <f t="shared" ca="1" si="149"/>
        <v>Safe</v>
      </c>
    </row>
    <row r="924" spans="1:13" x14ac:dyDescent="0.25">
      <c r="A924" t="str">
        <f t="shared" si="140"/>
        <v>M923</v>
      </c>
      <c r="B924" t="str" cm="1">
        <f t="array" aca="1" ref="B924" ca="1">INDEX({"Paracetamol","Amoxicillin","Ibuprofen","Cetirizine","Metformin","Amlodipine","Omeprazole","Azithromycin","Losartan","Vitamin C"}, RANDBETWEEN(1,10))</f>
        <v>Losartan</v>
      </c>
      <c r="C924" t="str" cm="1">
        <f t="array" aca="1" ref="C924" ca="1">INDEX({"Painkiller","Antibiotic","Painkiller","Antihistamine","Diabetes","Hypertension","Antacid","Antibiotic","Hypertension","Supplement"},
MATCH(B924,{"Paracetamol","Amoxicillin","Ibuprofen","Cetirizine","Metformin","Amlodipine","Omeprazole","Azithromycin","Losartan","Vitamin C"},0))</f>
        <v>Hypertension</v>
      </c>
      <c r="D924" t="str" cm="1">
        <f t="array" aca="1" ref="D924" ca="1">INDEX({"MedSupply Co","HealthCorp","PharmaPlus","GlobalMed"}, RANDBETWEEN(1,4))</f>
        <v>GlobalMed</v>
      </c>
      <c r="E924">
        <f t="shared" ca="1" si="141"/>
        <v>129</v>
      </c>
      <c r="F924">
        <f t="shared" ca="1" si="142"/>
        <v>30</v>
      </c>
      <c r="G924">
        <f t="shared" ca="1" si="143"/>
        <v>1.33</v>
      </c>
      <c r="H924" s="1">
        <f t="shared" ca="1" si="144"/>
        <v>46402</v>
      </c>
      <c r="I924" s="1">
        <f t="shared" ca="1" si="145"/>
        <v>46056</v>
      </c>
      <c r="J924">
        <f t="shared" ca="1" si="146"/>
        <v>171.57000000000002</v>
      </c>
      <c r="K924" t="str">
        <f t="shared" ca="1" si="147"/>
        <v>In Stock</v>
      </c>
      <c r="L924" s="2">
        <f t="shared" ca="1" si="148"/>
        <v>283</v>
      </c>
      <c r="M924" t="str">
        <f t="shared" ca="1" si="149"/>
        <v>Safe</v>
      </c>
    </row>
    <row r="925" spans="1:13" x14ac:dyDescent="0.25">
      <c r="A925" t="str">
        <f t="shared" si="140"/>
        <v>M924</v>
      </c>
      <c r="B925" t="str" cm="1">
        <f t="array" aca="1" ref="B925" ca="1">INDEX({"Paracetamol","Amoxicillin","Ibuprofen","Cetirizine","Metformin","Amlodipine","Omeprazole","Azithromycin","Losartan","Vitamin C"}, RANDBETWEEN(1,10))</f>
        <v>Vitamin C</v>
      </c>
      <c r="C925" t="str" cm="1">
        <f t="array" aca="1" ref="C925" ca="1">INDEX({"Painkiller","Antibiotic","Painkiller","Antihistamine","Diabetes","Hypertension","Antacid","Antibiotic","Hypertension","Supplement"},
MATCH(B925,{"Paracetamol","Amoxicillin","Ibuprofen","Cetirizine","Metformin","Amlodipine","Omeprazole","Azithromycin","Losartan","Vitamin C"},0))</f>
        <v>Supplement</v>
      </c>
      <c r="D925" t="str" cm="1">
        <f t="array" aca="1" ref="D925" ca="1">INDEX({"MedSupply Co","HealthCorp","PharmaPlus","GlobalMed"}, RANDBETWEEN(1,4))</f>
        <v>MedSupply Co</v>
      </c>
      <c r="E925">
        <f t="shared" ca="1" si="141"/>
        <v>118</v>
      </c>
      <c r="F925">
        <f t="shared" ca="1" si="142"/>
        <v>62</v>
      </c>
      <c r="G925">
        <f t="shared" ca="1" si="143"/>
        <v>1.3</v>
      </c>
      <c r="H925" s="1">
        <f t="shared" ca="1" si="144"/>
        <v>46255</v>
      </c>
      <c r="I925" s="1">
        <f t="shared" ca="1" si="145"/>
        <v>46086</v>
      </c>
      <c r="J925">
        <f t="shared" ca="1" si="146"/>
        <v>153.4</v>
      </c>
      <c r="K925" t="str">
        <f t="shared" ca="1" si="147"/>
        <v>In Stock</v>
      </c>
      <c r="L925" s="2">
        <f t="shared" ca="1" si="148"/>
        <v>136</v>
      </c>
      <c r="M925" t="str">
        <f t="shared" ca="1" si="149"/>
        <v>Safe</v>
      </c>
    </row>
    <row r="926" spans="1:13" x14ac:dyDescent="0.25">
      <c r="A926" t="str">
        <f t="shared" si="140"/>
        <v>M925</v>
      </c>
      <c r="B926" t="str" cm="1">
        <f t="array" aca="1" ref="B926" ca="1">INDEX({"Paracetamol","Amoxicillin","Ibuprofen","Cetirizine","Metformin","Amlodipine","Omeprazole","Azithromycin","Losartan","Vitamin C"}, RANDBETWEEN(1,10))</f>
        <v>Cetirizine</v>
      </c>
      <c r="C926" t="str" cm="1">
        <f t="array" aca="1" ref="C926" ca="1">INDEX({"Painkiller","Antibiotic","Painkiller","Antihistamine","Diabetes","Hypertension","Antacid","Antibiotic","Hypertension","Supplement"},
MATCH(B926,{"Paracetamol","Amoxicillin","Ibuprofen","Cetirizine","Metformin","Amlodipine","Omeprazole","Azithromycin","Losartan","Vitamin C"},0))</f>
        <v>Antihistamine</v>
      </c>
      <c r="D926" t="str" cm="1">
        <f t="array" aca="1" ref="D926" ca="1">INDEX({"MedSupply Co","HealthCorp","PharmaPlus","GlobalMed"}, RANDBETWEEN(1,4))</f>
        <v>PharmaPlus</v>
      </c>
      <c r="E926">
        <f t="shared" ca="1" si="141"/>
        <v>79</v>
      </c>
      <c r="F926">
        <f t="shared" ca="1" si="142"/>
        <v>31</v>
      </c>
      <c r="G926">
        <f t="shared" ca="1" si="143"/>
        <v>1.98</v>
      </c>
      <c r="H926" s="1">
        <f t="shared" ca="1" si="144"/>
        <v>46186</v>
      </c>
      <c r="I926" s="1">
        <f t="shared" ca="1" si="145"/>
        <v>45964</v>
      </c>
      <c r="J926">
        <f t="shared" ca="1" si="146"/>
        <v>156.41999999999999</v>
      </c>
      <c r="K926" t="str">
        <f t="shared" ca="1" si="147"/>
        <v>In Stock</v>
      </c>
      <c r="L926" s="2">
        <f t="shared" ca="1" si="148"/>
        <v>67</v>
      </c>
      <c r="M926" t="str">
        <f t="shared" ca="1" si="149"/>
        <v>Safe</v>
      </c>
    </row>
    <row r="927" spans="1:13" x14ac:dyDescent="0.25">
      <c r="A927" t="str">
        <f t="shared" si="140"/>
        <v>M926</v>
      </c>
      <c r="B927" t="str" cm="1">
        <f t="array" aca="1" ref="B927" ca="1">INDEX({"Paracetamol","Amoxicillin","Ibuprofen","Cetirizine","Metformin","Amlodipine","Omeprazole","Azithromycin","Losartan","Vitamin C"}, RANDBETWEEN(1,10))</f>
        <v>Omeprazole</v>
      </c>
      <c r="C927" t="str" cm="1">
        <f t="array" aca="1" ref="C927" ca="1">INDEX({"Painkiller","Antibiotic","Painkiller","Antihistamine","Diabetes","Hypertension","Antacid","Antibiotic","Hypertension","Supplement"},
MATCH(B927,{"Paracetamol","Amoxicillin","Ibuprofen","Cetirizine","Metformin","Amlodipine","Omeprazole","Azithromycin","Losartan","Vitamin C"},0))</f>
        <v>Antacid</v>
      </c>
      <c r="D927" t="str" cm="1">
        <f t="array" aca="1" ref="D927" ca="1">INDEX({"MedSupply Co","HealthCorp","PharmaPlus","GlobalMed"}, RANDBETWEEN(1,4))</f>
        <v>HealthCorp</v>
      </c>
      <c r="E927">
        <f t="shared" ca="1" si="141"/>
        <v>85</v>
      </c>
      <c r="F927">
        <f t="shared" ca="1" si="142"/>
        <v>45</v>
      </c>
      <c r="G927">
        <f t="shared" ca="1" si="143"/>
        <v>0.66</v>
      </c>
      <c r="H927" s="1">
        <f t="shared" ca="1" si="144"/>
        <v>46422</v>
      </c>
      <c r="I927" s="1">
        <f t="shared" ca="1" si="145"/>
        <v>46118</v>
      </c>
      <c r="J927">
        <f t="shared" ca="1" si="146"/>
        <v>56.1</v>
      </c>
      <c r="K927" t="str">
        <f t="shared" ca="1" si="147"/>
        <v>In Stock</v>
      </c>
      <c r="L927" s="2">
        <f t="shared" ca="1" si="148"/>
        <v>303</v>
      </c>
      <c r="M927" t="str">
        <f t="shared" ca="1" si="149"/>
        <v>Safe</v>
      </c>
    </row>
    <row r="928" spans="1:13" x14ac:dyDescent="0.25">
      <c r="A928" t="str">
        <f t="shared" si="140"/>
        <v>M927</v>
      </c>
      <c r="B928" t="str" cm="1">
        <f t="array" aca="1" ref="B928" ca="1">INDEX({"Paracetamol","Amoxicillin","Ibuprofen","Cetirizine","Metformin","Amlodipine","Omeprazole","Azithromycin","Losartan","Vitamin C"}, RANDBETWEEN(1,10))</f>
        <v>Omeprazole</v>
      </c>
      <c r="C928" t="str" cm="1">
        <f t="array" aca="1" ref="C928" ca="1">INDEX({"Painkiller","Antibiotic","Painkiller","Antihistamine","Diabetes","Hypertension","Antacid","Antibiotic","Hypertension","Supplement"},
MATCH(B928,{"Paracetamol","Amoxicillin","Ibuprofen","Cetirizine","Metformin","Amlodipine","Omeprazole","Azithromycin","Losartan","Vitamin C"},0))</f>
        <v>Antacid</v>
      </c>
      <c r="D928" t="str" cm="1">
        <f t="array" aca="1" ref="D928" ca="1">INDEX({"MedSupply Co","HealthCorp","PharmaPlus","GlobalMed"}, RANDBETWEEN(1,4))</f>
        <v>HealthCorp</v>
      </c>
      <c r="E928">
        <f t="shared" ca="1" si="141"/>
        <v>20</v>
      </c>
      <c r="F928">
        <f t="shared" ca="1" si="142"/>
        <v>30</v>
      </c>
      <c r="G928">
        <f t="shared" ca="1" si="143"/>
        <v>0.91</v>
      </c>
      <c r="H928" s="1">
        <f t="shared" ca="1" si="144"/>
        <v>46237</v>
      </c>
      <c r="I928" s="1">
        <f t="shared" ca="1" si="145"/>
        <v>46001</v>
      </c>
      <c r="J928">
        <f t="shared" ca="1" si="146"/>
        <v>18.2</v>
      </c>
      <c r="K928" t="str">
        <f t="shared" ca="1" si="147"/>
        <v>Low Stock</v>
      </c>
      <c r="L928" s="2">
        <f t="shared" ca="1" si="148"/>
        <v>118</v>
      </c>
      <c r="M928" t="str">
        <f t="shared" ca="1" si="149"/>
        <v>Safe</v>
      </c>
    </row>
    <row r="929" spans="1:13" x14ac:dyDescent="0.25">
      <c r="A929" t="str">
        <f t="shared" si="140"/>
        <v>M928</v>
      </c>
      <c r="B929" t="str" cm="1">
        <f t="array" aca="1" ref="B929" ca="1">INDEX({"Paracetamol","Amoxicillin","Ibuprofen","Cetirizine","Metformin","Amlodipine","Omeprazole","Azithromycin","Losartan","Vitamin C"}, RANDBETWEEN(1,10))</f>
        <v>Losartan</v>
      </c>
      <c r="C929" t="str" cm="1">
        <f t="array" aca="1" ref="C929" ca="1">INDEX({"Painkiller","Antibiotic","Painkiller","Antihistamine","Diabetes","Hypertension","Antacid","Antibiotic","Hypertension","Supplement"},
MATCH(B929,{"Paracetamol","Amoxicillin","Ibuprofen","Cetirizine","Metformin","Amlodipine","Omeprazole","Azithromycin","Losartan","Vitamin C"},0))</f>
        <v>Hypertension</v>
      </c>
      <c r="D929" t="str" cm="1">
        <f t="array" aca="1" ref="D929" ca="1">INDEX({"MedSupply Co","HealthCorp","PharmaPlus","GlobalMed"}, RANDBETWEEN(1,4))</f>
        <v>GlobalMed</v>
      </c>
      <c r="E929">
        <f t="shared" ca="1" si="141"/>
        <v>149</v>
      </c>
      <c r="F929">
        <f t="shared" ca="1" si="142"/>
        <v>81</v>
      </c>
      <c r="G929">
        <f t="shared" ca="1" si="143"/>
        <v>1.67</v>
      </c>
      <c r="H929" s="1">
        <f t="shared" ca="1" si="144"/>
        <v>46307</v>
      </c>
      <c r="I929" s="1">
        <f t="shared" ca="1" si="145"/>
        <v>45942</v>
      </c>
      <c r="J929">
        <f t="shared" ca="1" si="146"/>
        <v>248.82999999999998</v>
      </c>
      <c r="K929" t="str">
        <f t="shared" ca="1" si="147"/>
        <v>In Stock</v>
      </c>
      <c r="L929" s="2">
        <f t="shared" ca="1" si="148"/>
        <v>188</v>
      </c>
      <c r="M929" t="str">
        <f t="shared" ca="1" si="149"/>
        <v>Safe</v>
      </c>
    </row>
    <row r="930" spans="1:13" x14ac:dyDescent="0.25">
      <c r="A930" t="str">
        <f t="shared" si="140"/>
        <v>M929</v>
      </c>
      <c r="B930" t="str" cm="1">
        <f t="array" aca="1" ref="B930" ca="1">INDEX({"Paracetamol","Amoxicillin","Ibuprofen","Cetirizine","Metformin","Amlodipine","Omeprazole","Azithromycin","Losartan","Vitamin C"}, RANDBETWEEN(1,10))</f>
        <v>Amoxicillin</v>
      </c>
      <c r="C930" t="str" cm="1">
        <f t="array" aca="1" ref="C930" ca="1">INDEX({"Painkiller","Antibiotic","Painkiller","Antihistamine","Diabetes","Hypertension","Antacid","Antibiotic","Hypertension","Supplement"},
MATCH(B930,{"Paracetamol","Amoxicillin","Ibuprofen","Cetirizine","Metformin","Amlodipine","Omeprazole","Azithromycin","Losartan","Vitamin C"},0))</f>
        <v>Antibiotic</v>
      </c>
      <c r="D930" t="str" cm="1">
        <f t="array" aca="1" ref="D930" ca="1">INDEX({"MedSupply Co","HealthCorp","PharmaPlus","GlobalMed"}, RANDBETWEEN(1,4))</f>
        <v>GlobalMed</v>
      </c>
      <c r="E930">
        <f t="shared" ca="1" si="141"/>
        <v>179</v>
      </c>
      <c r="F930">
        <f t="shared" ca="1" si="142"/>
        <v>33</v>
      </c>
      <c r="G930">
        <f t="shared" ca="1" si="143"/>
        <v>1.36</v>
      </c>
      <c r="H930" s="1">
        <f t="shared" ca="1" si="144"/>
        <v>46368</v>
      </c>
      <c r="I930" s="1">
        <f t="shared" ca="1" si="145"/>
        <v>46014</v>
      </c>
      <c r="J930">
        <f t="shared" ca="1" si="146"/>
        <v>243.44000000000003</v>
      </c>
      <c r="K930" t="str">
        <f t="shared" ca="1" si="147"/>
        <v>In Stock</v>
      </c>
      <c r="L930" s="2">
        <f t="shared" ca="1" si="148"/>
        <v>249</v>
      </c>
      <c r="M930" t="str">
        <f t="shared" ca="1" si="149"/>
        <v>Safe</v>
      </c>
    </row>
    <row r="931" spans="1:13" x14ac:dyDescent="0.25">
      <c r="A931" t="str">
        <f t="shared" si="140"/>
        <v>M930</v>
      </c>
      <c r="B931" t="str" cm="1">
        <f t="array" aca="1" ref="B931" ca="1">INDEX({"Paracetamol","Amoxicillin","Ibuprofen","Cetirizine","Metformin","Amlodipine","Omeprazole","Azithromycin","Losartan","Vitamin C"}, RANDBETWEEN(1,10))</f>
        <v>Amoxicillin</v>
      </c>
      <c r="C931" t="str" cm="1">
        <f t="array" aca="1" ref="C931" ca="1">INDEX({"Painkiller","Antibiotic","Painkiller","Antihistamine","Diabetes","Hypertension","Antacid","Antibiotic","Hypertension","Supplement"},
MATCH(B931,{"Paracetamol","Amoxicillin","Ibuprofen","Cetirizine","Metformin","Amlodipine","Omeprazole","Azithromycin","Losartan","Vitamin C"},0))</f>
        <v>Antibiotic</v>
      </c>
      <c r="D931" t="str" cm="1">
        <f t="array" aca="1" ref="D931" ca="1">INDEX({"MedSupply Co","HealthCorp","PharmaPlus","GlobalMed"}, RANDBETWEEN(1,4))</f>
        <v>HealthCorp</v>
      </c>
      <c r="E931">
        <f t="shared" ca="1" si="141"/>
        <v>177</v>
      </c>
      <c r="F931">
        <f t="shared" ca="1" si="142"/>
        <v>65</v>
      </c>
      <c r="G931">
        <f t="shared" ca="1" si="143"/>
        <v>1.02</v>
      </c>
      <c r="H931" s="1">
        <f t="shared" ca="1" si="144"/>
        <v>46330</v>
      </c>
      <c r="I931" s="1">
        <f t="shared" ca="1" si="145"/>
        <v>46098</v>
      </c>
      <c r="J931">
        <f t="shared" ca="1" si="146"/>
        <v>180.54</v>
      </c>
      <c r="K931" t="str">
        <f t="shared" ca="1" si="147"/>
        <v>In Stock</v>
      </c>
      <c r="L931" s="2">
        <f t="shared" ca="1" si="148"/>
        <v>211</v>
      </c>
      <c r="M931" t="str">
        <f t="shared" ca="1" si="149"/>
        <v>Safe</v>
      </c>
    </row>
    <row r="932" spans="1:13" x14ac:dyDescent="0.25">
      <c r="A932" t="str">
        <f t="shared" si="140"/>
        <v>M931</v>
      </c>
      <c r="B932" t="str" cm="1">
        <f t="array" aca="1" ref="B932" ca="1">INDEX({"Paracetamol","Amoxicillin","Ibuprofen","Cetirizine","Metformin","Amlodipine","Omeprazole","Azithromycin","Losartan","Vitamin C"}, RANDBETWEEN(1,10))</f>
        <v>Amoxicillin</v>
      </c>
      <c r="C932" t="str" cm="1">
        <f t="array" aca="1" ref="C932" ca="1">INDEX({"Painkiller","Antibiotic","Painkiller","Antihistamine","Diabetes","Hypertension","Antacid","Antibiotic","Hypertension","Supplement"},
MATCH(B932,{"Paracetamol","Amoxicillin","Ibuprofen","Cetirizine","Metformin","Amlodipine","Omeprazole","Azithromycin","Losartan","Vitamin C"},0))</f>
        <v>Antibiotic</v>
      </c>
      <c r="D932" t="str" cm="1">
        <f t="array" aca="1" ref="D932" ca="1">INDEX({"MedSupply Co","HealthCorp","PharmaPlus","GlobalMed"}, RANDBETWEEN(1,4))</f>
        <v>PharmaPlus</v>
      </c>
      <c r="E932">
        <f t="shared" ca="1" si="141"/>
        <v>119</v>
      </c>
      <c r="F932">
        <f t="shared" ca="1" si="142"/>
        <v>86</v>
      </c>
      <c r="G932">
        <f t="shared" ca="1" si="143"/>
        <v>1.36</v>
      </c>
      <c r="H932" s="1">
        <f t="shared" ca="1" si="144"/>
        <v>46417</v>
      </c>
      <c r="I932" s="1">
        <f t="shared" ca="1" si="145"/>
        <v>46102</v>
      </c>
      <c r="J932">
        <f t="shared" ca="1" si="146"/>
        <v>161.84</v>
      </c>
      <c r="K932" t="str">
        <f t="shared" ca="1" si="147"/>
        <v>In Stock</v>
      </c>
      <c r="L932" s="2">
        <f t="shared" ca="1" si="148"/>
        <v>298</v>
      </c>
      <c r="M932" t="str">
        <f t="shared" ca="1" si="149"/>
        <v>Safe</v>
      </c>
    </row>
    <row r="933" spans="1:13" x14ac:dyDescent="0.25">
      <c r="A933" t="str">
        <f t="shared" si="140"/>
        <v>M932</v>
      </c>
      <c r="B933" t="str" cm="1">
        <f t="array" aca="1" ref="B933" ca="1">INDEX({"Paracetamol","Amoxicillin","Ibuprofen","Cetirizine","Metformin","Amlodipine","Omeprazole","Azithromycin","Losartan","Vitamin C"}, RANDBETWEEN(1,10))</f>
        <v>Metformin</v>
      </c>
      <c r="C933" t="str" cm="1">
        <f t="array" aca="1" ref="C933" ca="1">INDEX({"Painkiller","Antibiotic","Painkiller","Antihistamine","Diabetes","Hypertension","Antacid","Antibiotic","Hypertension","Supplement"},
MATCH(B933,{"Paracetamol","Amoxicillin","Ibuprofen","Cetirizine","Metformin","Amlodipine","Omeprazole","Azithromycin","Losartan","Vitamin C"},0))</f>
        <v>Diabetes</v>
      </c>
      <c r="D933" t="str" cm="1">
        <f t="array" aca="1" ref="D933" ca="1">INDEX({"MedSupply Co","HealthCorp","PharmaPlus","GlobalMed"}, RANDBETWEEN(1,4))</f>
        <v>GlobalMed</v>
      </c>
      <c r="E933">
        <f t="shared" ca="1" si="141"/>
        <v>97</v>
      </c>
      <c r="F933">
        <f t="shared" ca="1" si="142"/>
        <v>29</v>
      </c>
      <c r="G933">
        <f t="shared" ca="1" si="143"/>
        <v>0.56999999999999995</v>
      </c>
      <c r="H933" s="1">
        <f t="shared" ca="1" si="144"/>
        <v>46303</v>
      </c>
      <c r="I933" s="1">
        <f t="shared" ca="1" si="145"/>
        <v>46051</v>
      </c>
      <c r="J933">
        <f t="shared" ca="1" si="146"/>
        <v>55.289999999999992</v>
      </c>
      <c r="K933" t="str">
        <f t="shared" ca="1" si="147"/>
        <v>In Stock</v>
      </c>
      <c r="L933" s="2">
        <f t="shared" ca="1" si="148"/>
        <v>184</v>
      </c>
      <c r="M933" t="str">
        <f t="shared" ca="1" si="149"/>
        <v>Safe</v>
      </c>
    </row>
    <row r="934" spans="1:13" x14ac:dyDescent="0.25">
      <c r="A934" t="str">
        <f t="shared" si="140"/>
        <v>M933</v>
      </c>
      <c r="B934" t="str" cm="1">
        <f t="array" aca="1" ref="B934" ca="1">INDEX({"Paracetamol","Amoxicillin","Ibuprofen","Cetirizine","Metformin","Amlodipine","Omeprazole","Azithromycin","Losartan","Vitamin C"}, RANDBETWEEN(1,10))</f>
        <v>Azithromycin</v>
      </c>
      <c r="C934" t="str" cm="1">
        <f t="array" aca="1" ref="C934" ca="1">INDEX({"Painkiller","Antibiotic","Painkiller","Antihistamine","Diabetes","Hypertension","Antacid","Antibiotic","Hypertension","Supplement"},
MATCH(B934,{"Paracetamol","Amoxicillin","Ibuprofen","Cetirizine","Metformin","Amlodipine","Omeprazole","Azithromycin","Losartan","Vitamin C"},0))</f>
        <v>Antibiotic</v>
      </c>
      <c r="D934" t="str" cm="1">
        <f t="array" aca="1" ref="D934" ca="1">INDEX({"MedSupply Co","HealthCorp","PharmaPlus","GlobalMed"}, RANDBETWEEN(1,4))</f>
        <v>GlobalMed</v>
      </c>
      <c r="E934">
        <f t="shared" ca="1" si="141"/>
        <v>195</v>
      </c>
      <c r="F934">
        <f t="shared" ca="1" si="142"/>
        <v>99</v>
      </c>
      <c r="G934">
        <f t="shared" ca="1" si="143"/>
        <v>0.7</v>
      </c>
      <c r="H934" s="1">
        <f t="shared" ca="1" si="144"/>
        <v>46325</v>
      </c>
      <c r="I934" s="1">
        <f t="shared" ca="1" si="145"/>
        <v>46113</v>
      </c>
      <c r="J934">
        <f t="shared" ca="1" si="146"/>
        <v>136.5</v>
      </c>
      <c r="K934" t="str">
        <f t="shared" ca="1" si="147"/>
        <v>In Stock</v>
      </c>
      <c r="L934" s="2">
        <f t="shared" ca="1" si="148"/>
        <v>206</v>
      </c>
      <c r="M934" t="str">
        <f t="shared" ca="1" si="149"/>
        <v>Safe</v>
      </c>
    </row>
    <row r="935" spans="1:13" x14ac:dyDescent="0.25">
      <c r="A935" t="str">
        <f t="shared" si="140"/>
        <v>M934</v>
      </c>
      <c r="B935" t="str" cm="1">
        <f t="array" aca="1" ref="B935" ca="1">INDEX({"Paracetamol","Amoxicillin","Ibuprofen","Cetirizine","Metformin","Amlodipine","Omeprazole","Azithromycin","Losartan","Vitamin C"}, RANDBETWEEN(1,10))</f>
        <v>Metformin</v>
      </c>
      <c r="C935" t="str" cm="1">
        <f t="array" aca="1" ref="C935" ca="1">INDEX({"Painkiller","Antibiotic","Painkiller","Antihistamine","Diabetes","Hypertension","Antacid","Antibiotic","Hypertension","Supplement"},
MATCH(B935,{"Paracetamol","Amoxicillin","Ibuprofen","Cetirizine","Metformin","Amlodipine","Omeprazole","Azithromycin","Losartan","Vitamin C"},0))</f>
        <v>Diabetes</v>
      </c>
      <c r="D935" t="str" cm="1">
        <f t="array" aca="1" ref="D935" ca="1">INDEX({"MedSupply Co","HealthCorp","PharmaPlus","GlobalMed"}, RANDBETWEEN(1,4))</f>
        <v>PharmaPlus</v>
      </c>
      <c r="E935">
        <f t="shared" ca="1" si="141"/>
        <v>170</v>
      </c>
      <c r="F935">
        <f t="shared" ca="1" si="142"/>
        <v>70</v>
      </c>
      <c r="G935">
        <f t="shared" ca="1" si="143"/>
        <v>1.22</v>
      </c>
      <c r="H935" s="1">
        <f t="shared" ca="1" si="144"/>
        <v>46429</v>
      </c>
      <c r="I935" s="1">
        <f t="shared" ca="1" si="145"/>
        <v>46047</v>
      </c>
      <c r="J935">
        <f t="shared" ca="1" si="146"/>
        <v>207.4</v>
      </c>
      <c r="K935" t="str">
        <f t="shared" ca="1" si="147"/>
        <v>In Stock</v>
      </c>
      <c r="L935" s="2">
        <f t="shared" ca="1" si="148"/>
        <v>310</v>
      </c>
      <c r="M935" t="str">
        <f t="shared" ca="1" si="149"/>
        <v>Safe</v>
      </c>
    </row>
    <row r="936" spans="1:13" x14ac:dyDescent="0.25">
      <c r="A936" t="str">
        <f t="shared" si="140"/>
        <v>M935</v>
      </c>
      <c r="B936" t="str" cm="1">
        <f t="array" aca="1" ref="B936" ca="1">INDEX({"Paracetamol","Amoxicillin","Ibuprofen","Cetirizine","Metformin","Amlodipine","Omeprazole","Azithromycin","Losartan","Vitamin C"}, RANDBETWEEN(1,10))</f>
        <v>Omeprazole</v>
      </c>
      <c r="C936" t="str" cm="1">
        <f t="array" aca="1" ref="C936" ca="1">INDEX({"Painkiller","Antibiotic","Painkiller","Antihistamine","Diabetes","Hypertension","Antacid","Antibiotic","Hypertension","Supplement"},
MATCH(B936,{"Paracetamol","Amoxicillin","Ibuprofen","Cetirizine","Metformin","Amlodipine","Omeprazole","Azithromycin","Losartan","Vitamin C"},0))</f>
        <v>Antacid</v>
      </c>
      <c r="D936" t="str" cm="1">
        <f t="array" aca="1" ref="D936" ca="1">INDEX({"MedSupply Co","HealthCorp","PharmaPlus","GlobalMed"}, RANDBETWEEN(1,4))</f>
        <v>PharmaPlus</v>
      </c>
      <c r="E936">
        <f t="shared" ca="1" si="141"/>
        <v>24</v>
      </c>
      <c r="F936">
        <f t="shared" ca="1" si="142"/>
        <v>99</v>
      </c>
      <c r="G936">
        <f t="shared" ca="1" si="143"/>
        <v>0.54</v>
      </c>
      <c r="H936" s="1">
        <f t="shared" ca="1" si="144"/>
        <v>46439</v>
      </c>
      <c r="I936" s="1">
        <f t="shared" ca="1" si="145"/>
        <v>45994</v>
      </c>
      <c r="J936">
        <f t="shared" ca="1" si="146"/>
        <v>12.96</v>
      </c>
      <c r="K936" t="str">
        <f t="shared" ca="1" si="147"/>
        <v>Low Stock</v>
      </c>
      <c r="L936" s="2">
        <f t="shared" ca="1" si="148"/>
        <v>320</v>
      </c>
      <c r="M936" t="str">
        <f t="shared" ca="1" si="149"/>
        <v>Safe</v>
      </c>
    </row>
    <row r="937" spans="1:13" x14ac:dyDescent="0.25">
      <c r="A937" t="str">
        <f t="shared" si="140"/>
        <v>M936</v>
      </c>
      <c r="B937" t="str" cm="1">
        <f t="array" aca="1" ref="B937" ca="1">INDEX({"Paracetamol","Amoxicillin","Ibuprofen","Cetirizine","Metformin","Amlodipine","Omeprazole","Azithromycin","Losartan","Vitamin C"}, RANDBETWEEN(1,10))</f>
        <v>Amoxicillin</v>
      </c>
      <c r="C937" t="str" cm="1">
        <f t="array" aca="1" ref="C937" ca="1">INDEX({"Painkiller","Antibiotic","Painkiller","Antihistamine","Diabetes","Hypertension","Antacid","Antibiotic","Hypertension","Supplement"},
MATCH(B937,{"Paracetamol","Amoxicillin","Ibuprofen","Cetirizine","Metformin","Amlodipine","Omeprazole","Azithromycin","Losartan","Vitamin C"},0))</f>
        <v>Antibiotic</v>
      </c>
      <c r="D937" t="str" cm="1">
        <f t="array" aca="1" ref="D937" ca="1">INDEX({"MedSupply Co","HealthCorp","PharmaPlus","GlobalMed"}, RANDBETWEEN(1,4))</f>
        <v>HealthCorp</v>
      </c>
      <c r="E937">
        <f t="shared" ca="1" si="141"/>
        <v>6</v>
      </c>
      <c r="F937">
        <f t="shared" ca="1" si="142"/>
        <v>55</v>
      </c>
      <c r="G937">
        <f t="shared" ca="1" si="143"/>
        <v>0.82</v>
      </c>
      <c r="H937" s="1">
        <f t="shared" ca="1" si="144"/>
        <v>46292</v>
      </c>
      <c r="I937" s="1">
        <f t="shared" ca="1" si="145"/>
        <v>46113</v>
      </c>
      <c r="J937">
        <f t="shared" ca="1" si="146"/>
        <v>4.92</v>
      </c>
      <c r="K937" t="str">
        <f t="shared" ca="1" si="147"/>
        <v>Low Stock</v>
      </c>
      <c r="L937" s="2">
        <f t="shared" ca="1" si="148"/>
        <v>173</v>
      </c>
      <c r="M937" t="str">
        <f t="shared" ca="1" si="149"/>
        <v>Safe</v>
      </c>
    </row>
    <row r="938" spans="1:13" x14ac:dyDescent="0.25">
      <c r="A938" t="str">
        <f t="shared" si="140"/>
        <v>M937</v>
      </c>
      <c r="B938" t="str" cm="1">
        <f t="array" aca="1" ref="B938" ca="1">INDEX({"Paracetamol","Amoxicillin","Ibuprofen","Cetirizine","Metformin","Amlodipine","Omeprazole","Azithromycin","Losartan","Vitamin C"}, RANDBETWEEN(1,10))</f>
        <v>Cetirizine</v>
      </c>
      <c r="C938" t="str" cm="1">
        <f t="array" aca="1" ref="C938" ca="1">INDEX({"Painkiller","Antibiotic","Painkiller","Antihistamine","Diabetes","Hypertension","Antacid","Antibiotic","Hypertension","Supplement"},
MATCH(B938,{"Paracetamol","Amoxicillin","Ibuprofen","Cetirizine","Metformin","Amlodipine","Omeprazole","Azithromycin","Losartan","Vitamin C"},0))</f>
        <v>Antihistamine</v>
      </c>
      <c r="D938" t="str" cm="1">
        <f t="array" aca="1" ref="D938" ca="1">INDEX({"MedSupply Co","HealthCorp","PharmaPlus","GlobalMed"}, RANDBETWEEN(1,4))</f>
        <v>MedSupply Co</v>
      </c>
      <c r="E938">
        <f t="shared" ca="1" si="141"/>
        <v>86</v>
      </c>
      <c r="F938">
        <f t="shared" ca="1" si="142"/>
        <v>39</v>
      </c>
      <c r="G938">
        <f t="shared" ca="1" si="143"/>
        <v>1.87</v>
      </c>
      <c r="H938" s="1">
        <f t="shared" ca="1" si="144"/>
        <v>46211</v>
      </c>
      <c r="I938" s="1">
        <f t="shared" ca="1" si="145"/>
        <v>45977</v>
      </c>
      <c r="J938">
        <f t="shared" ca="1" si="146"/>
        <v>160.82000000000002</v>
      </c>
      <c r="K938" t="str">
        <f t="shared" ca="1" si="147"/>
        <v>In Stock</v>
      </c>
      <c r="L938" s="2">
        <f t="shared" ca="1" si="148"/>
        <v>92</v>
      </c>
      <c r="M938" t="str">
        <f t="shared" ca="1" si="149"/>
        <v>Safe</v>
      </c>
    </row>
    <row r="939" spans="1:13" x14ac:dyDescent="0.25">
      <c r="A939" t="str">
        <f t="shared" si="140"/>
        <v>M938</v>
      </c>
      <c r="B939" t="str" cm="1">
        <f t="array" aca="1" ref="B939" ca="1">INDEX({"Paracetamol","Amoxicillin","Ibuprofen","Cetirizine","Metformin","Amlodipine","Omeprazole","Azithromycin","Losartan","Vitamin C"}, RANDBETWEEN(1,10))</f>
        <v>Ibuprofen</v>
      </c>
      <c r="C939" t="str" cm="1">
        <f t="array" aca="1" ref="C939" ca="1">INDEX({"Painkiller","Antibiotic","Painkiller","Antihistamine","Diabetes","Hypertension","Antacid","Antibiotic","Hypertension","Supplement"},
MATCH(B939,{"Paracetamol","Amoxicillin","Ibuprofen","Cetirizine","Metformin","Amlodipine","Omeprazole","Azithromycin","Losartan","Vitamin C"},0))</f>
        <v>Painkiller</v>
      </c>
      <c r="D939" t="str" cm="1">
        <f t="array" aca="1" ref="D939" ca="1">INDEX({"MedSupply Co","HealthCorp","PharmaPlus","GlobalMed"}, RANDBETWEEN(1,4))</f>
        <v>PharmaPlus</v>
      </c>
      <c r="E939">
        <f t="shared" ca="1" si="141"/>
        <v>180</v>
      </c>
      <c r="F939">
        <f t="shared" ca="1" si="142"/>
        <v>52</v>
      </c>
      <c r="G939">
        <f t="shared" ca="1" si="143"/>
        <v>1.36</v>
      </c>
      <c r="H939" s="1">
        <f t="shared" ca="1" si="144"/>
        <v>46360</v>
      </c>
      <c r="I939" s="1">
        <f t="shared" ca="1" si="145"/>
        <v>46034</v>
      </c>
      <c r="J939">
        <f t="shared" ca="1" si="146"/>
        <v>244.8</v>
      </c>
      <c r="K939" t="str">
        <f t="shared" ca="1" si="147"/>
        <v>In Stock</v>
      </c>
      <c r="L939" s="2">
        <f t="shared" ca="1" si="148"/>
        <v>241</v>
      </c>
      <c r="M939" t="str">
        <f t="shared" ca="1" si="149"/>
        <v>Safe</v>
      </c>
    </row>
    <row r="940" spans="1:13" x14ac:dyDescent="0.25">
      <c r="A940" t="str">
        <f t="shared" si="140"/>
        <v>M939</v>
      </c>
      <c r="B940" t="str" cm="1">
        <f t="array" aca="1" ref="B940" ca="1">INDEX({"Paracetamol","Amoxicillin","Ibuprofen","Cetirizine","Metformin","Amlodipine","Omeprazole","Azithromycin","Losartan","Vitamin C"}, RANDBETWEEN(1,10))</f>
        <v>Metformin</v>
      </c>
      <c r="C940" t="str" cm="1">
        <f t="array" aca="1" ref="C940" ca="1">INDEX({"Painkiller","Antibiotic","Painkiller","Antihistamine","Diabetes","Hypertension","Antacid","Antibiotic","Hypertension","Supplement"},
MATCH(B940,{"Paracetamol","Amoxicillin","Ibuprofen","Cetirizine","Metformin","Amlodipine","Omeprazole","Azithromycin","Losartan","Vitamin C"},0))</f>
        <v>Diabetes</v>
      </c>
      <c r="D940" t="str" cm="1">
        <f t="array" aca="1" ref="D940" ca="1">INDEX({"MedSupply Co","HealthCorp","PharmaPlus","GlobalMed"}, RANDBETWEEN(1,4))</f>
        <v>MedSupply Co</v>
      </c>
      <c r="E940">
        <f t="shared" ca="1" si="141"/>
        <v>73</v>
      </c>
      <c r="F940">
        <f t="shared" ca="1" si="142"/>
        <v>54</v>
      </c>
      <c r="G940">
        <f t="shared" ca="1" si="143"/>
        <v>1.07</v>
      </c>
      <c r="H940" s="1">
        <f t="shared" ca="1" si="144"/>
        <v>46452</v>
      </c>
      <c r="I940" s="1">
        <f t="shared" ca="1" si="145"/>
        <v>45995</v>
      </c>
      <c r="J940">
        <f t="shared" ca="1" si="146"/>
        <v>78.11</v>
      </c>
      <c r="K940" t="str">
        <f t="shared" ca="1" si="147"/>
        <v>In Stock</v>
      </c>
      <c r="L940" s="2">
        <f t="shared" ca="1" si="148"/>
        <v>333</v>
      </c>
      <c r="M940" t="str">
        <f t="shared" ca="1" si="149"/>
        <v>Safe</v>
      </c>
    </row>
    <row r="941" spans="1:13" x14ac:dyDescent="0.25">
      <c r="A941" t="str">
        <f t="shared" si="140"/>
        <v>M940</v>
      </c>
      <c r="B941" t="str" cm="1">
        <f t="array" aca="1" ref="B941" ca="1">INDEX({"Paracetamol","Amoxicillin","Ibuprofen","Cetirizine","Metformin","Amlodipine","Omeprazole","Azithromycin","Losartan","Vitamin C"}, RANDBETWEEN(1,10))</f>
        <v>Metformin</v>
      </c>
      <c r="C941" t="str" cm="1">
        <f t="array" aca="1" ref="C941" ca="1">INDEX({"Painkiller","Antibiotic","Painkiller","Antihistamine","Diabetes","Hypertension","Antacid","Antibiotic","Hypertension","Supplement"},
MATCH(B941,{"Paracetamol","Amoxicillin","Ibuprofen","Cetirizine","Metformin","Amlodipine","Omeprazole","Azithromycin","Losartan","Vitamin C"},0))</f>
        <v>Diabetes</v>
      </c>
      <c r="D941" t="str" cm="1">
        <f t="array" aca="1" ref="D941" ca="1">INDEX({"MedSupply Co","HealthCorp","PharmaPlus","GlobalMed"}, RANDBETWEEN(1,4))</f>
        <v>PharmaPlus</v>
      </c>
      <c r="E941">
        <f t="shared" ca="1" si="141"/>
        <v>23</v>
      </c>
      <c r="F941">
        <f t="shared" ca="1" si="142"/>
        <v>89</v>
      </c>
      <c r="G941">
        <f t="shared" ca="1" si="143"/>
        <v>1.82</v>
      </c>
      <c r="H941" s="1">
        <f t="shared" ca="1" si="144"/>
        <v>46458</v>
      </c>
      <c r="I941" s="1">
        <f t="shared" ca="1" si="145"/>
        <v>45944</v>
      </c>
      <c r="J941">
        <f t="shared" ca="1" si="146"/>
        <v>41.86</v>
      </c>
      <c r="K941" t="str">
        <f t="shared" ca="1" si="147"/>
        <v>Low Stock</v>
      </c>
      <c r="L941" s="2">
        <f t="shared" ca="1" si="148"/>
        <v>339</v>
      </c>
      <c r="M941" t="str">
        <f t="shared" ca="1" si="149"/>
        <v>Safe</v>
      </c>
    </row>
    <row r="942" spans="1:13" x14ac:dyDescent="0.25">
      <c r="A942" t="str">
        <f t="shared" si="140"/>
        <v>M941</v>
      </c>
      <c r="B942" t="str" cm="1">
        <f t="array" aca="1" ref="B942" ca="1">INDEX({"Paracetamol","Amoxicillin","Ibuprofen","Cetirizine","Metformin","Amlodipine","Omeprazole","Azithromycin","Losartan","Vitamin C"}, RANDBETWEEN(1,10))</f>
        <v>Amoxicillin</v>
      </c>
      <c r="C942" t="str" cm="1">
        <f t="array" aca="1" ref="C942" ca="1">INDEX({"Painkiller","Antibiotic","Painkiller","Antihistamine","Diabetes","Hypertension","Antacid","Antibiotic","Hypertension","Supplement"},
MATCH(B942,{"Paracetamol","Amoxicillin","Ibuprofen","Cetirizine","Metformin","Amlodipine","Omeprazole","Azithromycin","Losartan","Vitamin C"},0))</f>
        <v>Antibiotic</v>
      </c>
      <c r="D942" t="str" cm="1">
        <f t="array" aca="1" ref="D942" ca="1">INDEX({"MedSupply Co","HealthCorp","PharmaPlus","GlobalMed"}, RANDBETWEEN(1,4))</f>
        <v>GlobalMed</v>
      </c>
      <c r="E942">
        <f t="shared" ca="1" si="141"/>
        <v>53</v>
      </c>
      <c r="F942">
        <f t="shared" ca="1" si="142"/>
        <v>24</v>
      </c>
      <c r="G942">
        <f t="shared" ca="1" si="143"/>
        <v>0.67</v>
      </c>
      <c r="H942" s="1">
        <f t="shared" ca="1" si="144"/>
        <v>46277</v>
      </c>
      <c r="I942" s="1">
        <f t="shared" ca="1" si="145"/>
        <v>46037</v>
      </c>
      <c r="J942">
        <f t="shared" ca="1" si="146"/>
        <v>35.510000000000005</v>
      </c>
      <c r="K942" t="str">
        <f t="shared" ca="1" si="147"/>
        <v>In Stock</v>
      </c>
      <c r="L942" s="2">
        <f t="shared" ca="1" si="148"/>
        <v>158</v>
      </c>
      <c r="M942" t="str">
        <f t="shared" ca="1" si="149"/>
        <v>Safe</v>
      </c>
    </row>
    <row r="943" spans="1:13" x14ac:dyDescent="0.25">
      <c r="A943" t="str">
        <f t="shared" si="140"/>
        <v>M942</v>
      </c>
      <c r="B943" t="str" cm="1">
        <f t="array" aca="1" ref="B943" ca="1">INDEX({"Paracetamol","Amoxicillin","Ibuprofen","Cetirizine","Metformin","Amlodipine","Omeprazole","Azithromycin","Losartan","Vitamin C"}, RANDBETWEEN(1,10))</f>
        <v>Paracetamol</v>
      </c>
      <c r="C943" t="str" cm="1">
        <f t="array" aca="1" ref="C943" ca="1">INDEX({"Painkiller","Antibiotic","Painkiller","Antihistamine","Diabetes","Hypertension","Antacid","Antibiotic","Hypertension","Supplement"},
MATCH(B943,{"Paracetamol","Amoxicillin","Ibuprofen","Cetirizine","Metformin","Amlodipine","Omeprazole","Azithromycin","Losartan","Vitamin C"},0))</f>
        <v>Painkiller</v>
      </c>
      <c r="D943" t="str" cm="1">
        <f t="array" aca="1" ref="D943" ca="1">INDEX({"MedSupply Co","HealthCorp","PharmaPlus","GlobalMed"}, RANDBETWEEN(1,4))</f>
        <v>MedSupply Co</v>
      </c>
      <c r="E943">
        <f t="shared" ca="1" si="141"/>
        <v>33</v>
      </c>
      <c r="F943">
        <f t="shared" ca="1" si="142"/>
        <v>96</v>
      </c>
      <c r="G943">
        <f t="shared" ca="1" si="143"/>
        <v>1.61</v>
      </c>
      <c r="H943" s="1">
        <f t="shared" ca="1" si="144"/>
        <v>46261</v>
      </c>
      <c r="I943" s="1">
        <f t="shared" ca="1" si="145"/>
        <v>45948</v>
      </c>
      <c r="J943">
        <f t="shared" ca="1" si="146"/>
        <v>53.13</v>
      </c>
      <c r="K943" t="str">
        <f t="shared" ca="1" si="147"/>
        <v>Low Stock</v>
      </c>
      <c r="L943" s="2">
        <f t="shared" ca="1" si="148"/>
        <v>142</v>
      </c>
      <c r="M943" t="str">
        <f t="shared" ca="1" si="149"/>
        <v>Safe</v>
      </c>
    </row>
    <row r="944" spans="1:13" x14ac:dyDescent="0.25">
      <c r="A944" t="str">
        <f t="shared" si="140"/>
        <v>M943</v>
      </c>
      <c r="B944" t="str" cm="1">
        <f t="array" aca="1" ref="B944" ca="1">INDEX({"Paracetamol","Amoxicillin","Ibuprofen","Cetirizine","Metformin","Amlodipine","Omeprazole","Azithromycin","Losartan","Vitamin C"}, RANDBETWEEN(1,10))</f>
        <v>Omeprazole</v>
      </c>
      <c r="C944" t="str" cm="1">
        <f t="array" aca="1" ref="C944" ca="1">INDEX({"Painkiller","Antibiotic","Painkiller","Antihistamine","Diabetes","Hypertension","Antacid","Antibiotic","Hypertension","Supplement"},
MATCH(B944,{"Paracetamol","Amoxicillin","Ibuprofen","Cetirizine","Metformin","Amlodipine","Omeprazole","Azithromycin","Losartan","Vitamin C"},0))</f>
        <v>Antacid</v>
      </c>
      <c r="D944" t="str" cm="1">
        <f t="array" aca="1" ref="D944" ca="1">INDEX({"MedSupply Co","HealthCorp","PharmaPlus","GlobalMed"}, RANDBETWEEN(1,4))</f>
        <v>GlobalMed</v>
      </c>
      <c r="E944">
        <f t="shared" ca="1" si="141"/>
        <v>27</v>
      </c>
      <c r="F944">
        <f t="shared" ca="1" si="142"/>
        <v>75</v>
      </c>
      <c r="G944">
        <f t="shared" ca="1" si="143"/>
        <v>0.85</v>
      </c>
      <c r="H944" s="1">
        <f t="shared" ca="1" si="144"/>
        <v>46462</v>
      </c>
      <c r="I944" s="1">
        <f t="shared" ca="1" si="145"/>
        <v>45953</v>
      </c>
      <c r="J944">
        <f t="shared" ca="1" si="146"/>
        <v>22.95</v>
      </c>
      <c r="K944" t="str">
        <f t="shared" ca="1" si="147"/>
        <v>Low Stock</v>
      </c>
      <c r="L944" s="2">
        <f t="shared" ca="1" si="148"/>
        <v>343</v>
      </c>
      <c r="M944" t="str">
        <f t="shared" ca="1" si="149"/>
        <v>Safe</v>
      </c>
    </row>
    <row r="945" spans="1:13" x14ac:dyDescent="0.25">
      <c r="A945" t="str">
        <f t="shared" si="140"/>
        <v>M944</v>
      </c>
      <c r="B945" t="str" cm="1">
        <f t="array" aca="1" ref="B945" ca="1">INDEX({"Paracetamol","Amoxicillin","Ibuprofen","Cetirizine","Metformin","Amlodipine","Omeprazole","Azithromycin","Losartan","Vitamin C"}, RANDBETWEEN(1,10))</f>
        <v>Losartan</v>
      </c>
      <c r="C945" t="str" cm="1">
        <f t="array" aca="1" ref="C945" ca="1">INDEX({"Painkiller","Antibiotic","Painkiller","Antihistamine","Diabetes","Hypertension","Antacid","Antibiotic","Hypertension","Supplement"},
MATCH(B945,{"Paracetamol","Amoxicillin","Ibuprofen","Cetirizine","Metformin","Amlodipine","Omeprazole","Azithromycin","Losartan","Vitamin C"},0))</f>
        <v>Hypertension</v>
      </c>
      <c r="D945" t="str" cm="1">
        <f t="array" aca="1" ref="D945" ca="1">INDEX({"MedSupply Co","HealthCorp","PharmaPlus","GlobalMed"}, RANDBETWEEN(1,4))</f>
        <v>HealthCorp</v>
      </c>
      <c r="E945">
        <f t="shared" ca="1" si="141"/>
        <v>128</v>
      </c>
      <c r="F945">
        <f t="shared" ca="1" si="142"/>
        <v>64</v>
      </c>
      <c r="G945">
        <f t="shared" ca="1" si="143"/>
        <v>0.92</v>
      </c>
      <c r="H945" s="1">
        <f t="shared" ca="1" si="144"/>
        <v>46204</v>
      </c>
      <c r="I945" s="1">
        <f t="shared" ca="1" si="145"/>
        <v>45983</v>
      </c>
      <c r="J945">
        <f t="shared" ca="1" si="146"/>
        <v>117.76</v>
      </c>
      <c r="K945" t="str">
        <f t="shared" ca="1" si="147"/>
        <v>In Stock</v>
      </c>
      <c r="L945" s="2">
        <f t="shared" ca="1" si="148"/>
        <v>85</v>
      </c>
      <c r="M945" t="str">
        <f t="shared" ca="1" si="149"/>
        <v>Safe</v>
      </c>
    </row>
    <row r="946" spans="1:13" x14ac:dyDescent="0.25">
      <c r="A946" t="str">
        <f t="shared" si="140"/>
        <v>M945</v>
      </c>
      <c r="B946" t="str" cm="1">
        <f t="array" aca="1" ref="B946" ca="1">INDEX({"Paracetamol","Amoxicillin","Ibuprofen","Cetirizine","Metformin","Amlodipine","Omeprazole","Azithromycin","Losartan","Vitamin C"}, RANDBETWEEN(1,10))</f>
        <v>Omeprazole</v>
      </c>
      <c r="C946" t="str" cm="1">
        <f t="array" aca="1" ref="C946" ca="1">INDEX({"Painkiller","Antibiotic","Painkiller","Antihistamine","Diabetes","Hypertension","Antacid","Antibiotic","Hypertension","Supplement"},
MATCH(B946,{"Paracetamol","Amoxicillin","Ibuprofen","Cetirizine","Metformin","Amlodipine","Omeprazole","Azithromycin","Losartan","Vitamin C"},0))</f>
        <v>Antacid</v>
      </c>
      <c r="D946" t="str" cm="1">
        <f t="array" aca="1" ref="D946" ca="1">INDEX({"MedSupply Co","HealthCorp","PharmaPlus","GlobalMed"}, RANDBETWEEN(1,4))</f>
        <v>HealthCorp</v>
      </c>
      <c r="E946">
        <f t="shared" ca="1" si="141"/>
        <v>167</v>
      </c>
      <c r="F946">
        <f t="shared" ca="1" si="142"/>
        <v>35</v>
      </c>
      <c r="G946">
        <f t="shared" ca="1" si="143"/>
        <v>1.71</v>
      </c>
      <c r="H946" s="1">
        <f t="shared" ca="1" si="144"/>
        <v>46229</v>
      </c>
      <c r="I946" s="1">
        <f t="shared" ca="1" si="145"/>
        <v>45985</v>
      </c>
      <c r="J946">
        <f t="shared" ca="1" si="146"/>
        <v>285.57</v>
      </c>
      <c r="K946" t="str">
        <f t="shared" ca="1" si="147"/>
        <v>In Stock</v>
      </c>
      <c r="L946" s="2">
        <f t="shared" ca="1" si="148"/>
        <v>110</v>
      </c>
      <c r="M946" t="str">
        <f t="shared" ca="1" si="149"/>
        <v>Safe</v>
      </c>
    </row>
    <row r="947" spans="1:13" x14ac:dyDescent="0.25">
      <c r="A947" t="str">
        <f t="shared" si="140"/>
        <v>M946</v>
      </c>
      <c r="B947" t="str" cm="1">
        <f t="array" aca="1" ref="B947" ca="1">INDEX({"Paracetamol","Amoxicillin","Ibuprofen","Cetirizine","Metformin","Amlodipine","Omeprazole","Azithromycin","Losartan","Vitamin C"}, RANDBETWEEN(1,10))</f>
        <v>Vitamin C</v>
      </c>
      <c r="C947" t="str" cm="1">
        <f t="array" aca="1" ref="C947" ca="1">INDEX({"Painkiller","Antibiotic","Painkiller","Antihistamine","Diabetes","Hypertension","Antacid","Antibiotic","Hypertension","Supplement"},
MATCH(B947,{"Paracetamol","Amoxicillin","Ibuprofen","Cetirizine","Metformin","Amlodipine","Omeprazole","Azithromycin","Losartan","Vitamin C"},0))</f>
        <v>Supplement</v>
      </c>
      <c r="D947" t="str" cm="1">
        <f t="array" aca="1" ref="D947" ca="1">INDEX({"MedSupply Co","HealthCorp","PharmaPlus","GlobalMed"}, RANDBETWEEN(1,4))</f>
        <v>MedSupply Co</v>
      </c>
      <c r="E947">
        <f t="shared" ca="1" si="141"/>
        <v>28</v>
      </c>
      <c r="F947">
        <f t="shared" ca="1" si="142"/>
        <v>96</v>
      </c>
      <c r="G947">
        <f t="shared" ca="1" si="143"/>
        <v>1.72</v>
      </c>
      <c r="H947" s="1">
        <f t="shared" ca="1" si="144"/>
        <v>46381</v>
      </c>
      <c r="I947" s="1">
        <f t="shared" ca="1" si="145"/>
        <v>46010</v>
      </c>
      <c r="J947">
        <f t="shared" ca="1" si="146"/>
        <v>48.16</v>
      </c>
      <c r="K947" t="str">
        <f t="shared" ca="1" si="147"/>
        <v>Low Stock</v>
      </c>
      <c r="L947" s="2">
        <f t="shared" ca="1" si="148"/>
        <v>262</v>
      </c>
      <c r="M947" t="str">
        <f t="shared" ca="1" si="149"/>
        <v>Safe</v>
      </c>
    </row>
    <row r="948" spans="1:13" x14ac:dyDescent="0.25">
      <c r="A948" t="str">
        <f t="shared" si="140"/>
        <v>M947</v>
      </c>
      <c r="B948" t="str" cm="1">
        <f t="array" aca="1" ref="B948" ca="1">INDEX({"Paracetamol","Amoxicillin","Ibuprofen","Cetirizine","Metformin","Amlodipine","Omeprazole","Azithromycin","Losartan","Vitamin C"}, RANDBETWEEN(1,10))</f>
        <v>Cetirizine</v>
      </c>
      <c r="C948" t="str" cm="1">
        <f t="array" aca="1" ref="C948" ca="1">INDEX({"Painkiller","Antibiotic","Painkiller","Antihistamine","Diabetes","Hypertension","Antacid","Antibiotic","Hypertension","Supplement"},
MATCH(B948,{"Paracetamol","Amoxicillin","Ibuprofen","Cetirizine","Metformin","Amlodipine","Omeprazole","Azithromycin","Losartan","Vitamin C"},0))</f>
        <v>Antihistamine</v>
      </c>
      <c r="D948" t="str" cm="1">
        <f t="array" aca="1" ref="D948" ca="1">INDEX({"MedSupply Co","HealthCorp","PharmaPlus","GlobalMed"}, RANDBETWEEN(1,4))</f>
        <v>GlobalMed</v>
      </c>
      <c r="E948">
        <f t="shared" ca="1" si="141"/>
        <v>197</v>
      </c>
      <c r="F948">
        <f t="shared" ca="1" si="142"/>
        <v>26</v>
      </c>
      <c r="G948">
        <f t="shared" ca="1" si="143"/>
        <v>0.87</v>
      </c>
      <c r="H948" s="1">
        <f t="shared" ca="1" si="144"/>
        <v>46373</v>
      </c>
      <c r="I948" s="1">
        <f t="shared" ca="1" si="145"/>
        <v>46054</v>
      </c>
      <c r="J948">
        <f t="shared" ca="1" si="146"/>
        <v>171.39</v>
      </c>
      <c r="K948" t="str">
        <f t="shared" ca="1" si="147"/>
        <v>In Stock</v>
      </c>
      <c r="L948" s="2">
        <f t="shared" ca="1" si="148"/>
        <v>254</v>
      </c>
      <c r="M948" t="str">
        <f t="shared" ca="1" si="149"/>
        <v>Safe</v>
      </c>
    </row>
    <row r="949" spans="1:13" x14ac:dyDescent="0.25">
      <c r="A949" t="str">
        <f t="shared" si="140"/>
        <v>M948</v>
      </c>
      <c r="B949" t="str" cm="1">
        <f t="array" aca="1" ref="B949" ca="1">INDEX({"Paracetamol","Amoxicillin","Ibuprofen","Cetirizine","Metformin","Amlodipine","Omeprazole","Azithromycin","Losartan","Vitamin C"}, RANDBETWEEN(1,10))</f>
        <v>Metformin</v>
      </c>
      <c r="C949" t="str" cm="1">
        <f t="array" aca="1" ref="C949" ca="1">INDEX({"Painkiller","Antibiotic","Painkiller","Antihistamine","Diabetes","Hypertension","Antacid","Antibiotic","Hypertension","Supplement"},
MATCH(B949,{"Paracetamol","Amoxicillin","Ibuprofen","Cetirizine","Metformin","Amlodipine","Omeprazole","Azithromycin","Losartan","Vitamin C"},0))</f>
        <v>Diabetes</v>
      </c>
      <c r="D949" t="str" cm="1">
        <f t="array" aca="1" ref="D949" ca="1">INDEX({"MedSupply Co","HealthCorp","PharmaPlus","GlobalMed"}, RANDBETWEEN(1,4))</f>
        <v>MedSupply Co</v>
      </c>
      <c r="E949">
        <f t="shared" ca="1" si="141"/>
        <v>191</v>
      </c>
      <c r="F949">
        <f t="shared" ca="1" si="142"/>
        <v>23</v>
      </c>
      <c r="G949">
        <f t="shared" ca="1" si="143"/>
        <v>0.61</v>
      </c>
      <c r="H949" s="1">
        <f t="shared" ca="1" si="144"/>
        <v>46457</v>
      </c>
      <c r="I949" s="1">
        <f t="shared" ca="1" si="145"/>
        <v>45947</v>
      </c>
      <c r="J949">
        <f t="shared" ca="1" si="146"/>
        <v>116.50999999999999</v>
      </c>
      <c r="K949" t="str">
        <f t="shared" ca="1" si="147"/>
        <v>In Stock</v>
      </c>
      <c r="L949" s="2">
        <f t="shared" ca="1" si="148"/>
        <v>338</v>
      </c>
      <c r="M949" t="str">
        <f t="shared" ca="1" si="149"/>
        <v>Safe</v>
      </c>
    </row>
    <row r="950" spans="1:13" x14ac:dyDescent="0.25">
      <c r="A950" t="str">
        <f t="shared" si="140"/>
        <v>M949</v>
      </c>
      <c r="B950" t="str" cm="1">
        <f t="array" aca="1" ref="B950" ca="1">INDEX({"Paracetamol","Amoxicillin","Ibuprofen","Cetirizine","Metformin","Amlodipine","Omeprazole","Azithromycin","Losartan","Vitamin C"}, RANDBETWEEN(1,10))</f>
        <v>Ibuprofen</v>
      </c>
      <c r="C950" t="str" cm="1">
        <f t="array" aca="1" ref="C950" ca="1">INDEX({"Painkiller","Antibiotic","Painkiller","Antihistamine","Diabetes","Hypertension","Antacid","Antibiotic","Hypertension","Supplement"},
MATCH(B950,{"Paracetamol","Amoxicillin","Ibuprofen","Cetirizine","Metformin","Amlodipine","Omeprazole","Azithromycin","Losartan","Vitamin C"},0))</f>
        <v>Painkiller</v>
      </c>
      <c r="D950" t="str" cm="1">
        <f t="array" aca="1" ref="D950" ca="1">INDEX({"MedSupply Co","HealthCorp","PharmaPlus","GlobalMed"}, RANDBETWEEN(1,4))</f>
        <v>GlobalMed</v>
      </c>
      <c r="E950">
        <f t="shared" ca="1" si="141"/>
        <v>184</v>
      </c>
      <c r="F950">
        <f t="shared" ca="1" si="142"/>
        <v>33</v>
      </c>
      <c r="G950">
        <f t="shared" ca="1" si="143"/>
        <v>0.66</v>
      </c>
      <c r="H950" s="1">
        <f t="shared" ca="1" si="144"/>
        <v>46458</v>
      </c>
      <c r="I950" s="1">
        <f t="shared" ca="1" si="145"/>
        <v>45990</v>
      </c>
      <c r="J950">
        <f t="shared" ca="1" si="146"/>
        <v>121.44000000000001</v>
      </c>
      <c r="K950" t="str">
        <f t="shared" ca="1" si="147"/>
        <v>In Stock</v>
      </c>
      <c r="L950" s="2">
        <f t="shared" ca="1" si="148"/>
        <v>339</v>
      </c>
      <c r="M950" t="str">
        <f t="shared" ca="1" si="149"/>
        <v>Safe</v>
      </c>
    </row>
    <row r="951" spans="1:13" x14ac:dyDescent="0.25">
      <c r="A951" t="str">
        <f t="shared" si="140"/>
        <v>M950</v>
      </c>
      <c r="B951" t="str" cm="1">
        <f t="array" aca="1" ref="B951" ca="1">INDEX({"Paracetamol","Amoxicillin","Ibuprofen","Cetirizine","Metformin","Amlodipine","Omeprazole","Azithromycin","Losartan","Vitamin C"}, RANDBETWEEN(1,10))</f>
        <v>Amlodipine</v>
      </c>
      <c r="C951" t="str" cm="1">
        <f t="array" aca="1" ref="C951" ca="1">INDEX({"Painkiller","Antibiotic","Painkiller","Antihistamine","Diabetes","Hypertension","Antacid","Antibiotic","Hypertension","Supplement"},
MATCH(B951,{"Paracetamol","Amoxicillin","Ibuprofen","Cetirizine","Metformin","Amlodipine","Omeprazole","Azithromycin","Losartan","Vitamin C"},0))</f>
        <v>Hypertension</v>
      </c>
      <c r="D951" t="str" cm="1">
        <f t="array" aca="1" ref="D951" ca="1">INDEX({"MedSupply Co","HealthCorp","PharmaPlus","GlobalMed"}, RANDBETWEEN(1,4))</f>
        <v>HealthCorp</v>
      </c>
      <c r="E951">
        <f t="shared" ca="1" si="141"/>
        <v>71</v>
      </c>
      <c r="F951">
        <f t="shared" ca="1" si="142"/>
        <v>38</v>
      </c>
      <c r="G951">
        <f t="shared" ca="1" si="143"/>
        <v>0.68</v>
      </c>
      <c r="H951" s="1">
        <f t="shared" ca="1" si="144"/>
        <v>46196</v>
      </c>
      <c r="I951" s="1">
        <f t="shared" ca="1" si="145"/>
        <v>45994</v>
      </c>
      <c r="J951">
        <f t="shared" ca="1" si="146"/>
        <v>48.28</v>
      </c>
      <c r="K951" t="str">
        <f t="shared" ca="1" si="147"/>
        <v>In Stock</v>
      </c>
      <c r="L951" s="2">
        <f t="shared" ca="1" si="148"/>
        <v>77</v>
      </c>
      <c r="M951" t="str">
        <f t="shared" ca="1" si="149"/>
        <v>Safe</v>
      </c>
    </row>
    <row r="952" spans="1:13" x14ac:dyDescent="0.25">
      <c r="A952" t="str">
        <f t="shared" si="140"/>
        <v>M951</v>
      </c>
      <c r="B952" t="str" cm="1">
        <f t="array" aca="1" ref="B952" ca="1">INDEX({"Paracetamol","Amoxicillin","Ibuprofen","Cetirizine","Metformin","Amlodipine","Omeprazole","Azithromycin","Losartan","Vitamin C"}, RANDBETWEEN(1,10))</f>
        <v>Cetirizine</v>
      </c>
      <c r="C952" t="str" cm="1">
        <f t="array" aca="1" ref="C952" ca="1">INDEX({"Painkiller","Antibiotic","Painkiller","Antihistamine","Diabetes","Hypertension","Antacid","Antibiotic","Hypertension","Supplement"},
MATCH(B952,{"Paracetamol","Amoxicillin","Ibuprofen","Cetirizine","Metformin","Amlodipine","Omeprazole","Azithromycin","Losartan","Vitamin C"},0))</f>
        <v>Antihistamine</v>
      </c>
      <c r="D952" t="str" cm="1">
        <f t="array" aca="1" ref="D952" ca="1">INDEX({"MedSupply Co","HealthCorp","PharmaPlus","GlobalMed"}, RANDBETWEEN(1,4))</f>
        <v>MedSupply Co</v>
      </c>
      <c r="E952">
        <f t="shared" ca="1" si="141"/>
        <v>49</v>
      </c>
      <c r="F952">
        <f t="shared" ca="1" si="142"/>
        <v>80</v>
      </c>
      <c r="G952">
        <f t="shared" ca="1" si="143"/>
        <v>0.54</v>
      </c>
      <c r="H952" s="1">
        <f t="shared" ca="1" si="144"/>
        <v>46410</v>
      </c>
      <c r="I952" s="1">
        <f t="shared" ca="1" si="145"/>
        <v>45960</v>
      </c>
      <c r="J952">
        <f t="shared" ca="1" si="146"/>
        <v>26.46</v>
      </c>
      <c r="K952" t="str">
        <f t="shared" ca="1" si="147"/>
        <v>Low Stock</v>
      </c>
      <c r="L952" s="2">
        <f t="shared" ca="1" si="148"/>
        <v>291</v>
      </c>
      <c r="M952" t="str">
        <f t="shared" ca="1" si="149"/>
        <v>Safe</v>
      </c>
    </row>
    <row r="953" spans="1:13" x14ac:dyDescent="0.25">
      <c r="A953" t="str">
        <f t="shared" si="140"/>
        <v>M952</v>
      </c>
      <c r="B953" t="str" cm="1">
        <f t="array" aca="1" ref="B953" ca="1">INDEX({"Paracetamol","Amoxicillin","Ibuprofen","Cetirizine","Metformin","Amlodipine","Omeprazole","Azithromycin","Losartan","Vitamin C"}, RANDBETWEEN(1,10))</f>
        <v>Amoxicillin</v>
      </c>
      <c r="C953" t="str" cm="1">
        <f t="array" aca="1" ref="C953" ca="1">INDEX({"Painkiller","Antibiotic","Painkiller","Antihistamine","Diabetes","Hypertension","Antacid","Antibiotic","Hypertension","Supplement"},
MATCH(B953,{"Paracetamol","Amoxicillin","Ibuprofen","Cetirizine","Metformin","Amlodipine","Omeprazole","Azithromycin","Losartan","Vitamin C"},0))</f>
        <v>Antibiotic</v>
      </c>
      <c r="D953" t="str" cm="1">
        <f t="array" aca="1" ref="D953" ca="1">INDEX({"MedSupply Co","HealthCorp","PharmaPlus","GlobalMed"}, RANDBETWEEN(1,4))</f>
        <v>MedSupply Co</v>
      </c>
      <c r="E953">
        <f t="shared" ca="1" si="141"/>
        <v>199</v>
      </c>
      <c r="F953">
        <f t="shared" ca="1" si="142"/>
        <v>71</v>
      </c>
      <c r="G953">
        <f t="shared" ca="1" si="143"/>
        <v>1.99</v>
      </c>
      <c r="H953" s="1">
        <f t="shared" ca="1" si="144"/>
        <v>46355</v>
      </c>
      <c r="I953" s="1">
        <f t="shared" ca="1" si="145"/>
        <v>46088</v>
      </c>
      <c r="J953">
        <f t="shared" ca="1" si="146"/>
        <v>396.01</v>
      </c>
      <c r="K953" t="str">
        <f t="shared" ca="1" si="147"/>
        <v>In Stock</v>
      </c>
      <c r="L953" s="2">
        <f t="shared" ca="1" si="148"/>
        <v>236</v>
      </c>
      <c r="M953" t="str">
        <f t="shared" ca="1" si="149"/>
        <v>Safe</v>
      </c>
    </row>
    <row r="954" spans="1:13" x14ac:dyDescent="0.25">
      <c r="A954" t="str">
        <f t="shared" si="140"/>
        <v>M953</v>
      </c>
      <c r="B954" t="str" cm="1">
        <f t="array" aca="1" ref="B954" ca="1">INDEX({"Paracetamol","Amoxicillin","Ibuprofen","Cetirizine","Metformin","Amlodipine","Omeprazole","Azithromycin","Losartan","Vitamin C"}, RANDBETWEEN(1,10))</f>
        <v>Omeprazole</v>
      </c>
      <c r="C954" t="str" cm="1">
        <f t="array" aca="1" ref="C954" ca="1">INDEX({"Painkiller","Antibiotic","Painkiller","Antihistamine","Diabetes","Hypertension","Antacid","Antibiotic","Hypertension","Supplement"},
MATCH(B954,{"Paracetamol","Amoxicillin","Ibuprofen","Cetirizine","Metformin","Amlodipine","Omeprazole","Azithromycin","Losartan","Vitamin C"},0))</f>
        <v>Antacid</v>
      </c>
      <c r="D954" t="str" cm="1">
        <f t="array" aca="1" ref="D954" ca="1">INDEX({"MedSupply Co","HealthCorp","PharmaPlus","GlobalMed"}, RANDBETWEEN(1,4))</f>
        <v>PharmaPlus</v>
      </c>
      <c r="E954">
        <f t="shared" ca="1" si="141"/>
        <v>155</v>
      </c>
      <c r="F954">
        <f t="shared" ca="1" si="142"/>
        <v>97</v>
      </c>
      <c r="G954">
        <f t="shared" ca="1" si="143"/>
        <v>1.01</v>
      </c>
      <c r="H954" s="1">
        <f t="shared" ca="1" si="144"/>
        <v>46433</v>
      </c>
      <c r="I954" s="1">
        <f t="shared" ca="1" si="145"/>
        <v>45965</v>
      </c>
      <c r="J954">
        <f t="shared" ca="1" si="146"/>
        <v>156.55000000000001</v>
      </c>
      <c r="K954" t="str">
        <f t="shared" ca="1" si="147"/>
        <v>In Stock</v>
      </c>
      <c r="L954" s="2">
        <f t="shared" ca="1" si="148"/>
        <v>314</v>
      </c>
      <c r="M954" t="str">
        <f t="shared" ca="1" si="149"/>
        <v>Safe</v>
      </c>
    </row>
    <row r="955" spans="1:13" x14ac:dyDescent="0.25">
      <c r="A955" t="str">
        <f t="shared" si="140"/>
        <v>M954</v>
      </c>
      <c r="B955" t="str" cm="1">
        <f t="array" aca="1" ref="B955" ca="1">INDEX({"Paracetamol","Amoxicillin","Ibuprofen","Cetirizine","Metformin","Amlodipine","Omeprazole","Azithromycin","Losartan","Vitamin C"}, RANDBETWEEN(1,10))</f>
        <v>Ibuprofen</v>
      </c>
      <c r="C955" t="str" cm="1">
        <f t="array" aca="1" ref="C955" ca="1">INDEX({"Painkiller","Antibiotic","Painkiller","Antihistamine","Diabetes","Hypertension","Antacid","Antibiotic","Hypertension","Supplement"},
MATCH(B955,{"Paracetamol","Amoxicillin","Ibuprofen","Cetirizine","Metformin","Amlodipine","Omeprazole","Azithromycin","Losartan","Vitamin C"},0))</f>
        <v>Painkiller</v>
      </c>
      <c r="D955" t="str" cm="1">
        <f t="array" aca="1" ref="D955" ca="1">INDEX({"MedSupply Co","HealthCorp","PharmaPlus","GlobalMed"}, RANDBETWEEN(1,4))</f>
        <v>PharmaPlus</v>
      </c>
      <c r="E955">
        <f t="shared" ca="1" si="141"/>
        <v>38</v>
      </c>
      <c r="F955">
        <f t="shared" ca="1" si="142"/>
        <v>88</v>
      </c>
      <c r="G955">
        <f t="shared" ca="1" si="143"/>
        <v>0.57999999999999996</v>
      </c>
      <c r="H955" s="1">
        <f t="shared" ca="1" si="144"/>
        <v>46398</v>
      </c>
      <c r="I955" s="1">
        <f t="shared" ca="1" si="145"/>
        <v>46027</v>
      </c>
      <c r="J955">
        <f t="shared" ca="1" si="146"/>
        <v>22.04</v>
      </c>
      <c r="K955" t="str">
        <f t="shared" ca="1" si="147"/>
        <v>Low Stock</v>
      </c>
      <c r="L955" s="2">
        <f t="shared" ca="1" si="148"/>
        <v>279</v>
      </c>
      <c r="M955" t="str">
        <f t="shared" ca="1" si="149"/>
        <v>Safe</v>
      </c>
    </row>
    <row r="956" spans="1:13" x14ac:dyDescent="0.25">
      <c r="A956" t="str">
        <f t="shared" si="140"/>
        <v>M955</v>
      </c>
      <c r="B956" t="str" cm="1">
        <f t="array" aca="1" ref="B956" ca="1">INDEX({"Paracetamol","Amoxicillin","Ibuprofen","Cetirizine","Metformin","Amlodipine","Omeprazole","Azithromycin","Losartan","Vitamin C"}, RANDBETWEEN(1,10))</f>
        <v>Cetirizine</v>
      </c>
      <c r="C956" t="str" cm="1">
        <f t="array" aca="1" ref="C956" ca="1">INDEX({"Painkiller","Antibiotic","Painkiller","Antihistamine","Diabetes","Hypertension","Antacid","Antibiotic","Hypertension","Supplement"},
MATCH(B956,{"Paracetamol","Amoxicillin","Ibuprofen","Cetirizine","Metformin","Amlodipine","Omeprazole","Azithromycin","Losartan","Vitamin C"},0))</f>
        <v>Antihistamine</v>
      </c>
      <c r="D956" t="str" cm="1">
        <f t="array" aca="1" ref="D956" ca="1">INDEX({"MedSupply Co","HealthCorp","PharmaPlus","GlobalMed"}, RANDBETWEEN(1,4))</f>
        <v>MedSupply Co</v>
      </c>
      <c r="E956">
        <f t="shared" ca="1" si="141"/>
        <v>83</v>
      </c>
      <c r="F956">
        <f t="shared" ca="1" si="142"/>
        <v>37</v>
      </c>
      <c r="G956">
        <f t="shared" ca="1" si="143"/>
        <v>1.87</v>
      </c>
      <c r="H956" s="1">
        <f t="shared" ca="1" si="144"/>
        <v>46464</v>
      </c>
      <c r="I956" s="1">
        <f t="shared" ca="1" si="145"/>
        <v>46044</v>
      </c>
      <c r="J956">
        <f t="shared" ca="1" si="146"/>
        <v>155.21</v>
      </c>
      <c r="K956" t="str">
        <f t="shared" ca="1" si="147"/>
        <v>In Stock</v>
      </c>
      <c r="L956" s="2">
        <f t="shared" ca="1" si="148"/>
        <v>345</v>
      </c>
      <c r="M956" t="str">
        <f t="shared" ca="1" si="149"/>
        <v>Safe</v>
      </c>
    </row>
    <row r="957" spans="1:13" x14ac:dyDescent="0.25">
      <c r="A957" t="str">
        <f t="shared" si="140"/>
        <v>M956</v>
      </c>
      <c r="B957" t="str" cm="1">
        <f t="array" aca="1" ref="B957" ca="1">INDEX({"Paracetamol","Amoxicillin","Ibuprofen","Cetirizine","Metformin","Amlodipine","Omeprazole","Azithromycin","Losartan","Vitamin C"}, RANDBETWEEN(1,10))</f>
        <v>Ibuprofen</v>
      </c>
      <c r="C957" t="str" cm="1">
        <f t="array" aca="1" ref="C957" ca="1">INDEX({"Painkiller","Antibiotic","Painkiller","Antihistamine","Diabetes","Hypertension","Antacid","Antibiotic","Hypertension","Supplement"},
MATCH(B957,{"Paracetamol","Amoxicillin","Ibuprofen","Cetirizine","Metformin","Amlodipine","Omeprazole","Azithromycin","Losartan","Vitamin C"},0))</f>
        <v>Painkiller</v>
      </c>
      <c r="D957" t="str" cm="1">
        <f t="array" aca="1" ref="D957" ca="1">INDEX({"MedSupply Co","HealthCorp","PharmaPlus","GlobalMed"}, RANDBETWEEN(1,4))</f>
        <v>PharmaPlus</v>
      </c>
      <c r="E957">
        <f t="shared" ca="1" si="141"/>
        <v>161</v>
      </c>
      <c r="F957">
        <f t="shared" ca="1" si="142"/>
        <v>62</v>
      </c>
      <c r="G957">
        <f t="shared" ca="1" si="143"/>
        <v>1.96</v>
      </c>
      <c r="H957" s="1">
        <f t="shared" ca="1" si="144"/>
        <v>46256</v>
      </c>
      <c r="I957" s="1">
        <f t="shared" ca="1" si="145"/>
        <v>45973</v>
      </c>
      <c r="J957">
        <f t="shared" ca="1" si="146"/>
        <v>315.56</v>
      </c>
      <c r="K957" t="str">
        <f t="shared" ca="1" si="147"/>
        <v>In Stock</v>
      </c>
      <c r="L957" s="2">
        <f t="shared" ca="1" si="148"/>
        <v>137</v>
      </c>
      <c r="M957" t="str">
        <f t="shared" ca="1" si="149"/>
        <v>Safe</v>
      </c>
    </row>
    <row r="958" spans="1:13" x14ac:dyDescent="0.25">
      <c r="A958" t="str">
        <f t="shared" si="140"/>
        <v>M957</v>
      </c>
      <c r="B958" t="str" cm="1">
        <f t="array" aca="1" ref="B958" ca="1">INDEX({"Paracetamol","Amoxicillin","Ibuprofen","Cetirizine","Metformin","Amlodipine","Omeprazole","Azithromycin","Losartan","Vitamin C"}, RANDBETWEEN(1,10))</f>
        <v>Amlodipine</v>
      </c>
      <c r="C958" t="str" cm="1">
        <f t="array" aca="1" ref="C958" ca="1">INDEX({"Painkiller","Antibiotic","Painkiller","Antihistamine","Diabetes","Hypertension","Antacid","Antibiotic","Hypertension","Supplement"},
MATCH(B958,{"Paracetamol","Amoxicillin","Ibuprofen","Cetirizine","Metformin","Amlodipine","Omeprazole","Azithromycin","Losartan","Vitamin C"},0))</f>
        <v>Hypertension</v>
      </c>
      <c r="D958" t="str" cm="1">
        <f t="array" aca="1" ref="D958" ca="1">INDEX({"MedSupply Co","HealthCorp","PharmaPlus","GlobalMed"}, RANDBETWEEN(1,4))</f>
        <v>GlobalMed</v>
      </c>
      <c r="E958">
        <f t="shared" ca="1" si="141"/>
        <v>188</v>
      </c>
      <c r="F958">
        <f t="shared" ca="1" si="142"/>
        <v>56</v>
      </c>
      <c r="G958">
        <f t="shared" ca="1" si="143"/>
        <v>0.97</v>
      </c>
      <c r="H958" s="1">
        <f t="shared" ca="1" si="144"/>
        <v>46357</v>
      </c>
      <c r="I958" s="1">
        <f t="shared" ca="1" si="145"/>
        <v>46106</v>
      </c>
      <c r="J958">
        <f t="shared" ca="1" si="146"/>
        <v>182.35999999999999</v>
      </c>
      <c r="K958" t="str">
        <f t="shared" ca="1" si="147"/>
        <v>In Stock</v>
      </c>
      <c r="L958" s="2">
        <f t="shared" ca="1" si="148"/>
        <v>238</v>
      </c>
      <c r="M958" t="str">
        <f t="shared" ca="1" si="149"/>
        <v>Safe</v>
      </c>
    </row>
    <row r="959" spans="1:13" x14ac:dyDescent="0.25">
      <c r="A959" t="str">
        <f t="shared" si="140"/>
        <v>M958</v>
      </c>
      <c r="B959" t="str" cm="1">
        <f t="array" aca="1" ref="B959" ca="1">INDEX({"Paracetamol","Amoxicillin","Ibuprofen","Cetirizine","Metformin","Amlodipine","Omeprazole","Azithromycin","Losartan","Vitamin C"}, RANDBETWEEN(1,10))</f>
        <v>Cetirizine</v>
      </c>
      <c r="C959" t="str" cm="1">
        <f t="array" aca="1" ref="C959" ca="1">INDEX({"Painkiller","Antibiotic","Painkiller","Antihistamine","Diabetes","Hypertension","Antacid","Antibiotic","Hypertension","Supplement"},
MATCH(B959,{"Paracetamol","Amoxicillin","Ibuprofen","Cetirizine","Metformin","Amlodipine","Omeprazole","Azithromycin","Losartan","Vitamin C"},0))</f>
        <v>Antihistamine</v>
      </c>
      <c r="D959" t="str" cm="1">
        <f t="array" aca="1" ref="D959" ca="1">INDEX({"MedSupply Co","HealthCorp","PharmaPlus","GlobalMed"}, RANDBETWEEN(1,4))</f>
        <v>PharmaPlus</v>
      </c>
      <c r="E959">
        <f t="shared" ca="1" si="141"/>
        <v>7</v>
      </c>
      <c r="F959">
        <f t="shared" ca="1" si="142"/>
        <v>73</v>
      </c>
      <c r="G959">
        <f t="shared" ca="1" si="143"/>
        <v>0.5</v>
      </c>
      <c r="H959" s="1">
        <f t="shared" ca="1" si="144"/>
        <v>46310</v>
      </c>
      <c r="I959" s="1">
        <f t="shared" ca="1" si="145"/>
        <v>45958</v>
      </c>
      <c r="J959">
        <f t="shared" ca="1" si="146"/>
        <v>3.5</v>
      </c>
      <c r="K959" t="str">
        <f t="shared" ca="1" si="147"/>
        <v>Low Stock</v>
      </c>
      <c r="L959" s="2">
        <f t="shared" ca="1" si="148"/>
        <v>191</v>
      </c>
      <c r="M959" t="str">
        <f t="shared" ca="1" si="149"/>
        <v>Safe</v>
      </c>
    </row>
    <row r="960" spans="1:13" x14ac:dyDescent="0.25">
      <c r="A960" t="str">
        <f t="shared" si="140"/>
        <v>M959</v>
      </c>
      <c r="B960" t="str" cm="1">
        <f t="array" aca="1" ref="B960" ca="1">INDEX({"Paracetamol","Amoxicillin","Ibuprofen","Cetirizine","Metformin","Amlodipine","Omeprazole","Azithromycin","Losartan","Vitamin C"}, RANDBETWEEN(1,10))</f>
        <v>Cetirizine</v>
      </c>
      <c r="C960" t="str" cm="1">
        <f t="array" aca="1" ref="C960" ca="1">INDEX({"Painkiller","Antibiotic","Painkiller","Antihistamine","Diabetes","Hypertension","Antacid","Antibiotic","Hypertension","Supplement"},
MATCH(B960,{"Paracetamol","Amoxicillin","Ibuprofen","Cetirizine","Metformin","Amlodipine","Omeprazole","Azithromycin","Losartan","Vitamin C"},0))</f>
        <v>Antihistamine</v>
      </c>
      <c r="D960" t="str" cm="1">
        <f t="array" aca="1" ref="D960" ca="1">INDEX({"MedSupply Co","HealthCorp","PharmaPlus","GlobalMed"}, RANDBETWEEN(1,4))</f>
        <v>MedSupply Co</v>
      </c>
      <c r="E960">
        <f t="shared" ca="1" si="141"/>
        <v>198</v>
      </c>
      <c r="F960">
        <f t="shared" ca="1" si="142"/>
        <v>32</v>
      </c>
      <c r="G960">
        <f t="shared" ca="1" si="143"/>
        <v>1.86</v>
      </c>
      <c r="H960" s="1">
        <f t="shared" ca="1" si="144"/>
        <v>46296</v>
      </c>
      <c r="I960" s="1">
        <f t="shared" ca="1" si="145"/>
        <v>46094</v>
      </c>
      <c r="J960">
        <f t="shared" ca="1" si="146"/>
        <v>368.28000000000003</v>
      </c>
      <c r="K960" t="str">
        <f t="shared" ca="1" si="147"/>
        <v>In Stock</v>
      </c>
      <c r="L960" s="2">
        <f t="shared" ca="1" si="148"/>
        <v>177</v>
      </c>
      <c r="M960" t="str">
        <f t="shared" ca="1" si="149"/>
        <v>Safe</v>
      </c>
    </row>
    <row r="961" spans="1:13" x14ac:dyDescent="0.25">
      <c r="A961" t="str">
        <f t="shared" si="140"/>
        <v>M960</v>
      </c>
      <c r="B961" t="str" cm="1">
        <f t="array" aca="1" ref="B961" ca="1">INDEX({"Paracetamol","Amoxicillin","Ibuprofen","Cetirizine","Metformin","Amlodipine","Omeprazole","Azithromycin","Losartan","Vitamin C"}, RANDBETWEEN(1,10))</f>
        <v>Metformin</v>
      </c>
      <c r="C961" t="str" cm="1">
        <f t="array" aca="1" ref="C961" ca="1">INDEX({"Painkiller","Antibiotic","Painkiller","Antihistamine","Diabetes","Hypertension","Antacid","Antibiotic","Hypertension","Supplement"},
MATCH(B961,{"Paracetamol","Amoxicillin","Ibuprofen","Cetirizine","Metformin","Amlodipine","Omeprazole","Azithromycin","Losartan","Vitamin C"},0))</f>
        <v>Diabetes</v>
      </c>
      <c r="D961" t="str" cm="1">
        <f t="array" aca="1" ref="D961" ca="1">INDEX({"MedSupply Co","HealthCorp","PharmaPlus","GlobalMed"}, RANDBETWEEN(1,4))</f>
        <v>GlobalMed</v>
      </c>
      <c r="E961">
        <f t="shared" ca="1" si="141"/>
        <v>194</v>
      </c>
      <c r="F961">
        <f t="shared" ca="1" si="142"/>
        <v>30</v>
      </c>
      <c r="G961">
        <f t="shared" ca="1" si="143"/>
        <v>0.53</v>
      </c>
      <c r="H961" s="1">
        <f t="shared" ca="1" si="144"/>
        <v>46215</v>
      </c>
      <c r="I961" s="1">
        <f t="shared" ca="1" si="145"/>
        <v>45965</v>
      </c>
      <c r="J961">
        <f t="shared" ca="1" si="146"/>
        <v>102.82000000000001</v>
      </c>
      <c r="K961" t="str">
        <f t="shared" ca="1" si="147"/>
        <v>In Stock</v>
      </c>
      <c r="L961" s="2">
        <f t="shared" ca="1" si="148"/>
        <v>96</v>
      </c>
      <c r="M961" t="str">
        <f t="shared" ca="1" si="149"/>
        <v>Safe</v>
      </c>
    </row>
    <row r="962" spans="1:13" x14ac:dyDescent="0.25">
      <c r="A962" t="str">
        <f t="shared" si="140"/>
        <v>M961</v>
      </c>
      <c r="B962" t="str" cm="1">
        <f t="array" aca="1" ref="B962" ca="1">INDEX({"Paracetamol","Amoxicillin","Ibuprofen","Cetirizine","Metformin","Amlodipine","Omeprazole","Azithromycin","Losartan","Vitamin C"}, RANDBETWEEN(1,10))</f>
        <v>Amoxicillin</v>
      </c>
      <c r="C962" t="str" cm="1">
        <f t="array" aca="1" ref="C962" ca="1">INDEX({"Painkiller","Antibiotic","Painkiller","Antihistamine","Diabetes","Hypertension","Antacid","Antibiotic","Hypertension","Supplement"},
MATCH(B962,{"Paracetamol","Amoxicillin","Ibuprofen","Cetirizine","Metformin","Amlodipine","Omeprazole","Azithromycin","Losartan","Vitamin C"},0))</f>
        <v>Antibiotic</v>
      </c>
      <c r="D962" t="str" cm="1">
        <f t="array" aca="1" ref="D962" ca="1">INDEX({"MedSupply Co","HealthCorp","PharmaPlus","GlobalMed"}, RANDBETWEEN(1,4))</f>
        <v>HealthCorp</v>
      </c>
      <c r="E962">
        <f t="shared" ca="1" si="141"/>
        <v>63</v>
      </c>
      <c r="F962">
        <f t="shared" ca="1" si="142"/>
        <v>83</v>
      </c>
      <c r="G962">
        <f t="shared" ca="1" si="143"/>
        <v>1.66</v>
      </c>
      <c r="H962" s="1">
        <f t="shared" ca="1" si="144"/>
        <v>46168</v>
      </c>
      <c r="I962" s="1">
        <f t="shared" ca="1" si="145"/>
        <v>46007</v>
      </c>
      <c r="J962">
        <f t="shared" ca="1" si="146"/>
        <v>104.58</v>
      </c>
      <c r="K962" t="str">
        <f t="shared" ca="1" si="147"/>
        <v>Low Stock</v>
      </c>
      <c r="L962" s="2">
        <f t="shared" ca="1" si="148"/>
        <v>49</v>
      </c>
      <c r="M962" t="str">
        <f t="shared" ca="1" si="149"/>
        <v>Safe</v>
      </c>
    </row>
    <row r="963" spans="1:13" x14ac:dyDescent="0.25">
      <c r="A963" t="str">
        <f t="shared" ref="A963:A1001" si="150">"M"&amp;TEXT(ROW(A962),"000")</f>
        <v>M962</v>
      </c>
      <c r="B963" t="str" cm="1">
        <f t="array" aca="1" ref="B963" ca="1">INDEX({"Paracetamol","Amoxicillin","Ibuprofen","Cetirizine","Metformin","Amlodipine","Omeprazole","Azithromycin","Losartan","Vitamin C"}, RANDBETWEEN(1,10))</f>
        <v>Azithromycin</v>
      </c>
      <c r="C963" t="str" cm="1">
        <f t="array" aca="1" ref="C963" ca="1">INDEX({"Painkiller","Antibiotic","Painkiller","Antihistamine","Diabetes","Hypertension","Antacid","Antibiotic","Hypertension","Supplement"},
MATCH(B963,{"Paracetamol","Amoxicillin","Ibuprofen","Cetirizine","Metformin","Amlodipine","Omeprazole","Azithromycin","Losartan","Vitamin C"},0))</f>
        <v>Antibiotic</v>
      </c>
      <c r="D963" t="str" cm="1">
        <f t="array" aca="1" ref="D963" ca="1">INDEX({"MedSupply Co","HealthCorp","PharmaPlus","GlobalMed"}, RANDBETWEEN(1,4))</f>
        <v>HealthCorp</v>
      </c>
      <c r="E963">
        <f t="shared" ref="E963:E1001" ca="1" si="151">RANDBETWEEN(0,200)</f>
        <v>186</v>
      </c>
      <c r="F963">
        <f t="shared" ref="F963:F1001" ca="1" si="152">RANDBETWEEN(20,100)</f>
        <v>50</v>
      </c>
      <c r="G963">
        <f t="shared" ref="G963:G1001" ca="1" si="153">ROUND(RANDBETWEEN(50,200)/100,2)</f>
        <v>1.56</v>
      </c>
      <c r="H963" s="1">
        <f t="shared" ref="H963:H1001" ca="1" si="154">TODAY()+RANDBETWEEN(30,365)</f>
        <v>46241</v>
      </c>
      <c r="I963" s="1">
        <f t="shared" ref="I963:I1001" ca="1" si="155">TODAY()-RANDBETWEEN(1,180)</f>
        <v>46031</v>
      </c>
      <c r="J963">
        <f t="shared" ref="J963:J1001" ca="1" si="156">E963*G963</f>
        <v>290.16000000000003</v>
      </c>
      <c r="K963" t="str">
        <f t="shared" ref="K963:K1001" ca="1" si="157">IF(E963=0,"Out of Stock",IF(E963&lt;F963,"Low Stock","In Stock"))</f>
        <v>In Stock</v>
      </c>
      <c r="L963" s="2">
        <f t="shared" ref="L963:L1001" ca="1" si="158">H963-TODAY()</f>
        <v>122</v>
      </c>
      <c r="M963" t="str">
        <f t="shared" ref="M963:M1001" ca="1" si="159">IF(H963&lt;=TODAY()+30,"Expiring Soon","Safe")</f>
        <v>Safe</v>
      </c>
    </row>
    <row r="964" spans="1:13" x14ac:dyDescent="0.25">
      <c r="A964" t="str">
        <f t="shared" si="150"/>
        <v>M963</v>
      </c>
      <c r="B964" t="str" cm="1">
        <f t="array" aca="1" ref="B964" ca="1">INDEX({"Paracetamol","Amoxicillin","Ibuprofen","Cetirizine","Metformin","Amlodipine","Omeprazole","Azithromycin","Losartan","Vitamin C"}, RANDBETWEEN(1,10))</f>
        <v>Azithromycin</v>
      </c>
      <c r="C964" t="str" cm="1">
        <f t="array" aca="1" ref="C964" ca="1">INDEX({"Painkiller","Antibiotic","Painkiller","Antihistamine","Diabetes","Hypertension","Antacid","Antibiotic","Hypertension","Supplement"},
MATCH(B964,{"Paracetamol","Amoxicillin","Ibuprofen","Cetirizine","Metformin","Amlodipine","Omeprazole","Azithromycin","Losartan","Vitamin C"},0))</f>
        <v>Antibiotic</v>
      </c>
      <c r="D964" t="str" cm="1">
        <f t="array" aca="1" ref="D964" ca="1">INDEX({"MedSupply Co","HealthCorp","PharmaPlus","GlobalMed"}, RANDBETWEEN(1,4))</f>
        <v>MedSupply Co</v>
      </c>
      <c r="E964">
        <f t="shared" ca="1" si="151"/>
        <v>188</v>
      </c>
      <c r="F964">
        <f t="shared" ca="1" si="152"/>
        <v>97</v>
      </c>
      <c r="G964">
        <f t="shared" ca="1" si="153"/>
        <v>1.24</v>
      </c>
      <c r="H964" s="1">
        <f t="shared" ca="1" si="154"/>
        <v>46419</v>
      </c>
      <c r="I964" s="1">
        <f t="shared" ca="1" si="155"/>
        <v>46097</v>
      </c>
      <c r="J964">
        <f t="shared" ca="1" si="156"/>
        <v>233.12</v>
      </c>
      <c r="K964" t="str">
        <f t="shared" ca="1" si="157"/>
        <v>In Stock</v>
      </c>
      <c r="L964" s="2">
        <f t="shared" ca="1" si="158"/>
        <v>300</v>
      </c>
      <c r="M964" t="str">
        <f t="shared" ca="1" si="159"/>
        <v>Safe</v>
      </c>
    </row>
    <row r="965" spans="1:13" x14ac:dyDescent="0.25">
      <c r="A965" t="str">
        <f t="shared" si="150"/>
        <v>M964</v>
      </c>
      <c r="B965" t="str" cm="1">
        <f t="array" aca="1" ref="B965" ca="1">INDEX({"Paracetamol","Amoxicillin","Ibuprofen","Cetirizine","Metformin","Amlodipine","Omeprazole","Azithromycin","Losartan","Vitamin C"}, RANDBETWEEN(1,10))</f>
        <v>Losartan</v>
      </c>
      <c r="C965" t="str" cm="1">
        <f t="array" aca="1" ref="C965" ca="1">INDEX({"Painkiller","Antibiotic","Painkiller","Antihistamine","Diabetes","Hypertension","Antacid","Antibiotic","Hypertension","Supplement"},
MATCH(B965,{"Paracetamol","Amoxicillin","Ibuprofen","Cetirizine","Metformin","Amlodipine","Omeprazole","Azithromycin","Losartan","Vitamin C"},0))</f>
        <v>Hypertension</v>
      </c>
      <c r="D965" t="str" cm="1">
        <f t="array" aca="1" ref="D965" ca="1">INDEX({"MedSupply Co","HealthCorp","PharmaPlus","GlobalMed"}, RANDBETWEEN(1,4))</f>
        <v>MedSupply Co</v>
      </c>
      <c r="E965">
        <f t="shared" ca="1" si="151"/>
        <v>172</v>
      </c>
      <c r="F965">
        <f t="shared" ca="1" si="152"/>
        <v>36</v>
      </c>
      <c r="G965">
        <f t="shared" ca="1" si="153"/>
        <v>1.1200000000000001</v>
      </c>
      <c r="H965" s="1">
        <f t="shared" ca="1" si="154"/>
        <v>46477</v>
      </c>
      <c r="I965" s="1">
        <f t="shared" ca="1" si="155"/>
        <v>46115</v>
      </c>
      <c r="J965">
        <f t="shared" ca="1" si="156"/>
        <v>192.64000000000001</v>
      </c>
      <c r="K965" t="str">
        <f t="shared" ca="1" si="157"/>
        <v>In Stock</v>
      </c>
      <c r="L965" s="2">
        <f t="shared" ca="1" si="158"/>
        <v>358</v>
      </c>
      <c r="M965" t="str">
        <f t="shared" ca="1" si="159"/>
        <v>Safe</v>
      </c>
    </row>
    <row r="966" spans="1:13" x14ac:dyDescent="0.25">
      <c r="A966" t="str">
        <f t="shared" si="150"/>
        <v>M965</v>
      </c>
      <c r="B966" t="str" cm="1">
        <f t="array" aca="1" ref="B966" ca="1">INDEX({"Paracetamol","Amoxicillin","Ibuprofen","Cetirizine","Metformin","Amlodipine","Omeprazole","Azithromycin","Losartan","Vitamin C"}, RANDBETWEEN(1,10))</f>
        <v>Amoxicillin</v>
      </c>
      <c r="C966" t="str" cm="1">
        <f t="array" aca="1" ref="C966" ca="1">INDEX({"Painkiller","Antibiotic","Painkiller","Antihistamine","Diabetes","Hypertension","Antacid","Antibiotic","Hypertension","Supplement"},
MATCH(B966,{"Paracetamol","Amoxicillin","Ibuprofen","Cetirizine","Metformin","Amlodipine","Omeprazole","Azithromycin","Losartan","Vitamin C"},0))</f>
        <v>Antibiotic</v>
      </c>
      <c r="D966" t="str" cm="1">
        <f t="array" aca="1" ref="D966" ca="1">INDEX({"MedSupply Co","HealthCorp","PharmaPlus","GlobalMed"}, RANDBETWEEN(1,4))</f>
        <v>PharmaPlus</v>
      </c>
      <c r="E966">
        <f t="shared" ca="1" si="151"/>
        <v>97</v>
      </c>
      <c r="F966">
        <f t="shared" ca="1" si="152"/>
        <v>47</v>
      </c>
      <c r="G966">
        <f t="shared" ca="1" si="153"/>
        <v>1.93</v>
      </c>
      <c r="H966" s="1">
        <f t="shared" ca="1" si="154"/>
        <v>46187</v>
      </c>
      <c r="I966" s="1">
        <f t="shared" ca="1" si="155"/>
        <v>46025</v>
      </c>
      <c r="J966">
        <f t="shared" ca="1" si="156"/>
        <v>187.21</v>
      </c>
      <c r="K966" t="str">
        <f t="shared" ca="1" si="157"/>
        <v>In Stock</v>
      </c>
      <c r="L966" s="2">
        <f t="shared" ca="1" si="158"/>
        <v>68</v>
      </c>
      <c r="M966" t="str">
        <f t="shared" ca="1" si="159"/>
        <v>Safe</v>
      </c>
    </row>
    <row r="967" spans="1:13" x14ac:dyDescent="0.25">
      <c r="A967" t="str">
        <f t="shared" si="150"/>
        <v>M966</v>
      </c>
      <c r="B967" t="str" cm="1">
        <f t="array" aca="1" ref="B967" ca="1">INDEX({"Paracetamol","Amoxicillin","Ibuprofen","Cetirizine","Metformin","Amlodipine","Omeprazole","Azithromycin","Losartan","Vitamin C"}, RANDBETWEEN(1,10))</f>
        <v>Paracetamol</v>
      </c>
      <c r="C967" t="str" cm="1">
        <f t="array" aca="1" ref="C967" ca="1">INDEX({"Painkiller","Antibiotic","Painkiller","Antihistamine","Diabetes","Hypertension","Antacid","Antibiotic","Hypertension","Supplement"},
MATCH(B967,{"Paracetamol","Amoxicillin","Ibuprofen","Cetirizine","Metformin","Amlodipine","Omeprazole","Azithromycin","Losartan","Vitamin C"},0))</f>
        <v>Painkiller</v>
      </c>
      <c r="D967" t="str" cm="1">
        <f t="array" aca="1" ref="D967" ca="1">INDEX({"MedSupply Co","HealthCorp","PharmaPlus","GlobalMed"}, RANDBETWEEN(1,4))</f>
        <v>GlobalMed</v>
      </c>
      <c r="E967">
        <f t="shared" ca="1" si="151"/>
        <v>95</v>
      </c>
      <c r="F967">
        <f t="shared" ca="1" si="152"/>
        <v>93</v>
      </c>
      <c r="G967">
        <f t="shared" ca="1" si="153"/>
        <v>1.92</v>
      </c>
      <c r="H967" s="1">
        <f t="shared" ca="1" si="154"/>
        <v>46298</v>
      </c>
      <c r="I967" s="1">
        <f t="shared" ca="1" si="155"/>
        <v>45982</v>
      </c>
      <c r="J967">
        <f t="shared" ca="1" si="156"/>
        <v>182.4</v>
      </c>
      <c r="K967" t="str">
        <f t="shared" ca="1" si="157"/>
        <v>In Stock</v>
      </c>
      <c r="L967" s="2">
        <f t="shared" ca="1" si="158"/>
        <v>179</v>
      </c>
      <c r="M967" t="str">
        <f t="shared" ca="1" si="159"/>
        <v>Safe</v>
      </c>
    </row>
    <row r="968" spans="1:13" x14ac:dyDescent="0.25">
      <c r="A968" t="str">
        <f t="shared" si="150"/>
        <v>M967</v>
      </c>
      <c r="B968" t="str" cm="1">
        <f t="array" aca="1" ref="B968" ca="1">INDEX({"Paracetamol","Amoxicillin","Ibuprofen","Cetirizine","Metformin","Amlodipine","Omeprazole","Azithromycin","Losartan","Vitamin C"}, RANDBETWEEN(1,10))</f>
        <v>Omeprazole</v>
      </c>
      <c r="C968" t="str" cm="1">
        <f t="array" aca="1" ref="C968" ca="1">INDEX({"Painkiller","Antibiotic","Painkiller","Antihistamine","Diabetes","Hypertension","Antacid","Antibiotic","Hypertension","Supplement"},
MATCH(B968,{"Paracetamol","Amoxicillin","Ibuprofen","Cetirizine","Metformin","Amlodipine","Omeprazole","Azithromycin","Losartan","Vitamin C"},0))</f>
        <v>Antacid</v>
      </c>
      <c r="D968" t="str" cm="1">
        <f t="array" aca="1" ref="D968" ca="1">INDEX({"MedSupply Co","HealthCorp","PharmaPlus","GlobalMed"}, RANDBETWEEN(1,4))</f>
        <v>PharmaPlus</v>
      </c>
      <c r="E968">
        <f t="shared" ca="1" si="151"/>
        <v>131</v>
      </c>
      <c r="F968">
        <f t="shared" ca="1" si="152"/>
        <v>91</v>
      </c>
      <c r="G968">
        <f t="shared" ca="1" si="153"/>
        <v>1.3</v>
      </c>
      <c r="H968" s="1">
        <f t="shared" ca="1" si="154"/>
        <v>46416</v>
      </c>
      <c r="I968" s="1">
        <f t="shared" ca="1" si="155"/>
        <v>46019</v>
      </c>
      <c r="J968">
        <f t="shared" ca="1" si="156"/>
        <v>170.3</v>
      </c>
      <c r="K968" t="str">
        <f t="shared" ca="1" si="157"/>
        <v>In Stock</v>
      </c>
      <c r="L968" s="2">
        <f t="shared" ca="1" si="158"/>
        <v>297</v>
      </c>
      <c r="M968" t="str">
        <f t="shared" ca="1" si="159"/>
        <v>Safe</v>
      </c>
    </row>
    <row r="969" spans="1:13" x14ac:dyDescent="0.25">
      <c r="A969" t="str">
        <f t="shared" si="150"/>
        <v>M968</v>
      </c>
      <c r="B969" t="str" cm="1">
        <f t="array" aca="1" ref="B969" ca="1">INDEX({"Paracetamol","Amoxicillin","Ibuprofen","Cetirizine","Metformin","Amlodipine","Omeprazole","Azithromycin","Losartan","Vitamin C"}, RANDBETWEEN(1,10))</f>
        <v>Vitamin C</v>
      </c>
      <c r="C969" t="str" cm="1">
        <f t="array" aca="1" ref="C969" ca="1">INDEX({"Painkiller","Antibiotic","Painkiller","Antihistamine","Diabetes","Hypertension","Antacid","Antibiotic","Hypertension","Supplement"},
MATCH(B969,{"Paracetamol","Amoxicillin","Ibuprofen","Cetirizine","Metformin","Amlodipine","Omeprazole","Azithromycin","Losartan","Vitamin C"},0))</f>
        <v>Supplement</v>
      </c>
      <c r="D969" t="str" cm="1">
        <f t="array" aca="1" ref="D969" ca="1">INDEX({"MedSupply Co","HealthCorp","PharmaPlus","GlobalMed"}, RANDBETWEEN(1,4))</f>
        <v>MedSupply Co</v>
      </c>
      <c r="E969">
        <f t="shared" ca="1" si="151"/>
        <v>90</v>
      </c>
      <c r="F969">
        <f t="shared" ca="1" si="152"/>
        <v>50</v>
      </c>
      <c r="G969">
        <f t="shared" ca="1" si="153"/>
        <v>0.52</v>
      </c>
      <c r="H969" s="1">
        <f t="shared" ca="1" si="154"/>
        <v>46378</v>
      </c>
      <c r="I969" s="1">
        <f t="shared" ca="1" si="155"/>
        <v>45996</v>
      </c>
      <c r="J969">
        <f t="shared" ca="1" si="156"/>
        <v>46.800000000000004</v>
      </c>
      <c r="K969" t="str">
        <f t="shared" ca="1" si="157"/>
        <v>In Stock</v>
      </c>
      <c r="L969" s="2">
        <f t="shared" ca="1" si="158"/>
        <v>259</v>
      </c>
      <c r="M969" t="str">
        <f t="shared" ca="1" si="159"/>
        <v>Safe</v>
      </c>
    </row>
    <row r="970" spans="1:13" x14ac:dyDescent="0.25">
      <c r="A970" t="str">
        <f t="shared" si="150"/>
        <v>M969</v>
      </c>
      <c r="B970" t="str" cm="1">
        <f t="array" aca="1" ref="B970" ca="1">INDEX({"Paracetamol","Amoxicillin","Ibuprofen","Cetirizine","Metformin","Amlodipine","Omeprazole","Azithromycin","Losartan","Vitamin C"}, RANDBETWEEN(1,10))</f>
        <v>Omeprazole</v>
      </c>
      <c r="C970" t="str" cm="1">
        <f t="array" aca="1" ref="C970" ca="1">INDEX({"Painkiller","Antibiotic","Painkiller","Antihistamine","Diabetes","Hypertension","Antacid","Antibiotic","Hypertension","Supplement"},
MATCH(B970,{"Paracetamol","Amoxicillin","Ibuprofen","Cetirizine","Metformin","Amlodipine","Omeprazole","Azithromycin","Losartan","Vitamin C"},0))</f>
        <v>Antacid</v>
      </c>
      <c r="D970" t="str" cm="1">
        <f t="array" aca="1" ref="D970" ca="1">INDEX({"MedSupply Co","HealthCorp","PharmaPlus","GlobalMed"}, RANDBETWEEN(1,4))</f>
        <v>MedSupply Co</v>
      </c>
      <c r="E970">
        <f t="shared" ca="1" si="151"/>
        <v>75</v>
      </c>
      <c r="F970">
        <f t="shared" ca="1" si="152"/>
        <v>40</v>
      </c>
      <c r="G970">
        <f t="shared" ca="1" si="153"/>
        <v>0.93</v>
      </c>
      <c r="H970" s="1">
        <f t="shared" ca="1" si="154"/>
        <v>46446</v>
      </c>
      <c r="I970" s="1">
        <f t="shared" ca="1" si="155"/>
        <v>46092</v>
      </c>
      <c r="J970">
        <f t="shared" ca="1" si="156"/>
        <v>69.75</v>
      </c>
      <c r="K970" t="str">
        <f t="shared" ca="1" si="157"/>
        <v>In Stock</v>
      </c>
      <c r="L970" s="2">
        <f t="shared" ca="1" si="158"/>
        <v>327</v>
      </c>
      <c r="M970" t="str">
        <f t="shared" ca="1" si="159"/>
        <v>Safe</v>
      </c>
    </row>
    <row r="971" spans="1:13" x14ac:dyDescent="0.25">
      <c r="A971" t="str">
        <f t="shared" si="150"/>
        <v>M970</v>
      </c>
      <c r="B971" t="str" cm="1">
        <f t="array" aca="1" ref="B971" ca="1">INDEX({"Paracetamol","Amoxicillin","Ibuprofen","Cetirizine","Metformin","Amlodipine","Omeprazole","Azithromycin","Losartan","Vitamin C"}, RANDBETWEEN(1,10))</f>
        <v>Amlodipine</v>
      </c>
      <c r="C971" t="str" cm="1">
        <f t="array" aca="1" ref="C971" ca="1">INDEX({"Painkiller","Antibiotic","Painkiller","Antihistamine","Diabetes","Hypertension","Antacid","Antibiotic","Hypertension","Supplement"},
MATCH(B971,{"Paracetamol","Amoxicillin","Ibuprofen","Cetirizine","Metformin","Amlodipine","Omeprazole","Azithromycin","Losartan","Vitamin C"},0))</f>
        <v>Hypertension</v>
      </c>
      <c r="D971" t="str" cm="1">
        <f t="array" aca="1" ref="D971" ca="1">INDEX({"MedSupply Co","HealthCorp","PharmaPlus","GlobalMed"}, RANDBETWEEN(1,4))</f>
        <v>PharmaPlus</v>
      </c>
      <c r="E971">
        <f t="shared" ca="1" si="151"/>
        <v>142</v>
      </c>
      <c r="F971">
        <f t="shared" ca="1" si="152"/>
        <v>54</v>
      </c>
      <c r="G971">
        <f t="shared" ca="1" si="153"/>
        <v>0.91</v>
      </c>
      <c r="H971" s="1">
        <f t="shared" ca="1" si="154"/>
        <v>46214</v>
      </c>
      <c r="I971" s="1">
        <f t="shared" ca="1" si="155"/>
        <v>46018</v>
      </c>
      <c r="J971">
        <f t="shared" ca="1" si="156"/>
        <v>129.22</v>
      </c>
      <c r="K971" t="str">
        <f t="shared" ca="1" si="157"/>
        <v>In Stock</v>
      </c>
      <c r="L971" s="2">
        <f t="shared" ca="1" si="158"/>
        <v>95</v>
      </c>
      <c r="M971" t="str">
        <f t="shared" ca="1" si="159"/>
        <v>Safe</v>
      </c>
    </row>
    <row r="972" spans="1:13" x14ac:dyDescent="0.25">
      <c r="A972" t="str">
        <f t="shared" si="150"/>
        <v>M971</v>
      </c>
      <c r="B972" t="str" cm="1">
        <f t="array" aca="1" ref="B972" ca="1">INDEX({"Paracetamol","Amoxicillin","Ibuprofen","Cetirizine","Metformin","Amlodipine","Omeprazole","Azithromycin","Losartan","Vitamin C"}, RANDBETWEEN(1,10))</f>
        <v>Amoxicillin</v>
      </c>
      <c r="C972" t="str" cm="1">
        <f t="array" aca="1" ref="C972" ca="1">INDEX({"Painkiller","Antibiotic","Painkiller","Antihistamine","Diabetes","Hypertension","Antacid","Antibiotic","Hypertension","Supplement"},
MATCH(B972,{"Paracetamol","Amoxicillin","Ibuprofen","Cetirizine","Metformin","Amlodipine","Omeprazole","Azithromycin","Losartan","Vitamin C"},0))</f>
        <v>Antibiotic</v>
      </c>
      <c r="D972" t="str" cm="1">
        <f t="array" aca="1" ref="D972" ca="1">INDEX({"MedSupply Co","HealthCorp","PharmaPlus","GlobalMed"}, RANDBETWEEN(1,4))</f>
        <v>MedSupply Co</v>
      </c>
      <c r="E972">
        <f t="shared" ca="1" si="151"/>
        <v>107</v>
      </c>
      <c r="F972">
        <f t="shared" ca="1" si="152"/>
        <v>52</v>
      </c>
      <c r="G972">
        <f t="shared" ca="1" si="153"/>
        <v>1.89</v>
      </c>
      <c r="H972" s="1">
        <f t="shared" ca="1" si="154"/>
        <v>46307</v>
      </c>
      <c r="I972" s="1">
        <f t="shared" ca="1" si="155"/>
        <v>45964</v>
      </c>
      <c r="J972">
        <f t="shared" ca="1" si="156"/>
        <v>202.23</v>
      </c>
      <c r="K972" t="str">
        <f t="shared" ca="1" si="157"/>
        <v>In Stock</v>
      </c>
      <c r="L972" s="2">
        <f t="shared" ca="1" si="158"/>
        <v>188</v>
      </c>
      <c r="M972" t="str">
        <f t="shared" ca="1" si="159"/>
        <v>Safe</v>
      </c>
    </row>
    <row r="973" spans="1:13" x14ac:dyDescent="0.25">
      <c r="A973" t="str">
        <f t="shared" si="150"/>
        <v>M972</v>
      </c>
      <c r="B973" t="str" cm="1">
        <f t="array" aca="1" ref="B973" ca="1">INDEX({"Paracetamol","Amoxicillin","Ibuprofen","Cetirizine","Metformin","Amlodipine","Omeprazole","Azithromycin","Losartan","Vitamin C"}, RANDBETWEEN(1,10))</f>
        <v>Azithromycin</v>
      </c>
      <c r="C973" t="str" cm="1">
        <f t="array" aca="1" ref="C973" ca="1">INDEX({"Painkiller","Antibiotic","Painkiller","Antihistamine","Diabetes","Hypertension","Antacid","Antibiotic","Hypertension","Supplement"},
MATCH(B973,{"Paracetamol","Amoxicillin","Ibuprofen","Cetirizine","Metformin","Amlodipine","Omeprazole","Azithromycin","Losartan","Vitamin C"},0))</f>
        <v>Antibiotic</v>
      </c>
      <c r="D973" t="str" cm="1">
        <f t="array" aca="1" ref="D973" ca="1">INDEX({"MedSupply Co","HealthCorp","PharmaPlus","GlobalMed"}, RANDBETWEEN(1,4))</f>
        <v>GlobalMed</v>
      </c>
      <c r="E973">
        <f t="shared" ca="1" si="151"/>
        <v>69</v>
      </c>
      <c r="F973">
        <f t="shared" ca="1" si="152"/>
        <v>64</v>
      </c>
      <c r="G973">
        <f t="shared" ca="1" si="153"/>
        <v>0.93</v>
      </c>
      <c r="H973" s="1">
        <f t="shared" ca="1" si="154"/>
        <v>46364</v>
      </c>
      <c r="I973" s="1">
        <f t="shared" ca="1" si="155"/>
        <v>46052</v>
      </c>
      <c r="J973">
        <f t="shared" ca="1" si="156"/>
        <v>64.17</v>
      </c>
      <c r="K973" t="str">
        <f t="shared" ca="1" si="157"/>
        <v>In Stock</v>
      </c>
      <c r="L973" s="2">
        <f t="shared" ca="1" si="158"/>
        <v>245</v>
      </c>
      <c r="M973" t="str">
        <f t="shared" ca="1" si="159"/>
        <v>Safe</v>
      </c>
    </row>
    <row r="974" spans="1:13" x14ac:dyDescent="0.25">
      <c r="A974" t="str">
        <f t="shared" si="150"/>
        <v>M973</v>
      </c>
      <c r="B974" t="str" cm="1">
        <f t="array" aca="1" ref="B974" ca="1">INDEX({"Paracetamol","Amoxicillin","Ibuprofen","Cetirizine","Metformin","Amlodipine","Omeprazole","Azithromycin","Losartan","Vitamin C"}, RANDBETWEEN(1,10))</f>
        <v>Paracetamol</v>
      </c>
      <c r="C974" t="str" cm="1">
        <f t="array" aca="1" ref="C974" ca="1">INDEX({"Painkiller","Antibiotic","Painkiller","Antihistamine","Diabetes","Hypertension","Antacid","Antibiotic","Hypertension","Supplement"},
MATCH(B974,{"Paracetamol","Amoxicillin","Ibuprofen","Cetirizine","Metformin","Amlodipine","Omeprazole","Azithromycin","Losartan","Vitamin C"},0))</f>
        <v>Painkiller</v>
      </c>
      <c r="D974" t="str" cm="1">
        <f t="array" aca="1" ref="D974" ca="1">INDEX({"MedSupply Co","HealthCorp","PharmaPlus","GlobalMed"}, RANDBETWEEN(1,4))</f>
        <v>MedSupply Co</v>
      </c>
      <c r="E974">
        <f t="shared" ca="1" si="151"/>
        <v>3</v>
      </c>
      <c r="F974">
        <f t="shared" ca="1" si="152"/>
        <v>82</v>
      </c>
      <c r="G974">
        <f t="shared" ca="1" si="153"/>
        <v>1.72</v>
      </c>
      <c r="H974" s="1">
        <f t="shared" ca="1" si="154"/>
        <v>46173</v>
      </c>
      <c r="I974" s="1">
        <f t="shared" ca="1" si="155"/>
        <v>46022</v>
      </c>
      <c r="J974">
        <f t="shared" ca="1" si="156"/>
        <v>5.16</v>
      </c>
      <c r="K974" t="str">
        <f t="shared" ca="1" si="157"/>
        <v>Low Stock</v>
      </c>
      <c r="L974" s="2">
        <f t="shared" ca="1" si="158"/>
        <v>54</v>
      </c>
      <c r="M974" t="str">
        <f t="shared" ca="1" si="159"/>
        <v>Safe</v>
      </c>
    </row>
    <row r="975" spans="1:13" x14ac:dyDescent="0.25">
      <c r="A975" t="str">
        <f t="shared" si="150"/>
        <v>M974</v>
      </c>
      <c r="B975" t="str" cm="1">
        <f t="array" aca="1" ref="B975" ca="1">INDEX({"Paracetamol","Amoxicillin","Ibuprofen","Cetirizine","Metformin","Amlodipine","Omeprazole","Azithromycin","Losartan","Vitamin C"}, RANDBETWEEN(1,10))</f>
        <v>Vitamin C</v>
      </c>
      <c r="C975" t="str" cm="1">
        <f t="array" aca="1" ref="C975" ca="1">INDEX({"Painkiller","Antibiotic","Painkiller","Antihistamine","Diabetes","Hypertension","Antacid","Antibiotic","Hypertension","Supplement"},
MATCH(B975,{"Paracetamol","Amoxicillin","Ibuprofen","Cetirizine","Metformin","Amlodipine","Omeprazole","Azithromycin","Losartan","Vitamin C"},0))</f>
        <v>Supplement</v>
      </c>
      <c r="D975" t="str" cm="1">
        <f t="array" aca="1" ref="D975" ca="1">INDEX({"MedSupply Co","HealthCorp","PharmaPlus","GlobalMed"}, RANDBETWEEN(1,4))</f>
        <v>HealthCorp</v>
      </c>
      <c r="E975">
        <f t="shared" ca="1" si="151"/>
        <v>81</v>
      </c>
      <c r="F975">
        <f t="shared" ca="1" si="152"/>
        <v>83</v>
      </c>
      <c r="G975">
        <f t="shared" ca="1" si="153"/>
        <v>1.64</v>
      </c>
      <c r="H975" s="1">
        <f t="shared" ca="1" si="154"/>
        <v>46294</v>
      </c>
      <c r="I975" s="1">
        <f t="shared" ca="1" si="155"/>
        <v>46047</v>
      </c>
      <c r="J975">
        <f t="shared" ca="1" si="156"/>
        <v>132.84</v>
      </c>
      <c r="K975" t="str">
        <f t="shared" ca="1" si="157"/>
        <v>Low Stock</v>
      </c>
      <c r="L975" s="2">
        <f t="shared" ca="1" si="158"/>
        <v>175</v>
      </c>
      <c r="M975" t="str">
        <f t="shared" ca="1" si="159"/>
        <v>Safe</v>
      </c>
    </row>
    <row r="976" spans="1:13" x14ac:dyDescent="0.25">
      <c r="A976" t="str">
        <f t="shared" si="150"/>
        <v>M975</v>
      </c>
      <c r="B976" t="str" cm="1">
        <f t="array" aca="1" ref="B976" ca="1">INDEX({"Paracetamol","Amoxicillin","Ibuprofen","Cetirizine","Metformin","Amlodipine","Omeprazole","Azithromycin","Losartan","Vitamin C"}, RANDBETWEEN(1,10))</f>
        <v>Paracetamol</v>
      </c>
      <c r="C976" t="str" cm="1">
        <f t="array" aca="1" ref="C976" ca="1">INDEX({"Painkiller","Antibiotic","Painkiller","Antihistamine","Diabetes","Hypertension","Antacid","Antibiotic","Hypertension","Supplement"},
MATCH(B976,{"Paracetamol","Amoxicillin","Ibuprofen","Cetirizine","Metformin","Amlodipine","Omeprazole","Azithromycin","Losartan","Vitamin C"},0))</f>
        <v>Painkiller</v>
      </c>
      <c r="D976" t="str" cm="1">
        <f t="array" aca="1" ref="D976" ca="1">INDEX({"MedSupply Co","HealthCorp","PharmaPlus","GlobalMed"}, RANDBETWEEN(1,4))</f>
        <v>PharmaPlus</v>
      </c>
      <c r="E976">
        <f t="shared" ca="1" si="151"/>
        <v>30</v>
      </c>
      <c r="F976">
        <f t="shared" ca="1" si="152"/>
        <v>77</v>
      </c>
      <c r="G976">
        <f t="shared" ca="1" si="153"/>
        <v>1.1200000000000001</v>
      </c>
      <c r="H976" s="1">
        <f t="shared" ca="1" si="154"/>
        <v>46401</v>
      </c>
      <c r="I976" s="1">
        <f t="shared" ca="1" si="155"/>
        <v>46092</v>
      </c>
      <c r="J976">
        <f t="shared" ca="1" si="156"/>
        <v>33.6</v>
      </c>
      <c r="K976" t="str">
        <f t="shared" ca="1" si="157"/>
        <v>Low Stock</v>
      </c>
      <c r="L976" s="2">
        <f t="shared" ca="1" si="158"/>
        <v>282</v>
      </c>
      <c r="M976" t="str">
        <f t="shared" ca="1" si="159"/>
        <v>Safe</v>
      </c>
    </row>
    <row r="977" spans="1:13" x14ac:dyDescent="0.25">
      <c r="A977" t="str">
        <f t="shared" si="150"/>
        <v>M976</v>
      </c>
      <c r="B977" t="str" cm="1">
        <f t="array" aca="1" ref="B977" ca="1">INDEX({"Paracetamol","Amoxicillin","Ibuprofen","Cetirizine","Metformin","Amlodipine","Omeprazole","Azithromycin","Losartan","Vitamin C"}, RANDBETWEEN(1,10))</f>
        <v>Amoxicillin</v>
      </c>
      <c r="C977" t="str" cm="1">
        <f t="array" aca="1" ref="C977" ca="1">INDEX({"Painkiller","Antibiotic","Painkiller","Antihistamine","Diabetes","Hypertension","Antacid","Antibiotic","Hypertension","Supplement"},
MATCH(B977,{"Paracetamol","Amoxicillin","Ibuprofen","Cetirizine","Metformin","Amlodipine","Omeprazole","Azithromycin","Losartan","Vitamin C"},0))</f>
        <v>Antibiotic</v>
      </c>
      <c r="D977" t="str" cm="1">
        <f t="array" aca="1" ref="D977" ca="1">INDEX({"MedSupply Co","HealthCorp","PharmaPlus","GlobalMed"}, RANDBETWEEN(1,4))</f>
        <v>GlobalMed</v>
      </c>
      <c r="E977">
        <f t="shared" ca="1" si="151"/>
        <v>1</v>
      </c>
      <c r="F977">
        <f t="shared" ca="1" si="152"/>
        <v>68</v>
      </c>
      <c r="G977">
        <f t="shared" ca="1" si="153"/>
        <v>0.72</v>
      </c>
      <c r="H977" s="1">
        <f t="shared" ca="1" si="154"/>
        <v>46404</v>
      </c>
      <c r="I977" s="1">
        <f t="shared" ca="1" si="155"/>
        <v>45977</v>
      </c>
      <c r="J977">
        <f t="shared" ca="1" si="156"/>
        <v>0.72</v>
      </c>
      <c r="K977" t="str">
        <f t="shared" ca="1" si="157"/>
        <v>Low Stock</v>
      </c>
      <c r="L977" s="2">
        <f t="shared" ca="1" si="158"/>
        <v>285</v>
      </c>
      <c r="M977" t="str">
        <f t="shared" ca="1" si="159"/>
        <v>Safe</v>
      </c>
    </row>
    <row r="978" spans="1:13" x14ac:dyDescent="0.25">
      <c r="A978" t="str">
        <f t="shared" si="150"/>
        <v>M977</v>
      </c>
      <c r="B978" t="str" cm="1">
        <f t="array" aca="1" ref="B978" ca="1">INDEX({"Paracetamol","Amoxicillin","Ibuprofen","Cetirizine","Metformin","Amlodipine","Omeprazole","Azithromycin","Losartan","Vitamin C"}, RANDBETWEEN(1,10))</f>
        <v>Vitamin C</v>
      </c>
      <c r="C978" t="str" cm="1">
        <f t="array" aca="1" ref="C978" ca="1">INDEX({"Painkiller","Antibiotic","Painkiller","Antihistamine","Diabetes","Hypertension","Antacid","Antibiotic","Hypertension","Supplement"},
MATCH(B978,{"Paracetamol","Amoxicillin","Ibuprofen","Cetirizine","Metformin","Amlodipine","Omeprazole","Azithromycin","Losartan","Vitamin C"},0))</f>
        <v>Supplement</v>
      </c>
      <c r="D978" t="str" cm="1">
        <f t="array" aca="1" ref="D978" ca="1">INDEX({"MedSupply Co","HealthCorp","PharmaPlus","GlobalMed"}, RANDBETWEEN(1,4))</f>
        <v>PharmaPlus</v>
      </c>
      <c r="E978">
        <f t="shared" ca="1" si="151"/>
        <v>103</v>
      </c>
      <c r="F978">
        <f t="shared" ca="1" si="152"/>
        <v>62</v>
      </c>
      <c r="G978">
        <f t="shared" ca="1" si="153"/>
        <v>1.85</v>
      </c>
      <c r="H978" s="1">
        <f t="shared" ca="1" si="154"/>
        <v>46329</v>
      </c>
      <c r="I978" s="1">
        <f t="shared" ca="1" si="155"/>
        <v>45990</v>
      </c>
      <c r="J978">
        <f t="shared" ca="1" si="156"/>
        <v>190.55</v>
      </c>
      <c r="K978" t="str">
        <f t="shared" ca="1" si="157"/>
        <v>In Stock</v>
      </c>
      <c r="L978" s="2">
        <f t="shared" ca="1" si="158"/>
        <v>210</v>
      </c>
      <c r="M978" t="str">
        <f t="shared" ca="1" si="159"/>
        <v>Safe</v>
      </c>
    </row>
    <row r="979" spans="1:13" x14ac:dyDescent="0.25">
      <c r="A979" t="str">
        <f t="shared" si="150"/>
        <v>M978</v>
      </c>
      <c r="B979" t="str" cm="1">
        <f t="array" aca="1" ref="B979" ca="1">INDEX({"Paracetamol","Amoxicillin","Ibuprofen","Cetirizine","Metformin","Amlodipine","Omeprazole","Azithromycin","Losartan","Vitamin C"}, RANDBETWEEN(1,10))</f>
        <v>Amlodipine</v>
      </c>
      <c r="C979" t="str" cm="1">
        <f t="array" aca="1" ref="C979" ca="1">INDEX({"Painkiller","Antibiotic","Painkiller","Antihistamine","Diabetes","Hypertension","Antacid","Antibiotic","Hypertension","Supplement"},
MATCH(B979,{"Paracetamol","Amoxicillin","Ibuprofen","Cetirizine","Metformin","Amlodipine","Omeprazole","Azithromycin","Losartan","Vitamin C"},0))</f>
        <v>Hypertension</v>
      </c>
      <c r="D979" t="str" cm="1">
        <f t="array" aca="1" ref="D979" ca="1">INDEX({"MedSupply Co","HealthCorp","PharmaPlus","GlobalMed"}, RANDBETWEEN(1,4))</f>
        <v>MedSupply Co</v>
      </c>
      <c r="E979">
        <f t="shared" ca="1" si="151"/>
        <v>72</v>
      </c>
      <c r="F979">
        <f t="shared" ca="1" si="152"/>
        <v>72</v>
      </c>
      <c r="G979">
        <f t="shared" ca="1" si="153"/>
        <v>1.52</v>
      </c>
      <c r="H979" s="1">
        <f t="shared" ca="1" si="154"/>
        <v>46188</v>
      </c>
      <c r="I979" s="1">
        <f t="shared" ca="1" si="155"/>
        <v>45940</v>
      </c>
      <c r="J979">
        <f t="shared" ca="1" si="156"/>
        <v>109.44</v>
      </c>
      <c r="K979" t="str">
        <f t="shared" ca="1" si="157"/>
        <v>In Stock</v>
      </c>
      <c r="L979" s="2">
        <f t="shared" ca="1" si="158"/>
        <v>69</v>
      </c>
      <c r="M979" t="str">
        <f t="shared" ca="1" si="159"/>
        <v>Safe</v>
      </c>
    </row>
    <row r="980" spans="1:13" x14ac:dyDescent="0.25">
      <c r="A980" t="str">
        <f t="shared" si="150"/>
        <v>M979</v>
      </c>
      <c r="B980" t="str" cm="1">
        <f t="array" aca="1" ref="B980" ca="1">INDEX({"Paracetamol","Amoxicillin","Ibuprofen","Cetirizine","Metformin","Amlodipine","Omeprazole","Azithromycin","Losartan","Vitamin C"}, RANDBETWEEN(1,10))</f>
        <v>Vitamin C</v>
      </c>
      <c r="C980" t="str" cm="1">
        <f t="array" aca="1" ref="C980" ca="1">INDEX({"Painkiller","Antibiotic","Painkiller","Antihistamine","Diabetes","Hypertension","Antacid","Antibiotic","Hypertension","Supplement"},
MATCH(B980,{"Paracetamol","Amoxicillin","Ibuprofen","Cetirizine","Metformin","Amlodipine","Omeprazole","Azithromycin","Losartan","Vitamin C"},0))</f>
        <v>Supplement</v>
      </c>
      <c r="D980" t="str" cm="1">
        <f t="array" aca="1" ref="D980" ca="1">INDEX({"MedSupply Co","HealthCorp","PharmaPlus","GlobalMed"}, RANDBETWEEN(1,4))</f>
        <v>GlobalMed</v>
      </c>
      <c r="E980">
        <f t="shared" ca="1" si="151"/>
        <v>128</v>
      </c>
      <c r="F980">
        <f t="shared" ca="1" si="152"/>
        <v>94</v>
      </c>
      <c r="G980">
        <f t="shared" ca="1" si="153"/>
        <v>0.75</v>
      </c>
      <c r="H980" s="1">
        <f t="shared" ca="1" si="154"/>
        <v>46438</v>
      </c>
      <c r="I980" s="1">
        <f t="shared" ca="1" si="155"/>
        <v>46010</v>
      </c>
      <c r="J980">
        <f t="shared" ca="1" si="156"/>
        <v>96</v>
      </c>
      <c r="K980" t="str">
        <f t="shared" ca="1" si="157"/>
        <v>In Stock</v>
      </c>
      <c r="L980" s="2">
        <f t="shared" ca="1" si="158"/>
        <v>319</v>
      </c>
      <c r="M980" t="str">
        <f t="shared" ca="1" si="159"/>
        <v>Safe</v>
      </c>
    </row>
    <row r="981" spans="1:13" x14ac:dyDescent="0.25">
      <c r="A981" t="str">
        <f t="shared" si="150"/>
        <v>M980</v>
      </c>
      <c r="B981" t="str" cm="1">
        <f t="array" aca="1" ref="B981" ca="1">INDEX({"Paracetamol","Amoxicillin","Ibuprofen","Cetirizine","Metformin","Amlodipine","Omeprazole","Azithromycin","Losartan","Vitamin C"}, RANDBETWEEN(1,10))</f>
        <v>Metformin</v>
      </c>
      <c r="C981" t="str" cm="1">
        <f t="array" aca="1" ref="C981" ca="1">INDEX({"Painkiller","Antibiotic","Painkiller","Antihistamine","Diabetes","Hypertension","Antacid","Antibiotic","Hypertension","Supplement"},
MATCH(B981,{"Paracetamol","Amoxicillin","Ibuprofen","Cetirizine","Metformin","Amlodipine","Omeprazole","Azithromycin","Losartan","Vitamin C"},0))</f>
        <v>Diabetes</v>
      </c>
      <c r="D981" t="str" cm="1">
        <f t="array" aca="1" ref="D981" ca="1">INDEX({"MedSupply Co","HealthCorp","PharmaPlus","GlobalMed"}, RANDBETWEEN(1,4))</f>
        <v>MedSupply Co</v>
      </c>
      <c r="E981">
        <f t="shared" ca="1" si="151"/>
        <v>184</v>
      </c>
      <c r="F981">
        <f t="shared" ca="1" si="152"/>
        <v>61</v>
      </c>
      <c r="G981">
        <f t="shared" ca="1" si="153"/>
        <v>0.56999999999999995</v>
      </c>
      <c r="H981" s="1">
        <f t="shared" ca="1" si="154"/>
        <v>46420</v>
      </c>
      <c r="I981" s="1">
        <f t="shared" ca="1" si="155"/>
        <v>46115</v>
      </c>
      <c r="J981">
        <f t="shared" ca="1" si="156"/>
        <v>104.88</v>
      </c>
      <c r="K981" t="str">
        <f t="shared" ca="1" si="157"/>
        <v>In Stock</v>
      </c>
      <c r="L981" s="2">
        <f t="shared" ca="1" si="158"/>
        <v>301</v>
      </c>
      <c r="M981" t="str">
        <f t="shared" ca="1" si="159"/>
        <v>Safe</v>
      </c>
    </row>
    <row r="982" spans="1:13" x14ac:dyDescent="0.25">
      <c r="A982" t="str">
        <f t="shared" si="150"/>
        <v>M981</v>
      </c>
      <c r="B982" t="str" cm="1">
        <f t="array" aca="1" ref="B982" ca="1">INDEX({"Paracetamol","Amoxicillin","Ibuprofen","Cetirizine","Metformin","Amlodipine","Omeprazole","Azithromycin","Losartan","Vitamin C"}, RANDBETWEEN(1,10))</f>
        <v>Losartan</v>
      </c>
      <c r="C982" t="str" cm="1">
        <f t="array" aca="1" ref="C982" ca="1">INDEX({"Painkiller","Antibiotic","Painkiller","Antihistamine","Diabetes","Hypertension","Antacid","Antibiotic","Hypertension","Supplement"},
MATCH(B982,{"Paracetamol","Amoxicillin","Ibuprofen","Cetirizine","Metformin","Amlodipine","Omeprazole","Azithromycin","Losartan","Vitamin C"},0))</f>
        <v>Hypertension</v>
      </c>
      <c r="D982" t="str" cm="1">
        <f t="array" aca="1" ref="D982" ca="1">INDEX({"MedSupply Co","HealthCorp","PharmaPlus","GlobalMed"}, RANDBETWEEN(1,4))</f>
        <v>GlobalMed</v>
      </c>
      <c r="E982">
        <f t="shared" ca="1" si="151"/>
        <v>23</v>
      </c>
      <c r="F982">
        <f t="shared" ca="1" si="152"/>
        <v>78</v>
      </c>
      <c r="G982">
        <f t="shared" ca="1" si="153"/>
        <v>1.49</v>
      </c>
      <c r="H982" s="1">
        <f t="shared" ca="1" si="154"/>
        <v>46443</v>
      </c>
      <c r="I982" s="1">
        <f t="shared" ca="1" si="155"/>
        <v>45999</v>
      </c>
      <c r="J982">
        <f t="shared" ca="1" si="156"/>
        <v>34.270000000000003</v>
      </c>
      <c r="K982" t="str">
        <f t="shared" ca="1" si="157"/>
        <v>Low Stock</v>
      </c>
      <c r="L982" s="2">
        <f t="shared" ca="1" si="158"/>
        <v>324</v>
      </c>
      <c r="M982" t="str">
        <f t="shared" ca="1" si="159"/>
        <v>Safe</v>
      </c>
    </row>
    <row r="983" spans="1:13" x14ac:dyDescent="0.25">
      <c r="A983" t="str">
        <f t="shared" si="150"/>
        <v>M982</v>
      </c>
      <c r="B983" t="str" cm="1">
        <f t="array" aca="1" ref="B983" ca="1">INDEX({"Paracetamol","Amoxicillin","Ibuprofen","Cetirizine","Metformin","Amlodipine","Omeprazole","Azithromycin","Losartan","Vitamin C"}, RANDBETWEEN(1,10))</f>
        <v>Metformin</v>
      </c>
      <c r="C983" t="str" cm="1">
        <f t="array" aca="1" ref="C983" ca="1">INDEX({"Painkiller","Antibiotic","Painkiller","Antihistamine","Diabetes","Hypertension","Antacid","Antibiotic","Hypertension","Supplement"},
MATCH(B983,{"Paracetamol","Amoxicillin","Ibuprofen","Cetirizine","Metformin","Amlodipine","Omeprazole","Azithromycin","Losartan","Vitamin C"},0))</f>
        <v>Diabetes</v>
      </c>
      <c r="D983" t="str" cm="1">
        <f t="array" aca="1" ref="D983" ca="1">INDEX({"MedSupply Co","HealthCorp","PharmaPlus","GlobalMed"}, RANDBETWEEN(1,4))</f>
        <v>PharmaPlus</v>
      </c>
      <c r="E983">
        <f t="shared" ca="1" si="151"/>
        <v>96</v>
      </c>
      <c r="F983">
        <f t="shared" ca="1" si="152"/>
        <v>86</v>
      </c>
      <c r="G983">
        <f t="shared" ca="1" si="153"/>
        <v>1.23</v>
      </c>
      <c r="H983" s="1">
        <f t="shared" ca="1" si="154"/>
        <v>46221</v>
      </c>
      <c r="I983" s="1">
        <f t="shared" ca="1" si="155"/>
        <v>45970</v>
      </c>
      <c r="J983">
        <f t="shared" ca="1" si="156"/>
        <v>118.08</v>
      </c>
      <c r="K983" t="str">
        <f t="shared" ca="1" si="157"/>
        <v>In Stock</v>
      </c>
      <c r="L983" s="2">
        <f t="shared" ca="1" si="158"/>
        <v>102</v>
      </c>
      <c r="M983" t="str">
        <f t="shared" ca="1" si="159"/>
        <v>Safe</v>
      </c>
    </row>
    <row r="984" spans="1:13" x14ac:dyDescent="0.25">
      <c r="A984" t="str">
        <f t="shared" si="150"/>
        <v>M983</v>
      </c>
      <c r="B984" t="str" cm="1">
        <f t="array" aca="1" ref="B984" ca="1">INDEX({"Paracetamol","Amoxicillin","Ibuprofen","Cetirizine","Metformin","Amlodipine","Omeprazole","Azithromycin","Losartan","Vitamin C"}, RANDBETWEEN(1,10))</f>
        <v>Paracetamol</v>
      </c>
      <c r="C984" t="str" cm="1">
        <f t="array" aca="1" ref="C984" ca="1">INDEX({"Painkiller","Antibiotic","Painkiller","Antihistamine","Diabetes","Hypertension","Antacid","Antibiotic","Hypertension","Supplement"},
MATCH(B984,{"Paracetamol","Amoxicillin","Ibuprofen","Cetirizine","Metformin","Amlodipine","Omeprazole","Azithromycin","Losartan","Vitamin C"},0))</f>
        <v>Painkiller</v>
      </c>
      <c r="D984" t="str" cm="1">
        <f t="array" aca="1" ref="D984" ca="1">INDEX({"MedSupply Co","HealthCorp","PharmaPlus","GlobalMed"}, RANDBETWEEN(1,4))</f>
        <v>MedSupply Co</v>
      </c>
      <c r="E984">
        <f t="shared" ca="1" si="151"/>
        <v>26</v>
      </c>
      <c r="F984">
        <f t="shared" ca="1" si="152"/>
        <v>71</v>
      </c>
      <c r="G984">
        <f t="shared" ca="1" si="153"/>
        <v>1.0900000000000001</v>
      </c>
      <c r="H984" s="1">
        <f t="shared" ca="1" si="154"/>
        <v>46482</v>
      </c>
      <c r="I984" s="1">
        <f t="shared" ca="1" si="155"/>
        <v>45947</v>
      </c>
      <c r="J984">
        <f t="shared" ca="1" si="156"/>
        <v>28.340000000000003</v>
      </c>
      <c r="K984" t="str">
        <f t="shared" ca="1" si="157"/>
        <v>Low Stock</v>
      </c>
      <c r="L984" s="2">
        <f t="shared" ca="1" si="158"/>
        <v>363</v>
      </c>
      <c r="M984" t="str">
        <f t="shared" ca="1" si="159"/>
        <v>Safe</v>
      </c>
    </row>
    <row r="985" spans="1:13" x14ac:dyDescent="0.25">
      <c r="A985" t="str">
        <f t="shared" si="150"/>
        <v>M984</v>
      </c>
      <c r="B985" t="str" cm="1">
        <f t="array" aca="1" ref="B985" ca="1">INDEX({"Paracetamol","Amoxicillin","Ibuprofen","Cetirizine","Metformin","Amlodipine","Omeprazole","Azithromycin","Losartan","Vitamin C"}, RANDBETWEEN(1,10))</f>
        <v>Losartan</v>
      </c>
      <c r="C985" t="str" cm="1">
        <f t="array" aca="1" ref="C985" ca="1">INDEX({"Painkiller","Antibiotic","Painkiller","Antihistamine","Diabetes","Hypertension","Antacid","Antibiotic","Hypertension","Supplement"},
MATCH(B985,{"Paracetamol","Amoxicillin","Ibuprofen","Cetirizine","Metformin","Amlodipine","Omeprazole","Azithromycin","Losartan","Vitamin C"},0))</f>
        <v>Hypertension</v>
      </c>
      <c r="D985" t="str" cm="1">
        <f t="array" aca="1" ref="D985" ca="1">INDEX({"MedSupply Co","HealthCorp","PharmaPlus","GlobalMed"}, RANDBETWEEN(1,4))</f>
        <v>MedSupply Co</v>
      </c>
      <c r="E985">
        <f t="shared" ca="1" si="151"/>
        <v>105</v>
      </c>
      <c r="F985">
        <f t="shared" ca="1" si="152"/>
        <v>82</v>
      </c>
      <c r="G985">
        <f t="shared" ca="1" si="153"/>
        <v>1.1499999999999999</v>
      </c>
      <c r="H985" s="1">
        <f t="shared" ca="1" si="154"/>
        <v>46382</v>
      </c>
      <c r="I985" s="1">
        <f t="shared" ca="1" si="155"/>
        <v>46001</v>
      </c>
      <c r="J985">
        <f t="shared" ca="1" si="156"/>
        <v>120.74999999999999</v>
      </c>
      <c r="K985" t="str">
        <f t="shared" ca="1" si="157"/>
        <v>In Stock</v>
      </c>
      <c r="L985" s="2">
        <f t="shared" ca="1" si="158"/>
        <v>263</v>
      </c>
      <c r="M985" t="str">
        <f t="shared" ca="1" si="159"/>
        <v>Safe</v>
      </c>
    </row>
    <row r="986" spans="1:13" x14ac:dyDescent="0.25">
      <c r="A986" t="str">
        <f t="shared" si="150"/>
        <v>M985</v>
      </c>
      <c r="B986" t="str" cm="1">
        <f t="array" aca="1" ref="B986" ca="1">INDEX({"Paracetamol","Amoxicillin","Ibuprofen","Cetirizine","Metformin","Amlodipine","Omeprazole","Azithromycin","Losartan","Vitamin C"}, RANDBETWEEN(1,10))</f>
        <v>Paracetamol</v>
      </c>
      <c r="C986" t="str" cm="1">
        <f t="array" aca="1" ref="C986" ca="1">INDEX({"Painkiller","Antibiotic","Painkiller","Antihistamine","Diabetes","Hypertension","Antacid","Antibiotic","Hypertension","Supplement"},
MATCH(B986,{"Paracetamol","Amoxicillin","Ibuprofen","Cetirizine","Metformin","Amlodipine","Omeprazole","Azithromycin","Losartan","Vitamin C"},0))</f>
        <v>Painkiller</v>
      </c>
      <c r="D986" t="str" cm="1">
        <f t="array" aca="1" ref="D986" ca="1">INDEX({"MedSupply Co","HealthCorp","PharmaPlus","GlobalMed"}, RANDBETWEEN(1,4))</f>
        <v>PharmaPlus</v>
      </c>
      <c r="E986">
        <f t="shared" ca="1" si="151"/>
        <v>57</v>
      </c>
      <c r="F986">
        <f t="shared" ca="1" si="152"/>
        <v>25</v>
      </c>
      <c r="G986">
        <f t="shared" ca="1" si="153"/>
        <v>1.43</v>
      </c>
      <c r="H986" s="1">
        <f t="shared" ca="1" si="154"/>
        <v>46381</v>
      </c>
      <c r="I986" s="1">
        <f t="shared" ca="1" si="155"/>
        <v>45998</v>
      </c>
      <c r="J986">
        <f t="shared" ca="1" si="156"/>
        <v>81.509999999999991</v>
      </c>
      <c r="K986" t="str">
        <f t="shared" ca="1" si="157"/>
        <v>In Stock</v>
      </c>
      <c r="L986" s="2">
        <f t="shared" ca="1" si="158"/>
        <v>262</v>
      </c>
      <c r="M986" t="str">
        <f t="shared" ca="1" si="159"/>
        <v>Safe</v>
      </c>
    </row>
    <row r="987" spans="1:13" x14ac:dyDescent="0.25">
      <c r="A987" t="str">
        <f t="shared" si="150"/>
        <v>M986</v>
      </c>
      <c r="B987" t="str" cm="1">
        <f t="array" aca="1" ref="B987" ca="1">INDEX({"Paracetamol","Amoxicillin","Ibuprofen","Cetirizine","Metformin","Amlodipine","Omeprazole","Azithromycin","Losartan","Vitamin C"}, RANDBETWEEN(1,10))</f>
        <v>Cetirizine</v>
      </c>
      <c r="C987" t="str" cm="1">
        <f t="array" aca="1" ref="C987" ca="1">INDEX({"Painkiller","Antibiotic","Painkiller","Antihistamine","Diabetes","Hypertension","Antacid","Antibiotic","Hypertension","Supplement"},
MATCH(B987,{"Paracetamol","Amoxicillin","Ibuprofen","Cetirizine","Metformin","Amlodipine","Omeprazole","Azithromycin","Losartan","Vitamin C"},0))</f>
        <v>Antihistamine</v>
      </c>
      <c r="D987" t="str" cm="1">
        <f t="array" aca="1" ref="D987" ca="1">INDEX({"MedSupply Co","HealthCorp","PharmaPlus","GlobalMed"}, RANDBETWEEN(1,4))</f>
        <v>PharmaPlus</v>
      </c>
      <c r="E987">
        <f t="shared" ca="1" si="151"/>
        <v>58</v>
      </c>
      <c r="F987">
        <f t="shared" ca="1" si="152"/>
        <v>93</v>
      </c>
      <c r="G987">
        <f t="shared" ca="1" si="153"/>
        <v>0.57999999999999996</v>
      </c>
      <c r="H987" s="1">
        <f t="shared" ca="1" si="154"/>
        <v>46284</v>
      </c>
      <c r="I987" s="1">
        <f t="shared" ca="1" si="155"/>
        <v>46010</v>
      </c>
      <c r="J987">
        <f t="shared" ca="1" si="156"/>
        <v>33.64</v>
      </c>
      <c r="K987" t="str">
        <f t="shared" ca="1" si="157"/>
        <v>Low Stock</v>
      </c>
      <c r="L987" s="2">
        <f t="shared" ca="1" si="158"/>
        <v>165</v>
      </c>
      <c r="M987" t="str">
        <f t="shared" ca="1" si="159"/>
        <v>Safe</v>
      </c>
    </row>
    <row r="988" spans="1:13" x14ac:dyDescent="0.25">
      <c r="A988" t="str">
        <f t="shared" si="150"/>
        <v>M987</v>
      </c>
      <c r="B988" t="str" cm="1">
        <f t="array" aca="1" ref="B988" ca="1">INDEX({"Paracetamol","Amoxicillin","Ibuprofen","Cetirizine","Metformin","Amlodipine","Omeprazole","Azithromycin","Losartan","Vitamin C"}, RANDBETWEEN(1,10))</f>
        <v>Paracetamol</v>
      </c>
      <c r="C988" t="str" cm="1">
        <f t="array" aca="1" ref="C988" ca="1">INDEX({"Painkiller","Antibiotic","Painkiller","Antihistamine","Diabetes","Hypertension","Antacid","Antibiotic","Hypertension","Supplement"},
MATCH(B988,{"Paracetamol","Amoxicillin","Ibuprofen","Cetirizine","Metformin","Amlodipine","Omeprazole","Azithromycin","Losartan","Vitamin C"},0))</f>
        <v>Painkiller</v>
      </c>
      <c r="D988" t="str" cm="1">
        <f t="array" aca="1" ref="D988" ca="1">INDEX({"MedSupply Co","HealthCorp","PharmaPlus","GlobalMed"}, RANDBETWEEN(1,4))</f>
        <v>GlobalMed</v>
      </c>
      <c r="E988">
        <f t="shared" ca="1" si="151"/>
        <v>24</v>
      </c>
      <c r="F988">
        <f t="shared" ca="1" si="152"/>
        <v>83</v>
      </c>
      <c r="G988">
        <f t="shared" ca="1" si="153"/>
        <v>1.64</v>
      </c>
      <c r="H988" s="1">
        <f t="shared" ca="1" si="154"/>
        <v>46161</v>
      </c>
      <c r="I988" s="1">
        <f t="shared" ca="1" si="155"/>
        <v>46098</v>
      </c>
      <c r="J988">
        <f t="shared" ca="1" si="156"/>
        <v>39.36</v>
      </c>
      <c r="K988" t="str">
        <f t="shared" ca="1" si="157"/>
        <v>Low Stock</v>
      </c>
      <c r="L988" s="2">
        <f t="shared" ca="1" si="158"/>
        <v>42</v>
      </c>
      <c r="M988" t="str">
        <f t="shared" ca="1" si="159"/>
        <v>Safe</v>
      </c>
    </row>
    <row r="989" spans="1:13" x14ac:dyDescent="0.25">
      <c r="A989" t="str">
        <f t="shared" si="150"/>
        <v>M988</v>
      </c>
      <c r="B989" t="str" cm="1">
        <f t="array" aca="1" ref="B989" ca="1">INDEX({"Paracetamol","Amoxicillin","Ibuprofen","Cetirizine","Metformin","Amlodipine","Omeprazole","Azithromycin","Losartan","Vitamin C"}, RANDBETWEEN(1,10))</f>
        <v>Omeprazole</v>
      </c>
      <c r="C989" t="str" cm="1">
        <f t="array" aca="1" ref="C989" ca="1">INDEX({"Painkiller","Antibiotic","Painkiller","Antihistamine","Diabetes","Hypertension","Antacid","Antibiotic","Hypertension","Supplement"},
MATCH(B989,{"Paracetamol","Amoxicillin","Ibuprofen","Cetirizine","Metformin","Amlodipine","Omeprazole","Azithromycin","Losartan","Vitamin C"},0))</f>
        <v>Antacid</v>
      </c>
      <c r="D989" t="str" cm="1">
        <f t="array" aca="1" ref="D989" ca="1">INDEX({"MedSupply Co","HealthCorp","PharmaPlus","GlobalMed"}, RANDBETWEEN(1,4))</f>
        <v>MedSupply Co</v>
      </c>
      <c r="E989">
        <f t="shared" ca="1" si="151"/>
        <v>68</v>
      </c>
      <c r="F989">
        <f t="shared" ca="1" si="152"/>
        <v>94</v>
      </c>
      <c r="G989">
        <f t="shared" ca="1" si="153"/>
        <v>1.42</v>
      </c>
      <c r="H989" s="1">
        <f t="shared" ca="1" si="154"/>
        <v>46278</v>
      </c>
      <c r="I989" s="1">
        <f t="shared" ca="1" si="155"/>
        <v>46028</v>
      </c>
      <c r="J989">
        <f t="shared" ca="1" si="156"/>
        <v>96.56</v>
      </c>
      <c r="K989" t="str">
        <f t="shared" ca="1" si="157"/>
        <v>Low Stock</v>
      </c>
      <c r="L989" s="2">
        <f t="shared" ca="1" si="158"/>
        <v>159</v>
      </c>
      <c r="M989" t="str">
        <f t="shared" ca="1" si="159"/>
        <v>Safe</v>
      </c>
    </row>
    <row r="990" spans="1:13" x14ac:dyDescent="0.25">
      <c r="A990" t="str">
        <f t="shared" si="150"/>
        <v>M989</v>
      </c>
      <c r="B990" t="str" cm="1">
        <f t="array" aca="1" ref="B990" ca="1">INDEX({"Paracetamol","Amoxicillin","Ibuprofen","Cetirizine","Metformin","Amlodipine","Omeprazole","Azithromycin","Losartan","Vitamin C"}, RANDBETWEEN(1,10))</f>
        <v>Amoxicillin</v>
      </c>
      <c r="C990" t="str" cm="1">
        <f t="array" aca="1" ref="C990" ca="1">INDEX({"Painkiller","Antibiotic","Painkiller","Antihistamine","Diabetes","Hypertension","Antacid","Antibiotic","Hypertension","Supplement"},
MATCH(B990,{"Paracetamol","Amoxicillin","Ibuprofen","Cetirizine","Metformin","Amlodipine","Omeprazole","Azithromycin","Losartan","Vitamin C"},0))</f>
        <v>Antibiotic</v>
      </c>
      <c r="D990" t="str" cm="1">
        <f t="array" aca="1" ref="D990" ca="1">INDEX({"MedSupply Co","HealthCorp","PharmaPlus","GlobalMed"}, RANDBETWEEN(1,4))</f>
        <v>HealthCorp</v>
      </c>
      <c r="E990">
        <f t="shared" ca="1" si="151"/>
        <v>112</v>
      </c>
      <c r="F990">
        <f t="shared" ca="1" si="152"/>
        <v>98</v>
      </c>
      <c r="G990">
        <f t="shared" ca="1" si="153"/>
        <v>1.68</v>
      </c>
      <c r="H990" s="1">
        <f t="shared" ca="1" si="154"/>
        <v>46412</v>
      </c>
      <c r="I990" s="1">
        <f t="shared" ca="1" si="155"/>
        <v>46045</v>
      </c>
      <c r="J990">
        <f t="shared" ca="1" si="156"/>
        <v>188.16</v>
      </c>
      <c r="K990" t="str">
        <f t="shared" ca="1" si="157"/>
        <v>In Stock</v>
      </c>
      <c r="L990" s="2">
        <f t="shared" ca="1" si="158"/>
        <v>293</v>
      </c>
      <c r="M990" t="str">
        <f t="shared" ca="1" si="159"/>
        <v>Safe</v>
      </c>
    </row>
    <row r="991" spans="1:13" x14ac:dyDescent="0.25">
      <c r="A991" t="str">
        <f t="shared" si="150"/>
        <v>M990</v>
      </c>
      <c r="B991" t="str" cm="1">
        <f t="array" aca="1" ref="B991" ca="1">INDEX({"Paracetamol","Amoxicillin","Ibuprofen","Cetirizine","Metformin","Amlodipine","Omeprazole","Azithromycin","Losartan","Vitamin C"}, RANDBETWEEN(1,10))</f>
        <v>Amlodipine</v>
      </c>
      <c r="C991" t="str" cm="1">
        <f t="array" aca="1" ref="C991" ca="1">INDEX({"Painkiller","Antibiotic","Painkiller","Antihistamine","Diabetes","Hypertension","Antacid","Antibiotic","Hypertension","Supplement"},
MATCH(B991,{"Paracetamol","Amoxicillin","Ibuprofen","Cetirizine","Metformin","Amlodipine","Omeprazole","Azithromycin","Losartan","Vitamin C"},0))</f>
        <v>Hypertension</v>
      </c>
      <c r="D991" t="str" cm="1">
        <f t="array" aca="1" ref="D991" ca="1">INDEX({"MedSupply Co","HealthCorp","PharmaPlus","GlobalMed"}, RANDBETWEEN(1,4))</f>
        <v>PharmaPlus</v>
      </c>
      <c r="E991">
        <f t="shared" ca="1" si="151"/>
        <v>121</v>
      </c>
      <c r="F991">
        <f t="shared" ca="1" si="152"/>
        <v>79</v>
      </c>
      <c r="G991">
        <f t="shared" ca="1" si="153"/>
        <v>0.94</v>
      </c>
      <c r="H991" s="1">
        <f t="shared" ca="1" si="154"/>
        <v>46266</v>
      </c>
      <c r="I991" s="1">
        <f t="shared" ca="1" si="155"/>
        <v>46005</v>
      </c>
      <c r="J991">
        <f t="shared" ca="1" si="156"/>
        <v>113.74</v>
      </c>
      <c r="K991" t="str">
        <f t="shared" ca="1" si="157"/>
        <v>In Stock</v>
      </c>
      <c r="L991" s="2">
        <f t="shared" ca="1" si="158"/>
        <v>147</v>
      </c>
      <c r="M991" t="str">
        <f t="shared" ca="1" si="159"/>
        <v>Safe</v>
      </c>
    </row>
    <row r="992" spans="1:13" x14ac:dyDescent="0.25">
      <c r="A992" t="str">
        <f t="shared" si="150"/>
        <v>M991</v>
      </c>
      <c r="B992" t="str" cm="1">
        <f t="array" aca="1" ref="B992" ca="1">INDEX({"Paracetamol","Amoxicillin","Ibuprofen","Cetirizine","Metformin","Amlodipine","Omeprazole","Azithromycin","Losartan","Vitamin C"}, RANDBETWEEN(1,10))</f>
        <v>Amoxicillin</v>
      </c>
      <c r="C992" t="str" cm="1">
        <f t="array" aca="1" ref="C992" ca="1">INDEX({"Painkiller","Antibiotic","Painkiller","Antihistamine","Diabetes","Hypertension","Antacid","Antibiotic","Hypertension","Supplement"},
MATCH(B992,{"Paracetamol","Amoxicillin","Ibuprofen","Cetirizine","Metformin","Amlodipine","Omeprazole","Azithromycin","Losartan","Vitamin C"},0))</f>
        <v>Antibiotic</v>
      </c>
      <c r="D992" t="str" cm="1">
        <f t="array" aca="1" ref="D992" ca="1">INDEX({"MedSupply Co","HealthCorp","PharmaPlus","GlobalMed"}, RANDBETWEEN(1,4))</f>
        <v>GlobalMed</v>
      </c>
      <c r="E992">
        <f t="shared" ca="1" si="151"/>
        <v>23</v>
      </c>
      <c r="F992">
        <f t="shared" ca="1" si="152"/>
        <v>92</v>
      </c>
      <c r="G992">
        <f t="shared" ca="1" si="153"/>
        <v>1.1000000000000001</v>
      </c>
      <c r="H992" s="1">
        <f t="shared" ca="1" si="154"/>
        <v>46360</v>
      </c>
      <c r="I992" s="1">
        <f t="shared" ca="1" si="155"/>
        <v>46022</v>
      </c>
      <c r="J992">
        <f t="shared" ca="1" si="156"/>
        <v>25.3</v>
      </c>
      <c r="K992" t="str">
        <f t="shared" ca="1" si="157"/>
        <v>Low Stock</v>
      </c>
      <c r="L992" s="2">
        <f t="shared" ca="1" si="158"/>
        <v>241</v>
      </c>
      <c r="M992" t="str">
        <f t="shared" ca="1" si="159"/>
        <v>Safe</v>
      </c>
    </row>
    <row r="993" spans="1:13" x14ac:dyDescent="0.25">
      <c r="A993" t="str">
        <f t="shared" si="150"/>
        <v>M992</v>
      </c>
      <c r="B993" t="str" cm="1">
        <f t="array" aca="1" ref="B993" ca="1">INDEX({"Paracetamol","Amoxicillin","Ibuprofen","Cetirizine","Metformin","Amlodipine","Omeprazole","Azithromycin","Losartan","Vitamin C"}, RANDBETWEEN(1,10))</f>
        <v>Vitamin C</v>
      </c>
      <c r="C993" t="str" cm="1">
        <f t="array" aca="1" ref="C993" ca="1">INDEX({"Painkiller","Antibiotic","Painkiller","Antihistamine","Diabetes","Hypertension","Antacid","Antibiotic","Hypertension","Supplement"},
MATCH(B993,{"Paracetamol","Amoxicillin","Ibuprofen","Cetirizine","Metformin","Amlodipine","Omeprazole","Azithromycin","Losartan","Vitamin C"},0))</f>
        <v>Supplement</v>
      </c>
      <c r="D993" t="str" cm="1">
        <f t="array" aca="1" ref="D993" ca="1">INDEX({"MedSupply Co","HealthCorp","PharmaPlus","GlobalMed"}, RANDBETWEEN(1,4))</f>
        <v>HealthCorp</v>
      </c>
      <c r="E993">
        <f t="shared" ca="1" si="151"/>
        <v>37</v>
      </c>
      <c r="F993">
        <f t="shared" ca="1" si="152"/>
        <v>84</v>
      </c>
      <c r="G993">
        <f t="shared" ca="1" si="153"/>
        <v>1.97</v>
      </c>
      <c r="H993" s="1">
        <f t="shared" ca="1" si="154"/>
        <v>46325</v>
      </c>
      <c r="I993" s="1">
        <f t="shared" ca="1" si="155"/>
        <v>46085</v>
      </c>
      <c r="J993">
        <f t="shared" ca="1" si="156"/>
        <v>72.89</v>
      </c>
      <c r="K993" t="str">
        <f t="shared" ca="1" si="157"/>
        <v>Low Stock</v>
      </c>
      <c r="L993" s="2">
        <f t="shared" ca="1" si="158"/>
        <v>206</v>
      </c>
      <c r="M993" t="str">
        <f t="shared" ca="1" si="159"/>
        <v>Safe</v>
      </c>
    </row>
    <row r="994" spans="1:13" x14ac:dyDescent="0.25">
      <c r="A994" t="str">
        <f t="shared" si="150"/>
        <v>M993</v>
      </c>
      <c r="B994" t="str" cm="1">
        <f t="array" aca="1" ref="B994" ca="1">INDEX({"Paracetamol","Amoxicillin","Ibuprofen","Cetirizine","Metformin","Amlodipine","Omeprazole","Azithromycin","Losartan","Vitamin C"}, RANDBETWEEN(1,10))</f>
        <v>Vitamin C</v>
      </c>
      <c r="C994" t="str" cm="1">
        <f t="array" aca="1" ref="C994" ca="1">INDEX({"Painkiller","Antibiotic","Painkiller","Antihistamine","Diabetes","Hypertension","Antacid","Antibiotic","Hypertension","Supplement"},
MATCH(B994,{"Paracetamol","Amoxicillin","Ibuprofen","Cetirizine","Metformin","Amlodipine","Omeprazole","Azithromycin","Losartan","Vitamin C"},0))</f>
        <v>Supplement</v>
      </c>
      <c r="D994" t="str" cm="1">
        <f t="array" aca="1" ref="D994" ca="1">INDEX({"MedSupply Co","HealthCorp","PharmaPlus","GlobalMed"}, RANDBETWEEN(1,4))</f>
        <v>GlobalMed</v>
      </c>
      <c r="E994">
        <f t="shared" ca="1" si="151"/>
        <v>142</v>
      </c>
      <c r="F994">
        <f t="shared" ca="1" si="152"/>
        <v>21</v>
      </c>
      <c r="G994">
        <f t="shared" ca="1" si="153"/>
        <v>1.66</v>
      </c>
      <c r="H994" s="1">
        <f t="shared" ca="1" si="154"/>
        <v>46314</v>
      </c>
      <c r="I994" s="1">
        <f t="shared" ca="1" si="155"/>
        <v>45992</v>
      </c>
      <c r="J994">
        <f t="shared" ca="1" si="156"/>
        <v>235.72</v>
      </c>
      <c r="K994" t="str">
        <f t="shared" ca="1" si="157"/>
        <v>In Stock</v>
      </c>
      <c r="L994" s="2">
        <f t="shared" ca="1" si="158"/>
        <v>195</v>
      </c>
      <c r="M994" t="str">
        <f t="shared" ca="1" si="159"/>
        <v>Safe</v>
      </c>
    </row>
    <row r="995" spans="1:13" x14ac:dyDescent="0.25">
      <c r="A995" t="str">
        <f t="shared" si="150"/>
        <v>M994</v>
      </c>
      <c r="B995" t="str" cm="1">
        <f t="array" aca="1" ref="B995" ca="1">INDEX({"Paracetamol","Amoxicillin","Ibuprofen","Cetirizine","Metformin","Amlodipine","Omeprazole","Azithromycin","Losartan","Vitamin C"}, RANDBETWEEN(1,10))</f>
        <v>Amoxicillin</v>
      </c>
      <c r="C995" t="str" cm="1">
        <f t="array" aca="1" ref="C995" ca="1">INDEX({"Painkiller","Antibiotic","Painkiller","Antihistamine","Diabetes","Hypertension","Antacid","Antibiotic","Hypertension","Supplement"},
MATCH(B995,{"Paracetamol","Amoxicillin","Ibuprofen","Cetirizine","Metformin","Amlodipine","Omeprazole","Azithromycin","Losartan","Vitamin C"},0))</f>
        <v>Antibiotic</v>
      </c>
      <c r="D995" t="str" cm="1">
        <f t="array" aca="1" ref="D995" ca="1">INDEX({"MedSupply Co","HealthCorp","PharmaPlus","GlobalMed"}, RANDBETWEEN(1,4))</f>
        <v>HealthCorp</v>
      </c>
      <c r="E995">
        <f t="shared" ca="1" si="151"/>
        <v>61</v>
      </c>
      <c r="F995">
        <f t="shared" ca="1" si="152"/>
        <v>79</v>
      </c>
      <c r="G995">
        <f t="shared" ca="1" si="153"/>
        <v>0.84</v>
      </c>
      <c r="H995" s="1">
        <f t="shared" ca="1" si="154"/>
        <v>46400</v>
      </c>
      <c r="I995" s="1">
        <f t="shared" ca="1" si="155"/>
        <v>46009</v>
      </c>
      <c r="J995">
        <f t="shared" ca="1" si="156"/>
        <v>51.239999999999995</v>
      </c>
      <c r="K995" t="str">
        <f t="shared" ca="1" si="157"/>
        <v>Low Stock</v>
      </c>
      <c r="L995" s="2">
        <f t="shared" ca="1" si="158"/>
        <v>281</v>
      </c>
      <c r="M995" t="str">
        <f t="shared" ca="1" si="159"/>
        <v>Safe</v>
      </c>
    </row>
    <row r="996" spans="1:13" x14ac:dyDescent="0.25">
      <c r="A996" t="str">
        <f t="shared" si="150"/>
        <v>M995</v>
      </c>
      <c r="B996" t="str" cm="1">
        <f t="array" aca="1" ref="B996" ca="1">INDEX({"Paracetamol","Amoxicillin","Ibuprofen","Cetirizine","Metformin","Amlodipine","Omeprazole","Azithromycin","Losartan","Vitamin C"}, RANDBETWEEN(1,10))</f>
        <v>Azithromycin</v>
      </c>
      <c r="C996" t="str" cm="1">
        <f t="array" aca="1" ref="C996" ca="1">INDEX({"Painkiller","Antibiotic","Painkiller","Antihistamine","Diabetes","Hypertension","Antacid","Antibiotic","Hypertension","Supplement"},
MATCH(B996,{"Paracetamol","Amoxicillin","Ibuprofen","Cetirizine","Metformin","Amlodipine","Omeprazole","Azithromycin","Losartan","Vitamin C"},0))</f>
        <v>Antibiotic</v>
      </c>
      <c r="D996" t="str" cm="1">
        <f t="array" aca="1" ref="D996" ca="1">INDEX({"MedSupply Co","HealthCorp","PharmaPlus","GlobalMed"}, RANDBETWEEN(1,4))</f>
        <v>GlobalMed</v>
      </c>
      <c r="E996">
        <f t="shared" ca="1" si="151"/>
        <v>126</v>
      </c>
      <c r="F996">
        <f t="shared" ca="1" si="152"/>
        <v>87</v>
      </c>
      <c r="G996">
        <f t="shared" ca="1" si="153"/>
        <v>1.44</v>
      </c>
      <c r="H996" s="1">
        <f t="shared" ca="1" si="154"/>
        <v>46358</v>
      </c>
      <c r="I996" s="1">
        <f t="shared" ca="1" si="155"/>
        <v>45993</v>
      </c>
      <c r="J996">
        <f t="shared" ca="1" si="156"/>
        <v>181.44</v>
      </c>
      <c r="K996" t="str">
        <f t="shared" ca="1" si="157"/>
        <v>In Stock</v>
      </c>
      <c r="L996" s="2">
        <f t="shared" ca="1" si="158"/>
        <v>239</v>
      </c>
      <c r="M996" t="str">
        <f t="shared" ca="1" si="159"/>
        <v>Safe</v>
      </c>
    </row>
    <row r="997" spans="1:13" x14ac:dyDescent="0.25">
      <c r="A997" t="str">
        <f t="shared" si="150"/>
        <v>M996</v>
      </c>
      <c r="B997" t="str" cm="1">
        <f t="array" aca="1" ref="B997" ca="1">INDEX({"Paracetamol","Amoxicillin","Ibuprofen","Cetirizine","Metformin","Amlodipine","Omeprazole","Azithromycin","Losartan","Vitamin C"}, RANDBETWEEN(1,10))</f>
        <v>Paracetamol</v>
      </c>
      <c r="C997" t="str" cm="1">
        <f t="array" aca="1" ref="C997" ca="1">INDEX({"Painkiller","Antibiotic","Painkiller","Antihistamine","Diabetes","Hypertension","Antacid","Antibiotic","Hypertension","Supplement"},
MATCH(B997,{"Paracetamol","Amoxicillin","Ibuprofen","Cetirizine","Metformin","Amlodipine","Omeprazole","Azithromycin","Losartan","Vitamin C"},0))</f>
        <v>Painkiller</v>
      </c>
      <c r="D997" t="str" cm="1">
        <f t="array" aca="1" ref="D997" ca="1">INDEX({"MedSupply Co","HealthCorp","PharmaPlus","GlobalMed"}, RANDBETWEEN(1,4))</f>
        <v>PharmaPlus</v>
      </c>
      <c r="E997">
        <f t="shared" ca="1" si="151"/>
        <v>42</v>
      </c>
      <c r="F997">
        <f t="shared" ca="1" si="152"/>
        <v>53</v>
      </c>
      <c r="G997">
        <f t="shared" ca="1" si="153"/>
        <v>1.58</v>
      </c>
      <c r="H997" s="1">
        <f t="shared" ca="1" si="154"/>
        <v>46465</v>
      </c>
      <c r="I997" s="1">
        <f t="shared" ca="1" si="155"/>
        <v>46011</v>
      </c>
      <c r="J997">
        <f t="shared" ca="1" si="156"/>
        <v>66.36</v>
      </c>
      <c r="K997" t="str">
        <f t="shared" ca="1" si="157"/>
        <v>Low Stock</v>
      </c>
      <c r="L997" s="2">
        <f t="shared" ca="1" si="158"/>
        <v>346</v>
      </c>
      <c r="M997" t="str">
        <f t="shared" ca="1" si="159"/>
        <v>Safe</v>
      </c>
    </row>
    <row r="998" spans="1:13" x14ac:dyDescent="0.25">
      <c r="A998" t="str">
        <f t="shared" si="150"/>
        <v>M997</v>
      </c>
      <c r="B998" t="str" cm="1">
        <f t="array" aca="1" ref="B998" ca="1">INDEX({"Paracetamol","Amoxicillin","Ibuprofen","Cetirizine","Metformin","Amlodipine","Omeprazole","Azithromycin","Losartan","Vitamin C"}, RANDBETWEEN(1,10))</f>
        <v>Amlodipine</v>
      </c>
      <c r="C998" t="str" cm="1">
        <f t="array" aca="1" ref="C998" ca="1">INDEX({"Painkiller","Antibiotic","Painkiller","Antihistamine","Diabetes","Hypertension","Antacid","Antibiotic","Hypertension","Supplement"},
MATCH(B998,{"Paracetamol","Amoxicillin","Ibuprofen","Cetirizine","Metformin","Amlodipine","Omeprazole","Azithromycin","Losartan","Vitamin C"},0))</f>
        <v>Hypertension</v>
      </c>
      <c r="D998" t="str" cm="1">
        <f t="array" aca="1" ref="D998" ca="1">INDEX({"MedSupply Co","HealthCorp","PharmaPlus","GlobalMed"}, RANDBETWEEN(1,4))</f>
        <v>MedSupply Co</v>
      </c>
      <c r="E998">
        <f t="shared" ca="1" si="151"/>
        <v>126</v>
      </c>
      <c r="F998">
        <f t="shared" ca="1" si="152"/>
        <v>68</v>
      </c>
      <c r="G998">
        <f t="shared" ca="1" si="153"/>
        <v>1.5</v>
      </c>
      <c r="H998" s="1">
        <f t="shared" ca="1" si="154"/>
        <v>46294</v>
      </c>
      <c r="I998" s="1">
        <f t="shared" ca="1" si="155"/>
        <v>46073</v>
      </c>
      <c r="J998">
        <f t="shared" ca="1" si="156"/>
        <v>189</v>
      </c>
      <c r="K998" t="str">
        <f t="shared" ca="1" si="157"/>
        <v>In Stock</v>
      </c>
      <c r="L998" s="2">
        <f t="shared" ca="1" si="158"/>
        <v>175</v>
      </c>
      <c r="M998" t="str">
        <f t="shared" ca="1" si="159"/>
        <v>Safe</v>
      </c>
    </row>
    <row r="999" spans="1:13" x14ac:dyDescent="0.25">
      <c r="A999" t="str">
        <f t="shared" si="150"/>
        <v>M998</v>
      </c>
      <c r="B999" t="str" cm="1">
        <f t="array" aca="1" ref="B999" ca="1">INDEX({"Paracetamol","Amoxicillin","Ibuprofen","Cetirizine","Metformin","Amlodipine","Omeprazole","Azithromycin","Losartan","Vitamin C"}, RANDBETWEEN(1,10))</f>
        <v>Amlodipine</v>
      </c>
      <c r="C999" t="str" cm="1">
        <f t="array" aca="1" ref="C999" ca="1">INDEX({"Painkiller","Antibiotic","Painkiller","Antihistamine","Diabetes","Hypertension","Antacid","Antibiotic","Hypertension","Supplement"},
MATCH(B999,{"Paracetamol","Amoxicillin","Ibuprofen","Cetirizine","Metformin","Amlodipine","Omeprazole","Azithromycin","Losartan","Vitamin C"},0))</f>
        <v>Hypertension</v>
      </c>
      <c r="D999" t="str" cm="1">
        <f t="array" aca="1" ref="D999" ca="1">INDEX({"MedSupply Co","HealthCorp","PharmaPlus","GlobalMed"}, RANDBETWEEN(1,4))</f>
        <v>MedSupply Co</v>
      </c>
      <c r="E999">
        <f t="shared" ca="1" si="151"/>
        <v>187</v>
      </c>
      <c r="F999">
        <f t="shared" ca="1" si="152"/>
        <v>41</v>
      </c>
      <c r="G999">
        <f t="shared" ca="1" si="153"/>
        <v>1.28</v>
      </c>
      <c r="H999" s="1">
        <f t="shared" ca="1" si="154"/>
        <v>46264</v>
      </c>
      <c r="I999" s="1">
        <f t="shared" ca="1" si="155"/>
        <v>46103</v>
      </c>
      <c r="J999">
        <f t="shared" ca="1" si="156"/>
        <v>239.36</v>
      </c>
      <c r="K999" t="str">
        <f t="shared" ca="1" si="157"/>
        <v>In Stock</v>
      </c>
      <c r="L999" s="2">
        <f t="shared" ca="1" si="158"/>
        <v>145</v>
      </c>
      <c r="M999" t="str">
        <f t="shared" ca="1" si="159"/>
        <v>Safe</v>
      </c>
    </row>
    <row r="1000" spans="1:13" x14ac:dyDescent="0.25">
      <c r="A1000" t="str">
        <f t="shared" si="150"/>
        <v>M999</v>
      </c>
      <c r="B1000" t="str" cm="1">
        <f t="array" aca="1" ref="B1000" ca="1">INDEX({"Paracetamol","Amoxicillin","Ibuprofen","Cetirizine","Metformin","Amlodipine","Omeprazole","Azithromycin","Losartan","Vitamin C"}, RANDBETWEEN(1,10))</f>
        <v>Ibuprofen</v>
      </c>
      <c r="C1000" t="str" cm="1">
        <f t="array" aca="1" ref="C1000" ca="1">INDEX({"Painkiller","Antibiotic","Painkiller","Antihistamine","Diabetes","Hypertension","Antacid","Antibiotic","Hypertension","Supplement"},
MATCH(B1000,{"Paracetamol","Amoxicillin","Ibuprofen","Cetirizine","Metformin","Amlodipine","Omeprazole","Azithromycin","Losartan","Vitamin C"},0))</f>
        <v>Painkiller</v>
      </c>
      <c r="D1000" t="str" cm="1">
        <f t="array" aca="1" ref="D1000" ca="1">INDEX({"MedSupply Co","HealthCorp","PharmaPlus","GlobalMed"}, RANDBETWEEN(1,4))</f>
        <v>PharmaPlus</v>
      </c>
      <c r="E1000">
        <f t="shared" ca="1" si="151"/>
        <v>182</v>
      </c>
      <c r="F1000">
        <f t="shared" ca="1" si="152"/>
        <v>99</v>
      </c>
      <c r="G1000">
        <f t="shared" ca="1" si="153"/>
        <v>1.31</v>
      </c>
      <c r="H1000" s="1">
        <f t="shared" ca="1" si="154"/>
        <v>46392</v>
      </c>
      <c r="I1000" s="1">
        <f t="shared" ca="1" si="155"/>
        <v>46093</v>
      </c>
      <c r="J1000">
        <f t="shared" ca="1" si="156"/>
        <v>238.42000000000002</v>
      </c>
      <c r="K1000" t="str">
        <f t="shared" ca="1" si="157"/>
        <v>In Stock</v>
      </c>
      <c r="L1000" s="2">
        <f t="shared" ca="1" si="158"/>
        <v>273</v>
      </c>
      <c r="M1000" t="str">
        <f t="shared" ca="1" si="159"/>
        <v>Safe</v>
      </c>
    </row>
    <row r="1001" spans="1:13" x14ac:dyDescent="0.25">
      <c r="A1001" t="str">
        <f t="shared" si="150"/>
        <v>M1000</v>
      </c>
      <c r="B1001" t="str" cm="1">
        <f t="array" aca="1" ref="B1001" ca="1">INDEX({"Paracetamol","Amoxicillin","Ibuprofen","Cetirizine","Metformin","Amlodipine","Omeprazole","Azithromycin","Losartan","Vitamin C"}, RANDBETWEEN(1,10))</f>
        <v>Paracetamol</v>
      </c>
      <c r="C1001" t="str" cm="1">
        <f t="array" aca="1" ref="C1001" ca="1">INDEX({"Painkiller","Antibiotic","Painkiller","Antihistamine","Diabetes","Hypertension","Antacid","Antibiotic","Hypertension","Supplement"},
MATCH(B1001,{"Paracetamol","Amoxicillin","Ibuprofen","Cetirizine","Metformin","Amlodipine","Omeprazole","Azithromycin","Losartan","Vitamin C"},0))</f>
        <v>Painkiller</v>
      </c>
      <c r="D1001" t="str" cm="1">
        <f t="array" aca="1" ref="D1001" ca="1">INDEX({"MedSupply Co","HealthCorp","PharmaPlus","GlobalMed"}, RANDBETWEEN(1,4))</f>
        <v>GlobalMed</v>
      </c>
      <c r="E1001">
        <f t="shared" ca="1" si="151"/>
        <v>10</v>
      </c>
      <c r="F1001">
        <f t="shared" ca="1" si="152"/>
        <v>96</v>
      </c>
      <c r="G1001">
        <f t="shared" ca="1" si="153"/>
        <v>1.8</v>
      </c>
      <c r="H1001" s="1">
        <f t="shared" ca="1" si="154"/>
        <v>46280</v>
      </c>
      <c r="I1001" s="1">
        <f t="shared" ca="1" si="155"/>
        <v>45942</v>
      </c>
      <c r="J1001">
        <f t="shared" ca="1" si="156"/>
        <v>18</v>
      </c>
      <c r="K1001" t="str">
        <f t="shared" ca="1" si="157"/>
        <v>Low Stock</v>
      </c>
      <c r="L1001" s="2">
        <f t="shared" ca="1" si="158"/>
        <v>161</v>
      </c>
      <c r="M1001" t="str">
        <f t="shared" ca="1" si="159"/>
        <v>Safe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4110-5965-43A6-853C-366BEE4ACC1C}">
  <dimension ref="A1:M1001"/>
  <sheetViews>
    <sheetView workbookViewId="0">
      <selection activeCell="E7" sqref="E7"/>
    </sheetView>
  </sheetViews>
  <sheetFormatPr defaultRowHeight="15" x14ac:dyDescent="0.25"/>
  <cols>
    <col min="1" max="1" width="13.85546875" bestFit="1" customWidth="1"/>
    <col min="2" max="2" width="17.28515625" bestFit="1" customWidth="1"/>
    <col min="3" max="3" width="13.7109375" bestFit="1" customWidth="1"/>
    <col min="4" max="4" width="13.85546875" bestFit="1" customWidth="1"/>
    <col min="5" max="5" width="14.140625" bestFit="1" customWidth="1"/>
    <col min="6" max="6" width="13.28515625" bestFit="1" customWidth="1"/>
    <col min="7" max="7" width="10" bestFit="1" customWidth="1"/>
    <col min="8" max="8" width="11.5703125" bestFit="1" customWidth="1"/>
    <col min="9" max="9" width="14.140625" bestFit="1" customWidth="1"/>
    <col min="10" max="10" width="15.5703125" bestFit="1" customWidth="1"/>
    <col min="11" max="11" width="11.85546875" bestFit="1" customWidth="1"/>
    <col min="12" max="12" width="14.7109375" bestFit="1" customWidth="1"/>
    <col min="13" max="13" width="13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29</v>
      </c>
      <c r="K1" t="s">
        <v>30</v>
      </c>
      <c r="L1" t="s">
        <v>31</v>
      </c>
      <c r="M1" t="s">
        <v>32</v>
      </c>
    </row>
    <row r="2" spans="1:13" x14ac:dyDescent="0.25">
      <c r="A2" t="s">
        <v>33</v>
      </c>
      <c r="B2" t="s">
        <v>12</v>
      </c>
      <c r="C2" t="s">
        <v>13</v>
      </c>
      <c r="D2" t="s">
        <v>38</v>
      </c>
      <c r="E2">
        <v>88</v>
      </c>
      <c r="F2">
        <v>20</v>
      </c>
      <c r="G2">
        <v>1.92</v>
      </c>
      <c r="H2" s="1">
        <v>46464</v>
      </c>
      <c r="I2" s="1">
        <v>46008</v>
      </c>
      <c r="J2">
        <v>168.95999999999998</v>
      </c>
      <c r="K2" t="s">
        <v>35</v>
      </c>
      <c r="L2">
        <v>345</v>
      </c>
      <c r="M2" t="s">
        <v>36</v>
      </c>
    </row>
    <row r="3" spans="1:13" x14ac:dyDescent="0.25">
      <c r="A3" t="s">
        <v>37</v>
      </c>
      <c r="B3" t="s">
        <v>12</v>
      </c>
      <c r="C3" t="s">
        <v>13</v>
      </c>
      <c r="D3" t="s">
        <v>40</v>
      </c>
      <c r="E3">
        <v>75</v>
      </c>
      <c r="F3">
        <v>28</v>
      </c>
      <c r="G3">
        <v>1.82</v>
      </c>
      <c r="H3" s="1">
        <v>46417</v>
      </c>
      <c r="I3" s="1">
        <v>45977</v>
      </c>
      <c r="J3">
        <v>136.5</v>
      </c>
      <c r="K3" t="s">
        <v>35</v>
      </c>
      <c r="L3">
        <v>298</v>
      </c>
      <c r="M3" t="s">
        <v>36</v>
      </c>
    </row>
    <row r="4" spans="1:13" x14ac:dyDescent="0.25">
      <c r="A4" t="s">
        <v>39</v>
      </c>
      <c r="B4" t="s">
        <v>19</v>
      </c>
      <c r="C4" t="s">
        <v>20</v>
      </c>
      <c r="D4" t="s">
        <v>40</v>
      </c>
      <c r="E4">
        <v>95</v>
      </c>
      <c r="F4">
        <v>54</v>
      </c>
      <c r="G4">
        <v>1.19</v>
      </c>
      <c r="H4" s="1">
        <v>46385</v>
      </c>
      <c r="I4" s="1">
        <v>46060</v>
      </c>
      <c r="J4">
        <v>113.05</v>
      </c>
      <c r="K4" t="s">
        <v>35</v>
      </c>
      <c r="L4">
        <v>266</v>
      </c>
      <c r="M4" t="s">
        <v>36</v>
      </c>
    </row>
    <row r="5" spans="1:13" x14ac:dyDescent="0.25">
      <c r="A5" t="s">
        <v>41</v>
      </c>
      <c r="B5" t="s">
        <v>16</v>
      </c>
      <c r="C5" t="s">
        <v>13</v>
      </c>
      <c r="D5" t="s">
        <v>34</v>
      </c>
      <c r="E5">
        <v>154</v>
      </c>
      <c r="F5">
        <v>28</v>
      </c>
      <c r="G5">
        <v>1.69</v>
      </c>
      <c r="H5" s="1">
        <v>46334</v>
      </c>
      <c r="I5" s="1">
        <v>46018</v>
      </c>
      <c r="J5">
        <v>260.26</v>
      </c>
      <c r="K5" t="s">
        <v>35</v>
      </c>
      <c r="L5">
        <v>215</v>
      </c>
      <c r="M5" t="s">
        <v>36</v>
      </c>
    </row>
    <row r="6" spans="1:13" x14ac:dyDescent="0.25">
      <c r="A6" t="s">
        <v>42</v>
      </c>
      <c r="B6" t="s">
        <v>27</v>
      </c>
      <c r="C6" t="s">
        <v>28</v>
      </c>
      <c r="D6" t="s">
        <v>38</v>
      </c>
      <c r="E6">
        <v>44</v>
      </c>
      <c r="F6">
        <v>75</v>
      </c>
      <c r="G6">
        <v>0.6</v>
      </c>
      <c r="H6" s="1">
        <v>46445</v>
      </c>
      <c r="I6" s="1">
        <v>46022</v>
      </c>
      <c r="J6">
        <v>26.4</v>
      </c>
      <c r="K6" t="s">
        <v>44</v>
      </c>
      <c r="L6">
        <v>326</v>
      </c>
      <c r="M6" t="s">
        <v>36</v>
      </c>
    </row>
    <row r="7" spans="1:13" x14ac:dyDescent="0.25">
      <c r="A7" t="s">
        <v>43</v>
      </c>
      <c r="B7" t="s">
        <v>26</v>
      </c>
      <c r="C7" t="s">
        <v>22</v>
      </c>
      <c r="D7" t="s">
        <v>38</v>
      </c>
      <c r="E7">
        <v>142</v>
      </c>
      <c r="F7">
        <v>62</v>
      </c>
      <c r="G7">
        <v>0.82</v>
      </c>
      <c r="H7" s="1">
        <v>46420</v>
      </c>
      <c r="I7" s="1">
        <v>46033</v>
      </c>
      <c r="J7">
        <v>116.44</v>
      </c>
      <c r="K7" t="s">
        <v>35</v>
      </c>
      <c r="L7">
        <v>301</v>
      </c>
      <c r="M7" t="s">
        <v>36</v>
      </c>
    </row>
    <row r="8" spans="1:13" x14ac:dyDescent="0.25">
      <c r="A8" t="s">
        <v>45</v>
      </c>
      <c r="B8" t="s">
        <v>27</v>
      </c>
      <c r="C8" t="s">
        <v>28</v>
      </c>
      <c r="D8" t="s">
        <v>34</v>
      </c>
      <c r="E8">
        <v>46</v>
      </c>
      <c r="F8">
        <v>64</v>
      </c>
      <c r="G8">
        <v>1.89</v>
      </c>
      <c r="H8" s="1">
        <v>46215</v>
      </c>
      <c r="I8" s="1">
        <v>45959</v>
      </c>
      <c r="J8">
        <v>86.94</v>
      </c>
      <c r="K8" t="s">
        <v>44</v>
      </c>
      <c r="L8">
        <v>96</v>
      </c>
      <c r="M8" t="s">
        <v>36</v>
      </c>
    </row>
    <row r="9" spans="1:13" x14ac:dyDescent="0.25">
      <c r="A9" t="s">
        <v>46</v>
      </c>
      <c r="B9" t="s">
        <v>25</v>
      </c>
      <c r="C9" t="s">
        <v>15</v>
      </c>
      <c r="D9" t="s">
        <v>34</v>
      </c>
      <c r="E9">
        <v>56</v>
      </c>
      <c r="F9">
        <v>46</v>
      </c>
      <c r="G9">
        <v>1.55</v>
      </c>
      <c r="H9" s="1">
        <v>46208</v>
      </c>
      <c r="I9" s="1">
        <v>45948</v>
      </c>
      <c r="J9">
        <v>86.8</v>
      </c>
      <c r="K9" t="s">
        <v>35</v>
      </c>
      <c r="L9">
        <v>89</v>
      </c>
      <c r="M9" t="s">
        <v>36</v>
      </c>
    </row>
    <row r="10" spans="1:13" x14ac:dyDescent="0.25">
      <c r="A10" t="s">
        <v>47</v>
      </c>
      <c r="B10" t="s">
        <v>14</v>
      </c>
      <c r="C10" t="s">
        <v>15</v>
      </c>
      <c r="D10" t="s">
        <v>40</v>
      </c>
      <c r="E10">
        <v>186</v>
      </c>
      <c r="F10">
        <v>90</v>
      </c>
      <c r="G10">
        <v>1.57</v>
      </c>
      <c r="H10" s="1">
        <v>46246</v>
      </c>
      <c r="I10" s="1">
        <v>46090</v>
      </c>
      <c r="J10">
        <v>292.02000000000004</v>
      </c>
      <c r="K10" t="s">
        <v>35</v>
      </c>
      <c r="L10">
        <v>127</v>
      </c>
      <c r="M10" t="s">
        <v>36</v>
      </c>
    </row>
    <row r="11" spans="1:13" x14ac:dyDescent="0.25">
      <c r="A11" t="s">
        <v>48</v>
      </c>
      <c r="B11" t="s">
        <v>19</v>
      </c>
      <c r="C11" t="s">
        <v>20</v>
      </c>
      <c r="D11" t="s">
        <v>40</v>
      </c>
      <c r="E11">
        <v>65</v>
      </c>
      <c r="F11">
        <v>97</v>
      </c>
      <c r="G11">
        <v>0.63</v>
      </c>
      <c r="H11" s="1">
        <v>46412</v>
      </c>
      <c r="I11" s="1">
        <v>46010</v>
      </c>
      <c r="J11">
        <v>40.950000000000003</v>
      </c>
      <c r="K11" t="s">
        <v>44</v>
      </c>
      <c r="L11">
        <v>293</v>
      </c>
      <c r="M11" t="s">
        <v>36</v>
      </c>
    </row>
    <row r="12" spans="1:13" x14ac:dyDescent="0.25">
      <c r="A12" t="s">
        <v>50</v>
      </c>
      <c r="B12" t="s">
        <v>25</v>
      </c>
      <c r="C12" t="s">
        <v>15</v>
      </c>
      <c r="D12" t="s">
        <v>49</v>
      </c>
      <c r="E12">
        <v>37</v>
      </c>
      <c r="F12">
        <v>23</v>
      </c>
      <c r="G12">
        <v>1.06</v>
      </c>
      <c r="H12" s="1">
        <v>46323</v>
      </c>
      <c r="I12" s="1">
        <v>45982</v>
      </c>
      <c r="J12">
        <v>39.22</v>
      </c>
      <c r="K12" t="s">
        <v>35</v>
      </c>
      <c r="L12">
        <v>204</v>
      </c>
      <c r="M12" t="s">
        <v>36</v>
      </c>
    </row>
    <row r="13" spans="1:13" x14ac:dyDescent="0.25">
      <c r="A13" t="s">
        <v>51</v>
      </c>
      <c r="B13" t="s">
        <v>26</v>
      </c>
      <c r="C13" t="s">
        <v>22</v>
      </c>
      <c r="D13" t="s">
        <v>38</v>
      </c>
      <c r="E13">
        <v>44</v>
      </c>
      <c r="F13">
        <v>99</v>
      </c>
      <c r="G13">
        <v>1.88</v>
      </c>
      <c r="H13" s="1">
        <v>46294</v>
      </c>
      <c r="I13" s="1">
        <v>46076</v>
      </c>
      <c r="J13">
        <v>82.72</v>
      </c>
      <c r="K13" t="s">
        <v>44</v>
      </c>
      <c r="L13">
        <v>175</v>
      </c>
      <c r="M13" t="s">
        <v>36</v>
      </c>
    </row>
    <row r="14" spans="1:13" x14ac:dyDescent="0.25">
      <c r="A14" t="s">
        <v>52</v>
      </c>
      <c r="B14" t="s">
        <v>17</v>
      </c>
      <c r="C14" t="s">
        <v>18</v>
      </c>
      <c r="D14" t="s">
        <v>49</v>
      </c>
      <c r="E14">
        <v>160</v>
      </c>
      <c r="F14">
        <v>39</v>
      </c>
      <c r="G14">
        <v>1.37</v>
      </c>
      <c r="H14" s="1">
        <v>46305</v>
      </c>
      <c r="I14" s="1">
        <v>46026</v>
      </c>
      <c r="J14">
        <v>219.20000000000002</v>
      </c>
      <c r="K14" t="s">
        <v>35</v>
      </c>
      <c r="L14">
        <v>186</v>
      </c>
      <c r="M14" t="s">
        <v>36</v>
      </c>
    </row>
    <row r="15" spans="1:13" x14ac:dyDescent="0.25">
      <c r="A15" t="s">
        <v>53</v>
      </c>
      <c r="B15" t="s">
        <v>16</v>
      </c>
      <c r="C15" t="s">
        <v>13</v>
      </c>
      <c r="D15" t="s">
        <v>34</v>
      </c>
      <c r="E15">
        <v>63</v>
      </c>
      <c r="F15">
        <v>77</v>
      </c>
      <c r="G15">
        <v>1.62</v>
      </c>
      <c r="H15" s="1">
        <v>46303</v>
      </c>
      <c r="I15" s="1">
        <v>46023</v>
      </c>
      <c r="J15">
        <v>102.06</v>
      </c>
      <c r="K15" t="s">
        <v>44</v>
      </c>
      <c r="L15">
        <v>184</v>
      </c>
      <c r="M15" t="s">
        <v>36</v>
      </c>
    </row>
    <row r="16" spans="1:13" x14ac:dyDescent="0.25">
      <c r="A16" t="s">
        <v>54</v>
      </c>
      <c r="B16" t="s">
        <v>27</v>
      </c>
      <c r="C16" t="s">
        <v>28</v>
      </c>
      <c r="D16" t="s">
        <v>34</v>
      </c>
      <c r="E16">
        <v>60</v>
      </c>
      <c r="F16">
        <v>92</v>
      </c>
      <c r="G16">
        <v>1.34</v>
      </c>
      <c r="H16" s="1">
        <v>46429</v>
      </c>
      <c r="I16" s="1">
        <v>46052</v>
      </c>
      <c r="J16">
        <v>80.400000000000006</v>
      </c>
      <c r="K16" t="s">
        <v>44</v>
      </c>
      <c r="L16">
        <v>310</v>
      </c>
      <c r="M16" t="s">
        <v>36</v>
      </c>
    </row>
    <row r="17" spans="1:13" x14ac:dyDescent="0.25">
      <c r="A17" t="s">
        <v>55</v>
      </c>
      <c r="B17" t="s">
        <v>17</v>
      </c>
      <c r="C17" t="s">
        <v>18</v>
      </c>
      <c r="D17" t="s">
        <v>49</v>
      </c>
      <c r="E17">
        <v>83</v>
      </c>
      <c r="F17">
        <v>83</v>
      </c>
      <c r="G17">
        <v>1</v>
      </c>
      <c r="H17" s="1">
        <v>46195</v>
      </c>
      <c r="I17" s="1">
        <v>46004</v>
      </c>
      <c r="J17">
        <v>83</v>
      </c>
      <c r="K17" t="s">
        <v>35</v>
      </c>
      <c r="L17">
        <v>76</v>
      </c>
      <c r="M17" t="s">
        <v>36</v>
      </c>
    </row>
    <row r="18" spans="1:13" x14ac:dyDescent="0.25">
      <c r="A18" t="s">
        <v>56</v>
      </c>
      <c r="B18" t="s">
        <v>25</v>
      </c>
      <c r="C18" t="s">
        <v>15</v>
      </c>
      <c r="D18" t="s">
        <v>34</v>
      </c>
      <c r="E18">
        <v>148</v>
      </c>
      <c r="F18">
        <v>40</v>
      </c>
      <c r="G18">
        <v>1.04</v>
      </c>
      <c r="H18" s="1">
        <v>46313</v>
      </c>
      <c r="I18" s="1">
        <v>46118</v>
      </c>
      <c r="J18">
        <v>153.92000000000002</v>
      </c>
      <c r="K18" t="s">
        <v>35</v>
      </c>
      <c r="L18">
        <v>194</v>
      </c>
      <c r="M18" t="s">
        <v>36</v>
      </c>
    </row>
    <row r="19" spans="1:13" x14ac:dyDescent="0.25">
      <c r="A19" t="s">
        <v>57</v>
      </c>
      <c r="B19" t="s">
        <v>21</v>
      </c>
      <c r="C19" t="s">
        <v>22</v>
      </c>
      <c r="D19" t="s">
        <v>49</v>
      </c>
      <c r="E19">
        <v>54</v>
      </c>
      <c r="F19">
        <v>33</v>
      </c>
      <c r="G19">
        <v>0.63</v>
      </c>
      <c r="H19" s="1">
        <v>46243</v>
      </c>
      <c r="I19" s="1">
        <v>46072</v>
      </c>
      <c r="J19">
        <v>34.020000000000003</v>
      </c>
      <c r="K19" t="s">
        <v>35</v>
      </c>
      <c r="L19">
        <v>124</v>
      </c>
      <c r="M19" t="s">
        <v>36</v>
      </c>
    </row>
    <row r="20" spans="1:13" x14ac:dyDescent="0.25">
      <c r="A20" t="s">
        <v>58</v>
      </c>
      <c r="B20" t="s">
        <v>17</v>
      </c>
      <c r="C20" t="s">
        <v>18</v>
      </c>
      <c r="D20" t="s">
        <v>40</v>
      </c>
      <c r="E20">
        <v>69</v>
      </c>
      <c r="F20">
        <v>73</v>
      </c>
      <c r="G20">
        <v>1.18</v>
      </c>
      <c r="H20" s="1">
        <v>46260</v>
      </c>
      <c r="I20" s="1">
        <v>46060</v>
      </c>
      <c r="J20">
        <v>81.42</v>
      </c>
      <c r="K20" t="s">
        <v>44</v>
      </c>
      <c r="L20">
        <v>141</v>
      </c>
      <c r="M20" t="s">
        <v>36</v>
      </c>
    </row>
    <row r="21" spans="1:13" x14ac:dyDescent="0.25">
      <c r="A21" t="s">
        <v>59</v>
      </c>
      <c r="B21" t="s">
        <v>27</v>
      </c>
      <c r="C21" t="s">
        <v>28</v>
      </c>
      <c r="D21" t="s">
        <v>38</v>
      </c>
      <c r="E21">
        <v>32</v>
      </c>
      <c r="F21">
        <v>24</v>
      </c>
      <c r="G21">
        <v>1.87</v>
      </c>
      <c r="H21" s="1">
        <v>46258</v>
      </c>
      <c r="I21" s="1">
        <v>46087</v>
      </c>
      <c r="J21">
        <v>59.84</v>
      </c>
      <c r="K21" t="s">
        <v>35</v>
      </c>
      <c r="L21">
        <v>139</v>
      </c>
      <c r="M21" t="s">
        <v>36</v>
      </c>
    </row>
    <row r="22" spans="1:13" x14ac:dyDescent="0.25">
      <c r="A22" t="s">
        <v>60</v>
      </c>
      <c r="B22" t="s">
        <v>12</v>
      </c>
      <c r="C22" t="s">
        <v>13</v>
      </c>
      <c r="D22" t="s">
        <v>40</v>
      </c>
      <c r="E22">
        <v>173</v>
      </c>
      <c r="F22">
        <v>88</v>
      </c>
      <c r="G22">
        <v>1.95</v>
      </c>
      <c r="H22" s="1">
        <v>46318</v>
      </c>
      <c r="I22" s="1">
        <v>46084</v>
      </c>
      <c r="J22">
        <v>337.34999999999997</v>
      </c>
      <c r="K22" t="s">
        <v>35</v>
      </c>
      <c r="L22">
        <v>199</v>
      </c>
      <c r="M22" t="s">
        <v>36</v>
      </c>
    </row>
    <row r="23" spans="1:13" x14ac:dyDescent="0.25">
      <c r="A23" t="s">
        <v>61</v>
      </c>
      <c r="B23" t="s">
        <v>21</v>
      </c>
      <c r="C23" t="s">
        <v>22</v>
      </c>
      <c r="D23" t="s">
        <v>49</v>
      </c>
      <c r="E23">
        <v>79</v>
      </c>
      <c r="F23">
        <v>51</v>
      </c>
      <c r="G23">
        <v>1.04</v>
      </c>
      <c r="H23" s="1">
        <v>46192</v>
      </c>
      <c r="I23" s="1">
        <v>46111</v>
      </c>
      <c r="J23">
        <v>82.16</v>
      </c>
      <c r="K23" t="s">
        <v>35</v>
      </c>
      <c r="L23">
        <v>73</v>
      </c>
      <c r="M23" t="s">
        <v>36</v>
      </c>
    </row>
    <row r="24" spans="1:13" x14ac:dyDescent="0.25">
      <c r="A24" t="s">
        <v>62</v>
      </c>
      <c r="B24" t="s">
        <v>14</v>
      </c>
      <c r="C24" t="s">
        <v>15</v>
      </c>
      <c r="D24" t="s">
        <v>40</v>
      </c>
      <c r="E24">
        <v>133</v>
      </c>
      <c r="F24">
        <v>69</v>
      </c>
      <c r="G24">
        <v>1.29</v>
      </c>
      <c r="H24" s="1">
        <v>46336</v>
      </c>
      <c r="I24" s="1">
        <v>46103</v>
      </c>
      <c r="J24">
        <v>171.57</v>
      </c>
      <c r="K24" t="s">
        <v>35</v>
      </c>
      <c r="L24">
        <v>217</v>
      </c>
      <c r="M24" t="s">
        <v>36</v>
      </c>
    </row>
    <row r="25" spans="1:13" x14ac:dyDescent="0.25">
      <c r="A25" t="s">
        <v>63</v>
      </c>
      <c r="B25" t="s">
        <v>21</v>
      </c>
      <c r="C25" t="s">
        <v>22</v>
      </c>
      <c r="D25" t="s">
        <v>38</v>
      </c>
      <c r="E25">
        <v>72</v>
      </c>
      <c r="F25">
        <v>85</v>
      </c>
      <c r="G25">
        <v>0.73</v>
      </c>
      <c r="H25" s="1">
        <v>46327</v>
      </c>
      <c r="I25" s="1">
        <v>46036</v>
      </c>
      <c r="J25">
        <v>52.56</v>
      </c>
      <c r="K25" t="s">
        <v>44</v>
      </c>
      <c r="L25">
        <v>208</v>
      </c>
      <c r="M25" t="s">
        <v>36</v>
      </c>
    </row>
    <row r="26" spans="1:13" x14ac:dyDescent="0.25">
      <c r="A26" t="s">
        <v>64</v>
      </c>
      <c r="B26" t="s">
        <v>19</v>
      </c>
      <c r="C26" t="s">
        <v>20</v>
      </c>
      <c r="D26" t="s">
        <v>34</v>
      </c>
      <c r="E26">
        <v>36</v>
      </c>
      <c r="F26">
        <v>35</v>
      </c>
      <c r="G26">
        <v>1.46</v>
      </c>
      <c r="H26" s="1">
        <v>46359</v>
      </c>
      <c r="I26" s="1">
        <v>45960</v>
      </c>
      <c r="J26">
        <v>52.56</v>
      </c>
      <c r="K26" t="s">
        <v>35</v>
      </c>
      <c r="L26">
        <v>240</v>
      </c>
      <c r="M26" t="s">
        <v>36</v>
      </c>
    </row>
    <row r="27" spans="1:13" x14ac:dyDescent="0.25">
      <c r="A27" t="s">
        <v>65</v>
      </c>
      <c r="B27" t="s">
        <v>26</v>
      </c>
      <c r="C27" t="s">
        <v>22</v>
      </c>
      <c r="D27" t="s">
        <v>34</v>
      </c>
      <c r="E27">
        <v>110</v>
      </c>
      <c r="F27">
        <v>62</v>
      </c>
      <c r="G27">
        <v>1.17</v>
      </c>
      <c r="H27" s="1">
        <v>46263</v>
      </c>
      <c r="I27" s="1">
        <v>46118</v>
      </c>
      <c r="J27">
        <v>128.69999999999999</v>
      </c>
      <c r="K27" t="s">
        <v>35</v>
      </c>
      <c r="L27">
        <v>144</v>
      </c>
      <c r="M27" t="s">
        <v>36</v>
      </c>
    </row>
    <row r="28" spans="1:13" x14ac:dyDescent="0.25">
      <c r="A28" t="s">
        <v>66</v>
      </c>
      <c r="B28" t="s">
        <v>14</v>
      </c>
      <c r="C28" t="s">
        <v>15</v>
      </c>
      <c r="D28" t="s">
        <v>38</v>
      </c>
      <c r="E28">
        <v>136</v>
      </c>
      <c r="F28">
        <v>83</v>
      </c>
      <c r="G28">
        <v>1.47</v>
      </c>
      <c r="H28" s="1">
        <v>46272</v>
      </c>
      <c r="I28" s="1">
        <v>45956</v>
      </c>
      <c r="J28">
        <v>199.92</v>
      </c>
      <c r="K28" t="s">
        <v>35</v>
      </c>
      <c r="L28">
        <v>153</v>
      </c>
      <c r="M28" t="s">
        <v>36</v>
      </c>
    </row>
    <row r="29" spans="1:13" x14ac:dyDescent="0.25">
      <c r="A29" t="s">
        <v>67</v>
      </c>
      <c r="B29" t="s">
        <v>12</v>
      </c>
      <c r="C29" t="s">
        <v>13</v>
      </c>
      <c r="D29" t="s">
        <v>34</v>
      </c>
      <c r="E29">
        <v>171</v>
      </c>
      <c r="F29">
        <v>22</v>
      </c>
      <c r="G29">
        <v>1.54</v>
      </c>
      <c r="H29" s="1">
        <v>46405</v>
      </c>
      <c r="I29" s="1">
        <v>45962</v>
      </c>
      <c r="J29">
        <v>263.34000000000003</v>
      </c>
      <c r="K29" t="s">
        <v>35</v>
      </c>
      <c r="L29">
        <v>286</v>
      </c>
      <c r="M29" t="s">
        <v>36</v>
      </c>
    </row>
    <row r="30" spans="1:13" x14ac:dyDescent="0.25">
      <c r="A30" t="s">
        <v>68</v>
      </c>
      <c r="B30" t="s">
        <v>27</v>
      </c>
      <c r="C30" t="s">
        <v>28</v>
      </c>
      <c r="D30" t="s">
        <v>34</v>
      </c>
      <c r="E30">
        <v>35</v>
      </c>
      <c r="F30">
        <v>55</v>
      </c>
      <c r="G30">
        <v>0.86</v>
      </c>
      <c r="H30" s="1">
        <v>46421</v>
      </c>
      <c r="I30" s="1">
        <v>45972</v>
      </c>
      <c r="J30">
        <v>30.099999999999998</v>
      </c>
      <c r="K30" t="s">
        <v>44</v>
      </c>
      <c r="L30">
        <v>302</v>
      </c>
      <c r="M30" t="s">
        <v>36</v>
      </c>
    </row>
    <row r="31" spans="1:13" x14ac:dyDescent="0.25">
      <c r="A31" t="s">
        <v>69</v>
      </c>
      <c r="B31" t="s">
        <v>16</v>
      </c>
      <c r="C31" t="s">
        <v>13</v>
      </c>
      <c r="D31" t="s">
        <v>38</v>
      </c>
      <c r="E31">
        <v>126</v>
      </c>
      <c r="F31">
        <v>43</v>
      </c>
      <c r="G31">
        <v>1.41</v>
      </c>
      <c r="H31" s="1">
        <v>46205</v>
      </c>
      <c r="I31" s="1">
        <v>46022</v>
      </c>
      <c r="J31">
        <v>177.66</v>
      </c>
      <c r="K31" t="s">
        <v>35</v>
      </c>
      <c r="L31">
        <v>86</v>
      </c>
      <c r="M31" t="s">
        <v>36</v>
      </c>
    </row>
    <row r="32" spans="1:13" x14ac:dyDescent="0.25">
      <c r="A32" t="s">
        <v>70</v>
      </c>
      <c r="B32" t="s">
        <v>25</v>
      </c>
      <c r="C32" t="s">
        <v>15</v>
      </c>
      <c r="D32" t="s">
        <v>38</v>
      </c>
      <c r="E32">
        <v>41</v>
      </c>
      <c r="F32">
        <v>34</v>
      </c>
      <c r="G32">
        <v>1.1000000000000001</v>
      </c>
      <c r="H32" s="1">
        <v>46232</v>
      </c>
      <c r="I32" s="1">
        <v>46050</v>
      </c>
      <c r="J32">
        <v>45.1</v>
      </c>
      <c r="K32" t="s">
        <v>35</v>
      </c>
      <c r="L32">
        <v>113</v>
      </c>
      <c r="M32" t="s">
        <v>36</v>
      </c>
    </row>
    <row r="33" spans="1:13" x14ac:dyDescent="0.25">
      <c r="A33" t="s">
        <v>71</v>
      </c>
      <c r="B33" t="s">
        <v>19</v>
      </c>
      <c r="C33" t="s">
        <v>20</v>
      </c>
      <c r="D33" t="s">
        <v>49</v>
      </c>
      <c r="E33">
        <v>25</v>
      </c>
      <c r="F33">
        <v>86</v>
      </c>
      <c r="G33">
        <v>1.22</v>
      </c>
      <c r="H33" s="1">
        <v>46238</v>
      </c>
      <c r="I33" s="1">
        <v>46050</v>
      </c>
      <c r="J33">
        <v>30.5</v>
      </c>
      <c r="K33" t="s">
        <v>44</v>
      </c>
      <c r="L33">
        <v>119</v>
      </c>
      <c r="M33" t="s">
        <v>36</v>
      </c>
    </row>
    <row r="34" spans="1:13" x14ac:dyDescent="0.25">
      <c r="A34" t="s">
        <v>72</v>
      </c>
      <c r="B34" t="s">
        <v>14</v>
      </c>
      <c r="C34" t="s">
        <v>15</v>
      </c>
      <c r="D34" t="s">
        <v>34</v>
      </c>
      <c r="E34">
        <v>3</v>
      </c>
      <c r="F34">
        <v>39</v>
      </c>
      <c r="G34">
        <v>1.62</v>
      </c>
      <c r="H34" s="1">
        <v>46335</v>
      </c>
      <c r="I34" s="1">
        <v>46014</v>
      </c>
      <c r="J34">
        <v>4.8600000000000003</v>
      </c>
      <c r="K34" t="s">
        <v>44</v>
      </c>
      <c r="L34">
        <v>216</v>
      </c>
      <c r="M34" t="s">
        <v>36</v>
      </c>
    </row>
    <row r="35" spans="1:13" x14ac:dyDescent="0.25">
      <c r="A35" t="s">
        <v>73</v>
      </c>
      <c r="B35" t="s">
        <v>19</v>
      </c>
      <c r="C35" t="s">
        <v>20</v>
      </c>
      <c r="D35" t="s">
        <v>38</v>
      </c>
      <c r="E35">
        <v>180</v>
      </c>
      <c r="F35">
        <v>69</v>
      </c>
      <c r="G35">
        <v>0.53</v>
      </c>
      <c r="H35" s="1">
        <v>46288</v>
      </c>
      <c r="I35" s="1">
        <v>46105</v>
      </c>
      <c r="J35">
        <v>95.4</v>
      </c>
      <c r="K35" t="s">
        <v>35</v>
      </c>
      <c r="L35">
        <v>169</v>
      </c>
      <c r="M35" t="s">
        <v>36</v>
      </c>
    </row>
    <row r="36" spans="1:13" x14ac:dyDescent="0.25">
      <c r="A36" t="s">
        <v>74</v>
      </c>
      <c r="B36" t="s">
        <v>19</v>
      </c>
      <c r="C36" t="s">
        <v>20</v>
      </c>
      <c r="D36" t="s">
        <v>49</v>
      </c>
      <c r="E36">
        <v>90</v>
      </c>
      <c r="F36">
        <v>67</v>
      </c>
      <c r="G36">
        <v>0.7</v>
      </c>
      <c r="H36" s="1">
        <v>46400</v>
      </c>
      <c r="I36" s="1">
        <v>46104</v>
      </c>
      <c r="J36">
        <v>62.999999999999993</v>
      </c>
      <c r="K36" t="s">
        <v>35</v>
      </c>
      <c r="L36">
        <v>281</v>
      </c>
      <c r="M36" t="s">
        <v>36</v>
      </c>
    </row>
    <row r="37" spans="1:13" x14ac:dyDescent="0.25">
      <c r="A37" t="s">
        <v>75</v>
      </c>
      <c r="B37" t="s">
        <v>17</v>
      </c>
      <c r="C37" t="s">
        <v>18</v>
      </c>
      <c r="D37" t="s">
        <v>34</v>
      </c>
      <c r="E37">
        <v>110</v>
      </c>
      <c r="F37">
        <v>61</v>
      </c>
      <c r="G37">
        <v>0.92</v>
      </c>
      <c r="H37" s="1">
        <v>46275</v>
      </c>
      <c r="I37" s="1">
        <v>45981</v>
      </c>
      <c r="J37">
        <v>101.2</v>
      </c>
      <c r="K37" t="s">
        <v>35</v>
      </c>
      <c r="L37">
        <v>156</v>
      </c>
      <c r="M37" t="s">
        <v>36</v>
      </c>
    </row>
    <row r="38" spans="1:13" x14ac:dyDescent="0.25">
      <c r="A38" t="s">
        <v>76</v>
      </c>
      <c r="B38" t="s">
        <v>27</v>
      </c>
      <c r="C38" t="s">
        <v>28</v>
      </c>
      <c r="D38" t="s">
        <v>49</v>
      </c>
      <c r="E38">
        <v>160</v>
      </c>
      <c r="F38">
        <v>25</v>
      </c>
      <c r="G38">
        <v>1.96</v>
      </c>
      <c r="H38" s="1">
        <v>46429</v>
      </c>
      <c r="I38" s="1">
        <v>46070</v>
      </c>
      <c r="J38">
        <v>313.60000000000002</v>
      </c>
      <c r="K38" t="s">
        <v>35</v>
      </c>
      <c r="L38">
        <v>310</v>
      </c>
      <c r="M38" t="s">
        <v>36</v>
      </c>
    </row>
    <row r="39" spans="1:13" x14ac:dyDescent="0.25">
      <c r="A39" t="s">
        <v>77</v>
      </c>
      <c r="B39" t="s">
        <v>17</v>
      </c>
      <c r="C39" t="s">
        <v>18</v>
      </c>
      <c r="D39" t="s">
        <v>49</v>
      </c>
      <c r="E39">
        <v>38</v>
      </c>
      <c r="F39">
        <v>42</v>
      </c>
      <c r="G39">
        <v>0.68</v>
      </c>
      <c r="H39" s="1">
        <v>46408</v>
      </c>
      <c r="I39" s="1">
        <v>46103</v>
      </c>
      <c r="J39">
        <v>25.840000000000003</v>
      </c>
      <c r="K39" t="s">
        <v>44</v>
      </c>
      <c r="L39">
        <v>289</v>
      </c>
      <c r="M39" t="s">
        <v>36</v>
      </c>
    </row>
    <row r="40" spans="1:13" x14ac:dyDescent="0.25">
      <c r="A40" t="s">
        <v>78</v>
      </c>
      <c r="B40" t="s">
        <v>17</v>
      </c>
      <c r="C40" t="s">
        <v>18</v>
      </c>
      <c r="D40" t="s">
        <v>40</v>
      </c>
      <c r="E40">
        <v>53</v>
      </c>
      <c r="F40">
        <v>35</v>
      </c>
      <c r="G40">
        <v>1.33</v>
      </c>
      <c r="H40" s="1">
        <v>46331</v>
      </c>
      <c r="I40" s="1">
        <v>45968</v>
      </c>
      <c r="J40">
        <v>70.490000000000009</v>
      </c>
      <c r="K40" t="s">
        <v>35</v>
      </c>
      <c r="L40">
        <v>212</v>
      </c>
      <c r="M40" t="s">
        <v>36</v>
      </c>
    </row>
    <row r="41" spans="1:13" x14ac:dyDescent="0.25">
      <c r="A41" t="s">
        <v>79</v>
      </c>
      <c r="B41" t="s">
        <v>12</v>
      </c>
      <c r="C41" t="s">
        <v>13</v>
      </c>
      <c r="D41" t="s">
        <v>38</v>
      </c>
      <c r="E41">
        <v>11</v>
      </c>
      <c r="F41">
        <v>86</v>
      </c>
      <c r="G41">
        <v>1.73</v>
      </c>
      <c r="H41" s="1">
        <v>46337</v>
      </c>
      <c r="I41" s="1">
        <v>46028</v>
      </c>
      <c r="J41">
        <v>19.03</v>
      </c>
      <c r="K41" t="s">
        <v>44</v>
      </c>
      <c r="L41">
        <v>218</v>
      </c>
      <c r="M41" t="s">
        <v>36</v>
      </c>
    </row>
    <row r="42" spans="1:13" x14ac:dyDescent="0.25">
      <c r="A42" t="s">
        <v>80</v>
      </c>
      <c r="B42" t="s">
        <v>16</v>
      </c>
      <c r="C42" t="s">
        <v>13</v>
      </c>
      <c r="D42" t="s">
        <v>40</v>
      </c>
      <c r="E42">
        <v>102</v>
      </c>
      <c r="F42">
        <v>56</v>
      </c>
      <c r="G42">
        <v>1.0900000000000001</v>
      </c>
      <c r="H42" s="1">
        <v>46352</v>
      </c>
      <c r="I42" s="1">
        <v>45950</v>
      </c>
      <c r="J42">
        <v>111.18</v>
      </c>
      <c r="K42" t="s">
        <v>35</v>
      </c>
      <c r="L42">
        <v>233</v>
      </c>
      <c r="M42" t="s">
        <v>36</v>
      </c>
    </row>
    <row r="43" spans="1:13" x14ac:dyDescent="0.25">
      <c r="A43" t="s">
        <v>81</v>
      </c>
      <c r="B43" t="s">
        <v>23</v>
      </c>
      <c r="C43" t="s">
        <v>24</v>
      </c>
      <c r="D43" t="s">
        <v>38</v>
      </c>
      <c r="E43">
        <v>65</v>
      </c>
      <c r="F43">
        <v>55</v>
      </c>
      <c r="G43">
        <v>1.87</v>
      </c>
      <c r="H43" s="1">
        <v>46217</v>
      </c>
      <c r="I43" s="1">
        <v>46029</v>
      </c>
      <c r="J43">
        <v>121.55000000000001</v>
      </c>
      <c r="K43" t="s">
        <v>35</v>
      </c>
      <c r="L43">
        <v>98</v>
      </c>
      <c r="M43" t="s">
        <v>36</v>
      </c>
    </row>
    <row r="44" spans="1:13" x14ac:dyDescent="0.25">
      <c r="A44" t="s">
        <v>82</v>
      </c>
      <c r="B44" t="s">
        <v>26</v>
      </c>
      <c r="C44" t="s">
        <v>22</v>
      </c>
      <c r="D44" t="s">
        <v>34</v>
      </c>
      <c r="E44">
        <v>47</v>
      </c>
      <c r="F44">
        <v>91</v>
      </c>
      <c r="G44">
        <v>1.02</v>
      </c>
      <c r="H44" s="1">
        <v>46187</v>
      </c>
      <c r="I44" s="1">
        <v>46052</v>
      </c>
      <c r="J44">
        <v>47.94</v>
      </c>
      <c r="K44" t="s">
        <v>44</v>
      </c>
      <c r="L44">
        <v>68</v>
      </c>
      <c r="M44" t="s">
        <v>36</v>
      </c>
    </row>
    <row r="45" spans="1:13" x14ac:dyDescent="0.25">
      <c r="A45" t="s">
        <v>83</v>
      </c>
      <c r="B45" t="s">
        <v>19</v>
      </c>
      <c r="C45" t="s">
        <v>20</v>
      </c>
      <c r="D45" t="s">
        <v>34</v>
      </c>
      <c r="E45">
        <v>48</v>
      </c>
      <c r="F45">
        <v>56</v>
      </c>
      <c r="G45">
        <v>1.3</v>
      </c>
      <c r="H45" s="1">
        <v>46414</v>
      </c>
      <c r="I45" s="1">
        <v>46014</v>
      </c>
      <c r="J45">
        <v>62.400000000000006</v>
      </c>
      <c r="K45" t="s">
        <v>44</v>
      </c>
      <c r="L45">
        <v>295</v>
      </c>
      <c r="M45" t="s">
        <v>36</v>
      </c>
    </row>
    <row r="46" spans="1:13" x14ac:dyDescent="0.25">
      <c r="A46" t="s">
        <v>84</v>
      </c>
      <c r="B46" t="s">
        <v>17</v>
      </c>
      <c r="C46" t="s">
        <v>18</v>
      </c>
      <c r="D46" t="s">
        <v>38</v>
      </c>
      <c r="E46">
        <v>111</v>
      </c>
      <c r="F46">
        <v>26</v>
      </c>
      <c r="G46">
        <v>0.76</v>
      </c>
      <c r="H46" s="1">
        <v>46218</v>
      </c>
      <c r="I46" s="1">
        <v>46043</v>
      </c>
      <c r="J46">
        <v>84.36</v>
      </c>
      <c r="K46" t="s">
        <v>35</v>
      </c>
      <c r="L46">
        <v>99</v>
      </c>
      <c r="M46" t="s">
        <v>36</v>
      </c>
    </row>
    <row r="47" spans="1:13" x14ac:dyDescent="0.25">
      <c r="A47" t="s">
        <v>85</v>
      </c>
      <c r="B47" t="s">
        <v>21</v>
      </c>
      <c r="C47" t="s">
        <v>22</v>
      </c>
      <c r="D47" t="s">
        <v>49</v>
      </c>
      <c r="E47">
        <v>25</v>
      </c>
      <c r="F47">
        <v>64</v>
      </c>
      <c r="G47">
        <v>0.7</v>
      </c>
      <c r="H47" s="1">
        <v>46294</v>
      </c>
      <c r="I47" s="1">
        <v>45939</v>
      </c>
      <c r="J47">
        <v>17.5</v>
      </c>
      <c r="K47" t="s">
        <v>44</v>
      </c>
      <c r="L47">
        <v>175</v>
      </c>
      <c r="M47" t="s">
        <v>36</v>
      </c>
    </row>
    <row r="48" spans="1:13" x14ac:dyDescent="0.25">
      <c r="A48" t="s">
        <v>86</v>
      </c>
      <c r="B48" t="s">
        <v>25</v>
      </c>
      <c r="C48" t="s">
        <v>15</v>
      </c>
      <c r="D48" t="s">
        <v>38</v>
      </c>
      <c r="E48">
        <v>37</v>
      </c>
      <c r="F48">
        <v>64</v>
      </c>
      <c r="G48">
        <v>0.68</v>
      </c>
      <c r="H48" s="1">
        <v>46198</v>
      </c>
      <c r="I48" s="1">
        <v>46118</v>
      </c>
      <c r="J48">
        <v>25.16</v>
      </c>
      <c r="K48" t="s">
        <v>44</v>
      </c>
      <c r="L48">
        <v>79</v>
      </c>
      <c r="M48" t="s">
        <v>36</v>
      </c>
    </row>
    <row r="49" spans="1:13" x14ac:dyDescent="0.25">
      <c r="A49" t="s">
        <v>87</v>
      </c>
      <c r="B49" t="s">
        <v>25</v>
      </c>
      <c r="C49" t="s">
        <v>15</v>
      </c>
      <c r="D49" t="s">
        <v>38</v>
      </c>
      <c r="E49">
        <v>2</v>
      </c>
      <c r="F49">
        <v>64</v>
      </c>
      <c r="G49">
        <v>1.5</v>
      </c>
      <c r="H49" s="1">
        <v>46373</v>
      </c>
      <c r="I49" s="1">
        <v>45939</v>
      </c>
      <c r="J49">
        <v>3</v>
      </c>
      <c r="K49" t="s">
        <v>44</v>
      </c>
      <c r="L49">
        <v>254</v>
      </c>
      <c r="M49" t="s">
        <v>36</v>
      </c>
    </row>
    <row r="50" spans="1:13" x14ac:dyDescent="0.25">
      <c r="A50" t="s">
        <v>88</v>
      </c>
      <c r="B50" t="s">
        <v>17</v>
      </c>
      <c r="C50" t="s">
        <v>18</v>
      </c>
      <c r="D50" t="s">
        <v>40</v>
      </c>
      <c r="E50">
        <v>179</v>
      </c>
      <c r="F50">
        <v>78</v>
      </c>
      <c r="G50">
        <v>0.91</v>
      </c>
      <c r="H50" s="1">
        <v>46209</v>
      </c>
      <c r="I50" s="1">
        <v>46017</v>
      </c>
      <c r="J50">
        <v>162.89000000000001</v>
      </c>
      <c r="K50" t="s">
        <v>35</v>
      </c>
      <c r="L50">
        <v>90</v>
      </c>
      <c r="M50" t="s">
        <v>36</v>
      </c>
    </row>
    <row r="51" spans="1:13" x14ac:dyDescent="0.25">
      <c r="A51" t="s">
        <v>89</v>
      </c>
      <c r="B51" t="s">
        <v>26</v>
      </c>
      <c r="C51" t="s">
        <v>22</v>
      </c>
      <c r="D51" t="s">
        <v>40</v>
      </c>
      <c r="E51">
        <v>68</v>
      </c>
      <c r="F51">
        <v>92</v>
      </c>
      <c r="G51">
        <v>1.94</v>
      </c>
      <c r="H51" s="1">
        <v>46338</v>
      </c>
      <c r="I51" s="1">
        <v>46071</v>
      </c>
      <c r="J51">
        <v>131.91999999999999</v>
      </c>
      <c r="K51" t="s">
        <v>44</v>
      </c>
      <c r="L51">
        <v>219</v>
      </c>
      <c r="M51" t="s">
        <v>36</v>
      </c>
    </row>
    <row r="52" spans="1:13" x14ac:dyDescent="0.25">
      <c r="A52" t="s">
        <v>90</v>
      </c>
      <c r="B52" t="s">
        <v>21</v>
      </c>
      <c r="C52" t="s">
        <v>22</v>
      </c>
      <c r="D52" t="s">
        <v>34</v>
      </c>
      <c r="E52">
        <v>173</v>
      </c>
      <c r="F52">
        <v>28</v>
      </c>
      <c r="G52">
        <v>0.85</v>
      </c>
      <c r="H52" s="1">
        <v>46446</v>
      </c>
      <c r="I52" s="1">
        <v>46102</v>
      </c>
      <c r="J52">
        <v>147.04999999999998</v>
      </c>
      <c r="K52" t="s">
        <v>35</v>
      </c>
      <c r="L52">
        <v>327</v>
      </c>
      <c r="M52" t="s">
        <v>36</v>
      </c>
    </row>
    <row r="53" spans="1:13" x14ac:dyDescent="0.25">
      <c r="A53" t="s">
        <v>91</v>
      </c>
      <c r="B53" t="s">
        <v>25</v>
      </c>
      <c r="C53" t="s">
        <v>15</v>
      </c>
      <c r="D53" t="s">
        <v>34</v>
      </c>
      <c r="E53">
        <v>121</v>
      </c>
      <c r="F53">
        <v>59</v>
      </c>
      <c r="G53">
        <v>1.87</v>
      </c>
      <c r="H53" s="1">
        <v>46480</v>
      </c>
      <c r="I53" s="1">
        <v>46022</v>
      </c>
      <c r="J53">
        <v>226.27</v>
      </c>
      <c r="K53" t="s">
        <v>35</v>
      </c>
      <c r="L53">
        <v>361</v>
      </c>
      <c r="M53" t="s">
        <v>36</v>
      </c>
    </row>
    <row r="54" spans="1:13" x14ac:dyDescent="0.25">
      <c r="A54" t="s">
        <v>92</v>
      </c>
      <c r="B54" t="s">
        <v>16</v>
      </c>
      <c r="C54" t="s">
        <v>13</v>
      </c>
      <c r="D54" t="s">
        <v>38</v>
      </c>
      <c r="E54">
        <v>12</v>
      </c>
      <c r="F54">
        <v>59</v>
      </c>
      <c r="G54">
        <v>1.26</v>
      </c>
      <c r="H54" s="1">
        <v>46343</v>
      </c>
      <c r="I54" s="1">
        <v>46118</v>
      </c>
      <c r="J54">
        <v>15.120000000000001</v>
      </c>
      <c r="K54" t="s">
        <v>44</v>
      </c>
      <c r="L54">
        <v>224</v>
      </c>
      <c r="M54" t="s">
        <v>36</v>
      </c>
    </row>
    <row r="55" spans="1:13" x14ac:dyDescent="0.25">
      <c r="A55" t="s">
        <v>93</v>
      </c>
      <c r="B55" t="s">
        <v>12</v>
      </c>
      <c r="C55" t="s">
        <v>13</v>
      </c>
      <c r="D55" t="s">
        <v>49</v>
      </c>
      <c r="E55">
        <v>43</v>
      </c>
      <c r="F55">
        <v>82</v>
      </c>
      <c r="G55">
        <v>0.94</v>
      </c>
      <c r="H55" s="1">
        <v>46209</v>
      </c>
      <c r="I55" s="1">
        <v>46080</v>
      </c>
      <c r="J55">
        <v>40.419999999999995</v>
      </c>
      <c r="K55" t="s">
        <v>44</v>
      </c>
      <c r="L55">
        <v>90</v>
      </c>
      <c r="M55" t="s">
        <v>36</v>
      </c>
    </row>
    <row r="56" spans="1:13" x14ac:dyDescent="0.25">
      <c r="A56" t="s">
        <v>94</v>
      </c>
      <c r="B56" t="s">
        <v>27</v>
      </c>
      <c r="C56" t="s">
        <v>28</v>
      </c>
      <c r="D56" t="s">
        <v>49</v>
      </c>
      <c r="E56">
        <v>195</v>
      </c>
      <c r="F56">
        <v>42</v>
      </c>
      <c r="G56">
        <v>2</v>
      </c>
      <c r="H56" s="1">
        <v>46384</v>
      </c>
      <c r="I56" s="1">
        <v>46037</v>
      </c>
      <c r="J56">
        <v>390</v>
      </c>
      <c r="K56" t="s">
        <v>35</v>
      </c>
      <c r="L56">
        <v>265</v>
      </c>
      <c r="M56" t="s">
        <v>36</v>
      </c>
    </row>
    <row r="57" spans="1:13" x14ac:dyDescent="0.25">
      <c r="A57" t="s">
        <v>95</v>
      </c>
      <c r="B57" t="s">
        <v>26</v>
      </c>
      <c r="C57" t="s">
        <v>22</v>
      </c>
      <c r="D57" t="s">
        <v>34</v>
      </c>
      <c r="E57">
        <v>192</v>
      </c>
      <c r="F57">
        <v>35</v>
      </c>
      <c r="G57">
        <v>1.39</v>
      </c>
      <c r="H57" s="1">
        <v>46266</v>
      </c>
      <c r="I57" s="1">
        <v>46004</v>
      </c>
      <c r="J57">
        <v>266.88</v>
      </c>
      <c r="K57" t="s">
        <v>35</v>
      </c>
      <c r="L57">
        <v>147</v>
      </c>
      <c r="M57" t="s">
        <v>36</v>
      </c>
    </row>
    <row r="58" spans="1:13" x14ac:dyDescent="0.25">
      <c r="A58" t="s">
        <v>96</v>
      </c>
      <c r="B58" t="s">
        <v>17</v>
      </c>
      <c r="C58" t="s">
        <v>18</v>
      </c>
      <c r="D58" t="s">
        <v>40</v>
      </c>
      <c r="E58">
        <v>178</v>
      </c>
      <c r="F58">
        <v>31</v>
      </c>
      <c r="G58">
        <v>0.77</v>
      </c>
      <c r="H58" s="1">
        <v>46275</v>
      </c>
      <c r="I58" s="1">
        <v>46057</v>
      </c>
      <c r="J58">
        <v>137.06</v>
      </c>
      <c r="K58" t="s">
        <v>35</v>
      </c>
      <c r="L58">
        <v>156</v>
      </c>
      <c r="M58" t="s">
        <v>36</v>
      </c>
    </row>
    <row r="59" spans="1:13" x14ac:dyDescent="0.25">
      <c r="A59" t="s">
        <v>97</v>
      </c>
      <c r="B59" t="s">
        <v>12</v>
      </c>
      <c r="C59" t="s">
        <v>13</v>
      </c>
      <c r="D59" t="s">
        <v>40</v>
      </c>
      <c r="E59">
        <v>187</v>
      </c>
      <c r="F59">
        <v>88</v>
      </c>
      <c r="G59">
        <v>0.81</v>
      </c>
      <c r="H59" s="1">
        <v>46287</v>
      </c>
      <c r="I59" s="1">
        <v>45944</v>
      </c>
      <c r="J59">
        <v>151.47</v>
      </c>
      <c r="K59" t="s">
        <v>35</v>
      </c>
      <c r="L59">
        <v>168</v>
      </c>
      <c r="M59" t="s">
        <v>36</v>
      </c>
    </row>
    <row r="60" spans="1:13" x14ac:dyDescent="0.25">
      <c r="A60" t="s">
        <v>98</v>
      </c>
      <c r="B60" t="s">
        <v>21</v>
      </c>
      <c r="C60" t="s">
        <v>22</v>
      </c>
      <c r="D60" t="s">
        <v>38</v>
      </c>
      <c r="E60">
        <v>54</v>
      </c>
      <c r="F60">
        <v>85</v>
      </c>
      <c r="G60">
        <v>1.29</v>
      </c>
      <c r="H60" s="1">
        <v>46243</v>
      </c>
      <c r="I60" s="1">
        <v>46043</v>
      </c>
      <c r="J60">
        <v>69.66</v>
      </c>
      <c r="K60" t="s">
        <v>44</v>
      </c>
      <c r="L60">
        <v>124</v>
      </c>
      <c r="M60" t="s">
        <v>36</v>
      </c>
    </row>
    <row r="61" spans="1:13" x14ac:dyDescent="0.25">
      <c r="A61" t="s">
        <v>99</v>
      </c>
      <c r="B61" t="s">
        <v>21</v>
      </c>
      <c r="C61" t="s">
        <v>22</v>
      </c>
      <c r="D61" t="s">
        <v>34</v>
      </c>
      <c r="E61">
        <v>135</v>
      </c>
      <c r="F61">
        <v>69</v>
      </c>
      <c r="G61">
        <v>0.7</v>
      </c>
      <c r="H61" s="1">
        <v>46170</v>
      </c>
      <c r="I61" s="1">
        <v>45973</v>
      </c>
      <c r="J61">
        <v>94.5</v>
      </c>
      <c r="K61" t="s">
        <v>35</v>
      </c>
      <c r="L61">
        <v>51</v>
      </c>
      <c r="M61" t="s">
        <v>36</v>
      </c>
    </row>
    <row r="62" spans="1:13" x14ac:dyDescent="0.25">
      <c r="A62" t="s">
        <v>100</v>
      </c>
      <c r="B62" t="s">
        <v>17</v>
      </c>
      <c r="C62" t="s">
        <v>18</v>
      </c>
      <c r="D62" t="s">
        <v>34</v>
      </c>
      <c r="E62">
        <v>191</v>
      </c>
      <c r="F62">
        <v>82</v>
      </c>
      <c r="G62">
        <v>1.72</v>
      </c>
      <c r="H62" s="1">
        <v>46373</v>
      </c>
      <c r="I62" s="1">
        <v>46047</v>
      </c>
      <c r="J62">
        <v>328.52</v>
      </c>
      <c r="K62" t="s">
        <v>35</v>
      </c>
      <c r="L62">
        <v>254</v>
      </c>
      <c r="M62" t="s">
        <v>36</v>
      </c>
    </row>
    <row r="63" spans="1:13" x14ac:dyDescent="0.25">
      <c r="A63" t="s">
        <v>101</v>
      </c>
      <c r="B63" t="s">
        <v>26</v>
      </c>
      <c r="C63" t="s">
        <v>22</v>
      </c>
      <c r="D63" t="s">
        <v>34</v>
      </c>
      <c r="E63">
        <v>182</v>
      </c>
      <c r="F63">
        <v>83</v>
      </c>
      <c r="G63">
        <v>0.7</v>
      </c>
      <c r="H63" s="1">
        <v>46166</v>
      </c>
      <c r="I63" s="1">
        <v>46115</v>
      </c>
      <c r="J63">
        <v>127.39999999999999</v>
      </c>
      <c r="K63" t="s">
        <v>35</v>
      </c>
      <c r="L63">
        <v>47</v>
      </c>
      <c r="M63" t="s">
        <v>36</v>
      </c>
    </row>
    <row r="64" spans="1:13" x14ac:dyDescent="0.25">
      <c r="A64" t="s">
        <v>102</v>
      </c>
      <c r="B64" t="s">
        <v>17</v>
      </c>
      <c r="C64" t="s">
        <v>18</v>
      </c>
      <c r="D64" t="s">
        <v>38</v>
      </c>
      <c r="E64">
        <v>76</v>
      </c>
      <c r="F64">
        <v>22</v>
      </c>
      <c r="G64">
        <v>1.38</v>
      </c>
      <c r="H64" s="1">
        <v>46191</v>
      </c>
      <c r="I64" s="1">
        <v>46021</v>
      </c>
      <c r="J64">
        <v>104.88</v>
      </c>
      <c r="K64" t="s">
        <v>35</v>
      </c>
      <c r="L64">
        <v>72</v>
      </c>
      <c r="M64" t="s">
        <v>36</v>
      </c>
    </row>
    <row r="65" spans="1:13" x14ac:dyDescent="0.25">
      <c r="A65" t="s">
        <v>103</v>
      </c>
      <c r="B65" t="s">
        <v>16</v>
      </c>
      <c r="C65" t="s">
        <v>13</v>
      </c>
      <c r="D65" t="s">
        <v>38</v>
      </c>
      <c r="E65">
        <v>117</v>
      </c>
      <c r="F65">
        <v>89</v>
      </c>
      <c r="G65">
        <v>1.55</v>
      </c>
      <c r="H65" s="1">
        <v>46391</v>
      </c>
      <c r="I65" s="1">
        <v>46009</v>
      </c>
      <c r="J65">
        <v>181.35</v>
      </c>
      <c r="K65" t="s">
        <v>35</v>
      </c>
      <c r="L65">
        <v>272</v>
      </c>
      <c r="M65" t="s">
        <v>36</v>
      </c>
    </row>
    <row r="66" spans="1:13" x14ac:dyDescent="0.25">
      <c r="A66" t="s">
        <v>104</v>
      </c>
      <c r="B66" t="s">
        <v>23</v>
      </c>
      <c r="C66" t="s">
        <v>24</v>
      </c>
      <c r="D66" t="s">
        <v>49</v>
      </c>
      <c r="E66">
        <v>62</v>
      </c>
      <c r="F66">
        <v>86</v>
      </c>
      <c r="G66">
        <v>0.51</v>
      </c>
      <c r="H66" s="1">
        <v>46275</v>
      </c>
      <c r="I66" s="1">
        <v>46107</v>
      </c>
      <c r="J66">
        <v>31.62</v>
      </c>
      <c r="K66" t="s">
        <v>44</v>
      </c>
      <c r="L66">
        <v>156</v>
      </c>
      <c r="M66" t="s">
        <v>36</v>
      </c>
    </row>
    <row r="67" spans="1:13" x14ac:dyDescent="0.25">
      <c r="A67" t="s">
        <v>105</v>
      </c>
      <c r="B67" t="s">
        <v>26</v>
      </c>
      <c r="C67" t="s">
        <v>22</v>
      </c>
      <c r="D67" t="s">
        <v>40</v>
      </c>
      <c r="E67">
        <v>187</v>
      </c>
      <c r="F67">
        <v>80</v>
      </c>
      <c r="G67">
        <v>1.98</v>
      </c>
      <c r="H67" s="1">
        <v>46438</v>
      </c>
      <c r="I67" s="1">
        <v>46039</v>
      </c>
      <c r="J67">
        <v>370.26</v>
      </c>
      <c r="K67" t="s">
        <v>35</v>
      </c>
      <c r="L67">
        <v>319</v>
      </c>
      <c r="M67" t="s">
        <v>36</v>
      </c>
    </row>
    <row r="68" spans="1:13" x14ac:dyDescent="0.25">
      <c r="A68" t="s">
        <v>106</v>
      </c>
      <c r="B68" t="s">
        <v>12</v>
      </c>
      <c r="C68" t="s">
        <v>13</v>
      </c>
      <c r="D68" t="s">
        <v>40</v>
      </c>
      <c r="E68">
        <v>124</v>
      </c>
      <c r="F68">
        <v>83</v>
      </c>
      <c r="G68">
        <v>1.43</v>
      </c>
      <c r="H68" s="1">
        <v>46427</v>
      </c>
      <c r="I68" s="1">
        <v>46078</v>
      </c>
      <c r="J68">
        <v>177.32</v>
      </c>
      <c r="K68" t="s">
        <v>35</v>
      </c>
      <c r="L68">
        <v>308</v>
      </c>
      <c r="M68" t="s">
        <v>36</v>
      </c>
    </row>
    <row r="69" spans="1:13" x14ac:dyDescent="0.25">
      <c r="A69" t="s">
        <v>107</v>
      </c>
      <c r="B69" t="s">
        <v>19</v>
      </c>
      <c r="C69" t="s">
        <v>20</v>
      </c>
      <c r="D69" t="s">
        <v>34</v>
      </c>
      <c r="E69">
        <v>134</v>
      </c>
      <c r="F69">
        <v>22</v>
      </c>
      <c r="G69">
        <v>0.63</v>
      </c>
      <c r="H69" s="1">
        <v>46386</v>
      </c>
      <c r="I69" s="1">
        <v>46033</v>
      </c>
      <c r="J69">
        <v>84.42</v>
      </c>
      <c r="K69" t="s">
        <v>35</v>
      </c>
      <c r="L69">
        <v>267</v>
      </c>
      <c r="M69" t="s">
        <v>36</v>
      </c>
    </row>
    <row r="70" spans="1:13" x14ac:dyDescent="0.25">
      <c r="A70" t="s">
        <v>108</v>
      </c>
      <c r="B70" t="s">
        <v>14</v>
      </c>
      <c r="C70" t="s">
        <v>15</v>
      </c>
      <c r="D70" t="s">
        <v>49</v>
      </c>
      <c r="E70">
        <v>68</v>
      </c>
      <c r="F70">
        <v>49</v>
      </c>
      <c r="G70">
        <v>1.87</v>
      </c>
      <c r="H70" s="1">
        <v>46258</v>
      </c>
      <c r="I70" s="1">
        <v>46000</v>
      </c>
      <c r="J70">
        <v>127.16000000000001</v>
      </c>
      <c r="K70" t="s">
        <v>35</v>
      </c>
      <c r="L70">
        <v>139</v>
      </c>
      <c r="M70" t="s">
        <v>36</v>
      </c>
    </row>
    <row r="71" spans="1:13" x14ac:dyDescent="0.25">
      <c r="A71" t="s">
        <v>109</v>
      </c>
      <c r="B71" t="s">
        <v>21</v>
      </c>
      <c r="C71" t="s">
        <v>22</v>
      </c>
      <c r="D71" t="s">
        <v>49</v>
      </c>
      <c r="E71">
        <v>14</v>
      </c>
      <c r="F71">
        <v>66</v>
      </c>
      <c r="G71">
        <v>0.66</v>
      </c>
      <c r="H71" s="1">
        <v>46343</v>
      </c>
      <c r="I71" s="1">
        <v>46115</v>
      </c>
      <c r="J71">
        <v>9.24</v>
      </c>
      <c r="K71" t="s">
        <v>44</v>
      </c>
      <c r="L71">
        <v>224</v>
      </c>
      <c r="M71" t="s">
        <v>36</v>
      </c>
    </row>
    <row r="72" spans="1:13" x14ac:dyDescent="0.25">
      <c r="A72" t="s">
        <v>110</v>
      </c>
      <c r="B72" t="s">
        <v>12</v>
      </c>
      <c r="C72" t="s">
        <v>13</v>
      </c>
      <c r="D72" t="s">
        <v>38</v>
      </c>
      <c r="E72">
        <v>66</v>
      </c>
      <c r="F72">
        <v>32</v>
      </c>
      <c r="G72">
        <v>0.86</v>
      </c>
      <c r="H72" s="1">
        <v>46193</v>
      </c>
      <c r="I72" s="1">
        <v>46117</v>
      </c>
      <c r="J72">
        <v>56.76</v>
      </c>
      <c r="K72" t="s">
        <v>35</v>
      </c>
      <c r="L72">
        <v>74</v>
      </c>
      <c r="M72" t="s">
        <v>36</v>
      </c>
    </row>
    <row r="73" spans="1:13" x14ac:dyDescent="0.25">
      <c r="A73" t="s">
        <v>111</v>
      </c>
      <c r="B73" t="s">
        <v>23</v>
      </c>
      <c r="C73" t="s">
        <v>24</v>
      </c>
      <c r="D73" t="s">
        <v>34</v>
      </c>
      <c r="E73">
        <v>127</v>
      </c>
      <c r="F73">
        <v>88</v>
      </c>
      <c r="G73">
        <v>1.5</v>
      </c>
      <c r="H73" s="1">
        <v>46464</v>
      </c>
      <c r="I73" s="1">
        <v>46018</v>
      </c>
      <c r="J73">
        <v>190.5</v>
      </c>
      <c r="K73" t="s">
        <v>35</v>
      </c>
      <c r="L73">
        <v>345</v>
      </c>
      <c r="M73" t="s">
        <v>36</v>
      </c>
    </row>
    <row r="74" spans="1:13" x14ac:dyDescent="0.25">
      <c r="A74" t="s">
        <v>112</v>
      </c>
      <c r="B74" t="s">
        <v>12</v>
      </c>
      <c r="C74" t="s">
        <v>13</v>
      </c>
      <c r="D74" t="s">
        <v>34</v>
      </c>
      <c r="E74">
        <v>197</v>
      </c>
      <c r="F74">
        <v>60</v>
      </c>
      <c r="G74">
        <v>0.64</v>
      </c>
      <c r="H74" s="1">
        <v>46200</v>
      </c>
      <c r="I74" s="1">
        <v>46082</v>
      </c>
      <c r="J74">
        <v>126.08</v>
      </c>
      <c r="K74" t="s">
        <v>35</v>
      </c>
      <c r="L74">
        <v>81</v>
      </c>
      <c r="M74" t="s">
        <v>36</v>
      </c>
    </row>
    <row r="75" spans="1:13" x14ac:dyDescent="0.25">
      <c r="A75" t="s">
        <v>113</v>
      </c>
      <c r="B75" t="s">
        <v>16</v>
      </c>
      <c r="C75" t="s">
        <v>13</v>
      </c>
      <c r="D75" t="s">
        <v>34</v>
      </c>
      <c r="E75">
        <v>83</v>
      </c>
      <c r="F75">
        <v>44</v>
      </c>
      <c r="G75">
        <v>1.85</v>
      </c>
      <c r="H75" s="1">
        <v>46456</v>
      </c>
      <c r="I75" s="1">
        <v>45951</v>
      </c>
      <c r="J75">
        <v>153.55000000000001</v>
      </c>
      <c r="K75" t="s">
        <v>35</v>
      </c>
      <c r="L75">
        <v>337</v>
      </c>
      <c r="M75" t="s">
        <v>36</v>
      </c>
    </row>
    <row r="76" spans="1:13" x14ac:dyDescent="0.25">
      <c r="A76" t="s">
        <v>114</v>
      </c>
      <c r="B76" t="s">
        <v>26</v>
      </c>
      <c r="C76" t="s">
        <v>22</v>
      </c>
      <c r="D76" t="s">
        <v>38</v>
      </c>
      <c r="E76">
        <v>87</v>
      </c>
      <c r="F76">
        <v>37</v>
      </c>
      <c r="G76">
        <v>0.61</v>
      </c>
      <c r="H76" s="1">
        <v>46448</v>
      </c>
      <c r="I76" s="1">
        <v>46065</v>
      </c>
      <c r="J76">
        <v>53.07</v>
      </c>
      <c r="K76" t="s">
        <v>35</v>
      </c>
      <c r="L76">
        <v>329</v>
      </c>
      <c r="M76" t="s">
        <v>36</v>
      </c>
    </row>
    <row r="77" spans="1:13" x14ac:dyDescent="0.25">
      <c r="A77" t="s">
        <v>115</v>
      </c>
      <c r="B77" t="s">
        <v>25</v>
      </c>
      <c r="C77" t="s">
        <v>15</v>
      </c>
      <c r="D77" t="s">
        <v>49</v>
      </c>
      <c r="E77">
        <v>97</v>
      </c>
      <c r="F77">
        <v>27</v>
      </c>
      <c r="G77">
        <v>0.86</v>
      </c>
      <c r="H77" s="1">
        <v>46400</v>
      </c>
      <c r="I77" s="1">
        <v>46017</v>
      </c>
      <c r="J77">
        <v>83.42</v>
      </c>
      <c r="K77" t="s">
        <v>35</v>
      </c>
      <c r="L77">
        <v>281</v>
      </c>
      <c r="M77" t="s">
        <v>36</v>
      </c>
    </row>
    <row r="78" spans="1:13" x14ac:dyDescent="0.25">
      <c r="A78" t="s">
        <v>116</v>
      </c>
      <c r="B78" t="s">
        <v>27</v>
      </c>
      <c r="C78" t="s">
        <v>28</v>
      </c>
      <c r="D78" t="s">
        <v>34</v>
      </c>
      <c r="E78">
        <v>74</v>
      </c>
      <c r="F78">
        <v>74</v>
      </c>
      <c r="G78">
        <v>0.62</v>
      </c>
      <c r="H78" s="1">
        <v>46455</v>
      </c>
      <c r="I78" s="1">
        <v>46093</v>
      </c>
      <c r="J78">
        <v>45.88</v>
      </c>
      <c r="K78" t="s">
        <v>35</v>
      </c>
      <c r="L78">
        <v>336</v>
      </c>
      <c r="M78" t="s">
        <v>36</v>
      </c>
    </row>
    <row r="79" spans="1:13" x14ac:dyDescent="0.25">
      <c r="A79" t="s">
        <v>117</v>
      </c>
      <c r="B79" t="s">
        <v>14</v>
      </c>
      <c r="C79" t="s">
        <v>15</v>
      </c>
      <c r="D79" t="s">
        <v>40</v>
      </c>
      <c r="E79">
        <v>158</v>
      </c>
      <c r="F79">
        <v>47</v>
      </c>
      <c r="G79">
        <v>1.94</v>
      </c>
      <c r="H79" s="1">
        <v>46287</v>
      </c>
      <c r="I79" s="1">
        <v>46007</v>
      </c>
      <c r="J79">
        <v>306.52</v>
      </c>
      <c r="K79" t="s">
        <v>35</v>
      </c>
      <c r="L79">
        <v>168</v>
      </c>
      <c r="M79" t="s">
        <v>36</v>
      </c>
    </row>
    <row r="80" spans="1:13" x14ac:dyDescent="0.25">
      <c r="A80" t="s">
        <v>118</v>
      </c>
      <c r="B80" t="s">
        <v>27</v>
      </c>
      <c r="C80" t="s">
        <v>28</v>
      </c>
      <c r="D80" t="s">
        <v>34</v>
      </c>
      <c r="E80">
        <v>141</v>
      </c>
      <c r="F80">
        <v>37</v>
      </c>
      <c r="G80">
        <v>0.67</v>
      </c>
      <c r="H80" s="1">
        <v>46166</v>
      </c>
      <c r="I80" s="1">
        <v>45966</v>
      </c>
      <c r="J80">
        <v>94.47</v>
      </c>
      <c r="K80" t="s">
        <v>35</v>
      </c>
      <c r="L80">
        <v>47</v>
      </c>
      <c r="M80" t="s">
        <v>36</v>
      </c>
    </row>
    <row r="81" spans="1:13" x14ac:dyDescent="0.25">
      <c r="A81" t="s">
        <v>119</v>
      </c>
      <c r="B81" t="s">
        <v>27</v>
      </c>
      <c r="C81" t="s">
        <v>28</v>
      </c>
      <c r="D81" t="s">
        <v>40</v>
      </c>
      <c r="E81">
        <v>174</v>
      </c>
      <c r="F81">
        <v>97</v>
      </c>
      <c r="G81">
        <v>1.69</v>
      </c>
      <c r="H81" s="1">
        <v>46295</v>
      </c>
      <c r="I81" s="1">
        <v>46013</v>
      </c>
      <c r="J81">
        <v>294.06</v>
      </c>
      <c r="K81" t="s">
        <v>35</v>
      </c>
      <c r="L81">
        <v>176</v>
      </c>
      <c r="M81" t="s">
        <v>36</v>
      </c>
    </row>
    <row r="82" spans="1:13" x14ac:dyDescent="0.25">
      <c r="A82" t="s">
        <v>120</v>
      </c>
      <c r="B82" t="s">
        <v>25</v>
      </c>
      <c r="C82" t="s">
        <v>15</v>
      </c>
      <c r="D82" t="s">
        <v>49</v>
      </c>
      <c r="E82">
        <v>109</v>
      </c>
      <c r="F82">
        <v>41</v>
      </c>
      <c r="G82">
        <v>0.64</v>
      </c>
      <c r="H82" s="1">
        <v>46257</v>
      </c>
      <c r="I82" s="1">
        <v>46107</v>
      </c>
      <c r="J82">
        <v>69.760000000000005</v>
      </c>
      <c r="K82" t="s">
        <v>35</v>
      </c>
      <c r="L82">
        <v>138</v>
      </c>
      <c r="M82" t="s">
        <v>36</v>
      </c>
    </row>
    <row r="83" spans="1:13" x14ac:dyDescent="0.25">
      <c r="A83" t="s">
        <v>121</v>
      </c>
      <c r="B83" t="s">
        <v>25</v>
      </c>
      <c r="C83" t="s">
        <v>15</v>
      </c>
      <c r="D83" t="s">
        <v>49</v>
      </c>
      <c r="E83">
        <v>176</v>
      </c>
      <c r="F83">
        <v>40</v>
      </c>
      <c r="G83">
        <v>1.32</v>
      </c>
      <c r="H83" s="1">
        <v>46167</v>
      </c>
      <c r="I83" s="1">
        <v>46065</v>
      </c>
      <c r="J83">
        <v>232.32000000000002</v>
      </c>
      <c r="K83" t="s">
        <v>35</v>
      </c>
      <c r="L83">
        <v>48</v>
      </c>
      <c r="M83" t="s">
        <v>36</v>
      </c>
    </row>
    <row r="84" spans="1:13" x14ac:dyDescent="0.25">
      <c r="A84" t="s">
        <v>122</v>
      </c>
      <c r="B84" t="s">
        <v>25</v>
      </c>
      <c r="C84" t="s">
        <v>15</v>
      </c>
      <c r="D84" t="s">
        <v>34</v>
      </c>
      <c r="E84">
        <v>44</v>
      </c>
      <c r="F84">
        <v>50</v>
      </c>
      <c r="G84">
        <v>0.64</v>
      </c>
      <c r="H84" s="1">
        <v>46162</v>
      </c>
      <c r="I84" s="1">
        <v>46020</v>
      </c>
      <c r="J84">
        <v>28.16</v>
      </c>
      <c r="K84" t="s">
        <v>44</v>
      </c>
      <c r="L84">
        <v>43</v>
      </c>
      <c r="M84" t="s">
        <v>36</v>
      </c>
    </row>
    <row r="85" spans="1:13" x14ac:dyDescent="0.25">
      <c r="A85" t="s">
        <v>123</v>
      </c>
      <c r="B85" t="s">
        <v>14</v>
      </c>
      <c r="C85" t="s">
        <v>15</v>
      </c>
      <c r="D85" t="s">
        <v>38</v>
      </c>
      <c r="E85">
        <v>12</v>
      </c>
      <c r="F85">
        <v>56</v>
      </c>
      <c r="G85">
        <v>1.3</v>
      </c>
      <c r="H85" s="1">
        <v>46203</v>
      </c>
      <c r="I85" s="1">
        <v>45948</v>
      </c>
      <c r="J85">
        <v>15.600000000000001</v>
      </c>
      <c r="K85" t="s">
        <v>44</v>
      </c>
      <c r="L85">
        <v>84</v>
      </c>
      <c r="M85" t="s">
        <v>36</v>
      </c>
    </row>
    <row r="86" spans="1:13" x14ac:dyDescent="0.25">
      <c r="A86" t="s">
        <v>124</v>
      </c>
      <c r="B86" t="s">
        <v>27</v>
      </c>
      <c r="C86" t="s">
        <v>28</v>
      </c>
      <c r="D86" t="s">
        <v>40</v>
      </c>
      <c r="E86">
        <v>108</v>
      </c>
      <c r="F86">
        <v>38</v>
      </c>
      <c r="G86">
        <v>0.52</v>
      </c>
      <c r="H86" s="1">
        <v>46317</v>
      </c>
      <c r="I86" s="1">
        <v>46034</v>
      </c>
      <c r="J86">
        <v>56.160000000000004</v>
      </c>
      <c r="K86" t="s">
        <v>35</v>
      </c>
      <c r="L86">
        <v>198</v>
      </c>
      <c r="M86" t="s">
        <v>36</v>
      </c>
    </row>
    <row r="87" spans="1:13" x14ac:dyDescent="0.25">
      <c r="A87" t="s">
        <v>125</v>
      </c>
      <c r="B87" t="s">
        <v>25</v>
      </c>
      <c r="C87" t="s">
        <v>15</v>
      </c>
      <c r="D87" t="s">
        <v>40</v>
      </c>
      <c r="E87">
        <v>36</v>
      </c>
      <c r="F87">
        <v>99</v>
      </c>
      <c r="G87">
        <v>0.51</v>
      </c>
      <c r="H87" s="1">
        <v>46257</v>
      </c>
      <c r="I87" s="1">
        <v>45975</v>
      </c>
      <c r="J87">
        <v>18.36</v>
      </c>
      <c r="K87" t="s">
        <v>44</v>
      </c>
      <c r="L87">
        <v>138</v>
      </c>
      <c r="M87" t="s">
        <v>36</v>
      </c>
    </row>
    <row r="88" spans="1:13" x14ac:dyDescent="0.25">
      <c r="A88" t="s">
        <v>126</v>
      </c>
      <c r="B88" t="s">
        <v>14</v>
      </c>
      <c r="C88" t="s">
        <v>15</v>
      </c>
      <c r="D88" t="s">
        <v>38</v>
      </c>
      <c r="E88">
        <v>51</v>
      </c>
      <c r="F88">
        <v>79</v>
      </c>
      <c r="G88">
        <v>1.18</v>
      </c>
      <c r="H88" s="1">
        <v>46240</v>
      </c>
      <c r="I88" s="1">
        <v>46111</v>
      </c>
      <c r="J88">
        <v>60.18</v>
      </c>
      <c r="K88" t="s">
        <v>44</v>
      </c>
      <c r="L88">
        <v>121</v>
      </c>
      <c r="M88" t="s">
        <v>36</v>
      </c>
    </row>
    <row r="89" spans="1:13" x14ac:dyDescent="0.25">
      <c r="A89" t="s">
        <v>127</v>
      </c>
      <c r="B89" t="s">
        <v>26</v>
      </c>
      <c r="C89" t="s">
        <v>22</v>
      </c>
      <c r="D89" t="s">
        <v>49</v>
      </c>
      <c r="E89">
        <v>60</v>
      </c>
      <c r="F89">
        <v>91</v>
      </c>
      <c r="G89">
        <v>1.28</v>
      </c>
      <c r="H89" s="1">
        <v>46324</v>
      </c>
      <c r="I89" s="1">
        <v>46045</v>
      </c>
      <c r="J89">
        <v>76.8</v>
      </c>
      <c r="K89" t="s">
        <v>44</v>
      </c>
      <c r="L89">
        <v>205</v>
      </c>
      <c r="M89" t="s">
        <v>36</v>
      </c>
    </row>
    <row r="90" spans="1:13" x14ac:dyDescent="0.25">
      <c r="A90" t="s">
        <v>128</v>
      </c>
      <c r="B90" t="s">
        <v>25</v>
      </c>
      <c r="C90" t="s">
        <v>15</v>
      </c>
      <c r="D90" t="s">
        <v>40</v>
      </c>
      <c r="E90">
        <v>182</v>
      </c>
      <c r="F90">
        <v>59</v>
      </c>
      <c r="G90">
        <v>0.51</v>
      </c>
      <c r="H90" s="1">
        <v>46484</v>
      </c>
      <c r="I90" s="1">
        <v>46085</v>
      </c>
      <c r="J90">
        <v>92.820000000000007</v>
      </c>
      <c r="K90" t="s">
        <v>35</v>
      </c>
      <c r="L90">
        <v>365</v>
      </c>
      <c r="M90" t="s">
        <v>36</v>
      </c>
    </row>
    <row r="91" spans="1:13" x14ac:dyDescent="0.25">
      <c r="A91" t="s">
        <v>129</v>
      </c>
      <c r="B91" t="s">
        <v>27</v>
      </c>
      <c r="C91" t="s">
        <v>28</v>
      </c>
      <c r="D91" t="s">
        <v>40</v>
      </c>
      <c r="E91">
        <v>70</v>
      </c>
      <c r="F91">
        <v>52</v>
      </c>
      <c r="G91">
        <v>1.8</v>
      </c>
      <c r="H91" s="1">
        <v>46425</v>
      </c>
      <c r="I91" s="1">
        <v>45968</v>
      </c>
      <c r="J91">
        <v>126</v>
      </c>
      <c r="K91" t="s">
        <v>35</v>
      </c>
      <c r="L91">
        <v>306</v>
      </c>
      <c r="M91" t="s">
        <v>36</v>
      </c>
    </row>
    <row r="92" spans="1:13" x14ac:dyDescent="0.25">
      <c r="A92" t="s">
        <v>130</v>
      </c>
      <c r="B92" t="s">
        <v>23</v>
      </c>
      <c r="C92" t="s">
        <v>24</v>
      </c>
      <c r="D92" t="s">
        <v>38</v>
      </c>
      <c r="E92">
        <v>174</v>
      </c>
      <c r="F92">
        <v>87</v>
      </c>
      <c r="G92">
        <v>0.84</v>
      </c>
      <c r="H92" s="1">
        <v>46368</v>
      </c>
      <c r="I92" s="1">
        <v>45993</v>
      </c>
      <c r="J92">
        <v>146.16</v>
      </c>
      <c r="K92" t="s">
        <v>35</v>
      </c>
      <c r="L92">
        <v>249</v>
      </c>
      <c r="M92" t="s">
        <v>36</v>
      </c>
    </row>
    <row r="93" spans="1:13" x14ac:dyDescent="0.25">
      <c r="A93" t="s">
        <v>131</v>
      </c>
      <c r="B93" t="s">
        <v>14</v>
      </c>
      <c r="C93" t="s">
        <v>15</v>
      </c>
      <c r="D93" t="s">
        <v>49</v>
      </c>
      <c r="E93">
        <v>167</v>
      </c>
      <c r="F93">
        <v>54</v>
      </c>
      <c r="G93">
        <v>1.79</v>
      </c>
      <c r="H93" s="1">
        <v>46351</v>
      </c>
      <c r="I93" s="1">
        <v>46107</v>
      </c>
      <c r="J93">
        <v>298.93</v>
      </c>
      <c r="K93" t="s">
        <v>35</v>
      </c>
      <c r="L93">
        <v>232</v>
      </c>
      <c r="M93" t="s">
        <v>36</v>
      </c>
    </row>
    <row r="94" spans="1:13" x14ac:dyDescent="0.25">
      <c r="A94" t="s">
        <v>132</v>
      </c>
      <c r="B94" t="s">
        <v>25</v>
      </c>
      <c r="C94" t="s">
        <v>15</v>
      </c>
      <c r="D94" t="s">
        <v>34</v>
      </c>
      <c r="E94">
        <v>73</v>
      </c>
      <c r="F94">
        <v>37</v>
      </c>
      <c r="G94">
        <v>0.54</v>
      </c>
      <c r="H94" s="1">
        <v>46414</v>
      </c>
      <c r="I94" s="1">
        <v>45972</v>
      </c>
      <c r="J94">
        <v>39.42</v>
      </c>
      <c r="K94" t="s">
        <v>35</v>
      </c>
      <c r="L94">
        <v>295</v>
      </c>
      <c r="M94" t="s">
        <v>36</v>
      </c>
    </row>
    <row r="95" spans="1:13" x14ac:dyDescent="0.25">
      <c r="A95" t="s">
        <v>133</v>
      </c>
      <c r="B95" t="s">
        <v>21</v>
      </c>
      <c r="C95" t="s">
        <v>22</v>
      </c>
      <c r="D95" t="s">
        <v>40</v>
      </c>
      <c r="E95">
        <v>48</v>
      </c>
      <c r="F95">
        <v>39</v>
      </c>
      <c r="G95">
        <v>1.1599999999999999</v>
      </c>
      <c r="H95" s="1">
        <v>46235</v>
      </c>
      <c r="I95" s="1">
        <v>46101</v>
      </c>
      <c r="J95">
        <v>55.679999999999993</v>
      </c>
      <c r="K95" t="s">
        <v>35</v>
      </c>
      <c r="L95">
        <v>116</v>
      </c>
      <c r="M95" t="s">
        <v>36</v>
      </c>
    </row>
    <row r="96" spans="1:13" x14ac:dyDescent="0.25">
      <c r="A96" t="s">
        <v>134</v>
      </c>
      <c r="B96" t="s">
        <v>16</v>
      </c>
      <c r="C96" t="s">
        <v>13</v>
      </c>
      <c r="D96" t="s">
        <v>49</v>
      </c>
      <c r="E96">
        <v>9</v>
      </c>
      <c r="F96">
        <v>53</v>
      </c>
      <c r="G96">
        <v>1.66</v>
      </c>
      <c r="H96" s="1">
        <v>46467</v>
      </c>
      <c r="I96" s="1">
        <v>46082</v>
      </c>
      <c r="J96">
        <v>14.94</v>
      </c>
      <c r="K96" t="s">
        <v>44</v>
      </c>
      <c r="L96">
        <v>348</v>
      </c>
      <c r="M96" t="s">
        <v>36</v>
      </c>
    </row>
    <row r="97" spans="1:13" x14ac:dyDescent="0.25">
      <c r="A97" t="s">
        <v>135</v>
      </c>
      <c r="B97" t="s">
        <v>25</v>
      </c>
      <c r="C97" t="s">
        <v>15</v>
      </c>
      <c r="D97" t="s">
        <v>49</v>
      </c>
      <c r="E97">
        <v>138</v>
      </c>
      <c r="F97">
        <v>50</v>
      </c>
      <c r="G97">
        <v>0.83</v>
      </c>
      <c r="H97" s="1">
        <v>46468</v>
      </c>
      <c r="I97" s="1">
        <v>45960</v>
      </c>
      <c r="J97">
        <v>114.53999999999999</v>
      </c>
      <c r="K97" t="s">
        <v>35</v>
      </c>
      <c r="L97">
        <v>349</v>
      </c>
      <c r="M97" t="s">
        <v>36</v>
      </c>
    </row>
    <row r="98" spans="1:13" x14ac:dyDescent="0.25">
      <c r="A98" t="s">
        <v>136</v>
      </c>
      <c r="B98" t="s">
        <v>27</v>
      </c>
      <c r="C98" t="s">
        <v>28</v>
      </c>
      <c r="D98" t="s">
        <v>49</v>
      </c>
      <c r="E98">
        <v>43</v>
      </c>
      <c r="F98">
        <v>98</v>
      </c>
      <c r="G98">
        <v>1.79</v>
      </c>
      <c r="H98" s="1">
        <v>46342</v>
      </c>
      <c r="I98" s="1">
        <v>46020</v>
      </c>
      <c r="J98">
        <v>76.97</v>
      </c>
      <c r="K98" t="s">
        <v>44</v>
      </c>
      <c r="L98">
        <v>223</v>
      </c>
      <c r="M98" t="s">
        <v>36</v>
      </c>
    </row>
    <row r="99" spans="1:13" x14ac:dyDescent="0.25">
      <c r="A99" t="s">
        <v>137</v>
      </c>
      <c r="B99" t="s">
        <v>16</v>
      </c>
      <c r="C99" t="s">
        <v>13</v>
      </c>
      <c r="D99" t="s">
        <v>49</v>
      </c>
      <c r="E99">
        <v>170</v>
      </c>
      <c r="F99">
        <v>89</v>
      </c>
      <c r="G99">
        <v>1.45</v>
      </c>
      <c r="H99" s="1">
        <v>46266</v>
      </c>
      <c r="I99" s="1">
        <v>46057</v>
      </c>
      <c r="J99">
        <v>246.5</v>
      </c>
      <c r="K99" t="s">
        <v>35</v>
      </c>
      <c r="L99">
        <v>147</v>
      </c>
      <c r="M99" t="s">
        <v>36</v>
      </c>
    </row>
    <row r="100" spans="1:13" x14ac:dyDescent="0.25">
      <c r="A100" t="s">
        <v>138</v>
      </c>
      <c r="B100" t="s">
        <v>14</v>
      </c>
      <c r="C100" t="s">
        <v>15</v>
      </c>
      <c r="D100" t="s">
        <v>40</v>
      </c>
      <c r="E100">
        <v>35</v>
      </c>
      <c r="F100">
        <v>90</v>
      </c>
      <c r="G100">
        <v>1.5</v>
      </c>
      <c r="H100" s="1">
        <v>46319</v>
      </c>
      <c r="I100" s="1">
        <v>45974</v>
      </c>
      <c r="J100">
        <v>52.5</v>
      </c>
      <c r="K100" t="s">
        <v>44</v>
      </c>
      <c r="L100">
        <v>200</v>
      </c>
      <c r="M100" t="s">
        <v>36</v>
      </c>
    </row>
    <row r="101" spans="1:13" x14ac:dyDescent="0.25">
      <c r="A101" t="s">
        <v>139</v>
      </c>
      <c r="B101" t="s">
        <v>19</v>
      </c>
      <c r="C101" t="s">
        <v>20</v>
      </c>
      <c r="D101" t="s">
        <v>40</v>
      </c>
      <c r="E101">
        <v>78</v>
      </c>
      <c r="F101">
        <v>86</v>
      </c>
      <c r="G101">
        <v>1.17</v>
      </c>
      <c r="H101" s="1">
        <v>46199</v>
      </c>
      <c r="I101" s="1">
        <v>45977</v>
      </c>
      <c r="J101">
        <v>91.259999999999991</v>
      </c>
      <c r="K101" t="s">
        <v>44</v>
      </c>
      <c r="L101">
        <v>80</v>
      </c>
      <c r="M101" t="s">
        <v>36</v>
      </c>
    </row>
    <row r="102" spans="1:13" x14ac:dyDescent="0.25">
      <c r="A102" t="s">
        <v>140</v>
      </c>
      <c r="B102" t="s">
        <v>14</v>
      </c>
      <c r="C102" t="s">
        <v>15</v>
      </c>
      <c r="D102" t="s">
        <v>38</v>
      </c>
      <c r="E102">
        <v>178</v>
      </c>
      <c r="F102">
        <v>77</v>
      </c>
      <c r="G102">
        <v>0.75</v>
      </c>
      <c r="H102" s="1">
        <v>46386</v>
      </c>
      <c r="I102" s="1">
        <v>46032</v>
      </c>
      <c r="J102">
        <v>133.5</v>
      </c>
      <c r="K102" t="s">
        <v>35</v>
      </c>
      <c r="L102">
        <v>267</v>
      </c>
      <c r="M102" t="s">
        <v>36</v>
      </c>
    </row>
    <row r="103" spans="1:13" x14ac:dyDescent="0.25">
      <c r="A103" t="s">
        <v>141</v>
      </c>
      <c r="B103" t="s">
        <v>27</v>
      </c>
      <c r="C103" t="s">
        <v>28</v>
      </c>
      <c r="D103" t="s">
        <v>49</v>
      </c>
      <c r="E103">
        <v>166</v>
      </c>
      <c r="F103">
        <v>20</v>
      </c>
      <c r="G103">
        <v>1.0900000000000001</v>
      </c>
      <c r="H103" s="1">
        <v>46211</v>
      </c>
      <c r="I103" s="1">
        <v>46088</v>
      </c>
      <c r="J103">
        <v>180.94000000000003</v>
      </c>
      <c r="K103" t="s">
        <v>35</v>
      </c>
      <c r="L103">
        <v>92</v>
      </c>
      <c r="M103" t="s">
        <v>36</v>
      </c>
    </row>
    <row r="104" spans="1:13" x14ac:dyDescent="0.25">
      <c r="A104" t="s">
        <v>142</v>
      </c>
      <c r="B104" t="s">
        <v>26</v>
      </c>
      <c r="C104" t="s">
        <v>22</v>
      </c>
      <c r="D104" t="s">
        <v>34</v>
      </c>
      <c r="E104">
        <v>45</v>
      </c>
      <c r="F104">
        <v>79</v>
      </c>
      <c r="G104">
        <v>0.79</v>
      </c>
      <c r="H104" s="1">
        <v>46235</v>
      </c>
      <c r="I104" s="1">
        <v>46027</v>
      </c>
      <c r="J104">
        <v>35.550000000000004</v>
      </c>
      <c r="K104" t="s">
        <v>44</v>
      </c>
      <c r="L104">
        <v>116</v>
      </c>
      <c r="M104" t="s">
        <v>36</v>
      </c>
    </row>
    <row r="105" spans="1:13" x14ac:dyDescent="0.25">
      <c r="A105" t="s">
        <v>143</v>
      </c>
      <c r="B105" t="s">
        <v>26</v>
      </c>
      <c r="C105" t="s">
        <v>22</v>
      </c>
      <c r="D105" t="s">
        <v>40</v>
      </c>
      <c r="E105">
        <v>135</v>
      </c>
      <c r="F105">
        <v>48</v>
      </c>
      <c r="G105">
        <v>1.89</v>
      </c>
      <c r="H105" s="1">
        <v>46311</v>
      </c>
      <c r="I105" s="1">
        <v>46014</v>
      </c>
      <c r="J105">
        <v>255.14999999999998</v>
      </c>
      <c r="K105" t="s">
        <v>35</v>
      </c>
      <c r="L105">
        <v>192</v>
      </c>
      <c r="M105" t="s">
        <v>36</v>
      </c>
    </row>
    <row r="106" spans="1:13" x14ac:dyDescent="0.25">
      <c r="A106" t="s">
        <v>144</v>
      </c>
      <c r="B106" t="s">
        <v>16</v>
      </c>
      <c r="C106" t="s">
        <v>13</v>
      </c>
      <c r="D106" t="s">
        <v>34</v>
      </c>
      <c r="E106">
        <v>36</v>
      </c>
      <c r="F106">
        <v>42</v>
      </c>
      <c r="G106">
        <v>1.1599999999999999</v>
      </c>
      <c r="H106" s="1">
        <v>46294</v>
      </c>
      <c r="I106" s="1">
        <v>46057</v>
      </c>
      <c r="J106">
        <v>41.76</v>
      </c>
      <c r="K106" t="s">
        <v>44</v>
      </c>
      <c r="L106">
        <v>175</v>
      </c>
      <c r="M106" t="s">
        <v>36</v>
      </c>
    </row>
    <row r="107" spans="1:13" x14ac:dyDescent="0.25">
      <c r="A107" t="s">
        <v>145</v>
      </c>
      <c r="B107" t="s">
        <v>27</v>
      </c>
      <c r="C107" t="s">
        <v>28</v>
      </c>
      <c r="D107" t="s">
        <v>38</v>
      </c>
      <c r="E107">
        <v>19</v>
      </c>
      <c r="F107">
        <v>85</v>
      </c>
      <c r="G107">
        <v>1.36</v>
      </c>
      <c r="H107" s="1">
        <v>46482</v>
      </c>
      <c r="I107" s="1">
        <v>46060</v>
      </c>
      <c r="J107">
        <v>25.840000000000003</v>
      </c>
      <c r="K107" t="s">
        <v>44</v>
      </c>
      <c r="L107">
        <v>363</v>
      </c>
      <c r="M107" t="s">
        <v>36</v>
      </c>
    </row>
    <row r="108" spans="1:13" x14ac:dyDescent="0.25">
      <c r="A108" t="s">
        <v>146</v>
      </c>
      <c r="B108" t="s">
        <v>16</v>
      </c>
      <c r="C108" t="s">
        <v>13</v>
      </c>
      <c r="D108" t="s">
        <v>38</v>
      </c>
      <c r="E108">
        <v>36</v>
      </c>
      <c r="F108">
        <v>40</v>
      </c>
      <c r="G108">
        <v>1.32</v>
      </c>
      <c r="H108" s="1">
        <v>46226</v>
      </c>
      <c r="I108" s="1">
        <v>46086</v>
      </c>
      <c r="J108">
        <v>47.52</v>
      </c>
      <c r="K108" t="s">
        <v>44</v>
      </c>
      <c r="L108">
        <v>107</v>
      </c>
      <c r="M108" t="s">
        <v>36</v>
      </c>
    </row>
    <row r="109" spans="1:13" x14ac:dyDescent="0.25">
      <c r="A109" t="s">
        <v>147</v>
      </c>
      <c r="B109" t="s">
        <v>17</v>
      </c>
      <c r="C109" t="s">
        <v>18</v>
      </c>
      <c r="D109" t="s">
        <v>49</v>
      </c>
      <c r="E109">
        <v>93</v>
      </c>
      <c r="F109">
        <v>53</v>
      </c>
      <c r="G109">
        <v>1.4</v>
      </c>
      <c r="H109" s="1">
        <v>46206</v>
      </c>
      <c r="I109" s="1">
        <v>45961</v>
      </c>
      <c r="J109">
        <v>130.19999999999999</v>
      </c>
      <c r="K109" t="s">
        <v>35</v>
      </c>
      <c r="L109">
        <v>87</v>
      </c>
      <c r="M109" t="s">
        <v>36</v>
      </c>
    </row>
    <row r="110" spans="1:13" x14ac:dyDescent="0.25">
      <c r="A110" t="s">
        <v>148</v>
      </c>
      <c r="B110" t="s">
        <v>12</v>
      </c>
      <c r="C110" t="s">
        <v>13</v>
      </c>
      <c r="D110" t="s">
        <v>40</v>
      </c>
      <c r="E110">
        <v>47</v>
      </c>
      <c r="F110">
        <v>70</v>
      </c>
      <c r="G110">
        <v>1.75</v>
      </c>
      <c r="H110" s="1">
        <v>46317</v>
      </c>
      <c r="I110" s="1">
        <v>46004</v>
      </c>
      <c r="J110">
        <v>82.25</v>
      </c>
      <c r="K110" t="s">
        <v>44</v>
      </c>
      <c r="L110">
        <v>198</v>
      </c>
      <c r="M110" t="s">
        <v>36</v>
      </c>
    </row>
    <row r="111" spans="1:13" x14ac:dyDescent="0.25">
      <c r="A111" t="s">
        <v>149</v>
      </c>
      <c r="B111" t="s">
        <v>23</v>
      </c>
      <c r="C111" t="s">
        <v>24</v>
      </c>
      <c r="D111" t="s">
        <v>40</v>
      </c>
      <c r="E111">
        <v>145</v>
      </c>
      <c r="F111">
        <v>25</v>
      </c>
      <c r="G111">
        <v>1.33</v>
      </c>
      <c r="H111" s="1">
        <v>46380</v>
      </c>
      <c r="I111" s="1">
        <v>46040</v>
      </c>
      <c r="J111">
        <v>192.85000000000002</v>
      </c>
      <c r="K111" t="s">
        <v>35</v>
      </c>
      <c r="L111">
        <v>261</v>
      </c>
      <c r="M111" t="s">
        <v>36</v>
      </c>
    </row>
    <row r="112" spans="1:13" x14ac:dyDescent="0.25">
      <c r="A112" t="s">
        <v>150</v>
      </c>
      <c r="B112" t="s">
        <v>27</v>
      </c>
      <c r="C112" t="s">
        <v>28</v>
      </c>
      <c r="D112" t="s">
        <v>34</v>
      </c>
      <c r="E112">
        <v>197</v>
      </c>
      <c r="F112">
        <v>39</v>
      </c>
      <c r="G112">
        <v>1.86</v>
      </c>
      <c r="H112" s="1">
        <v>46285</v>
      </c>
      <c r="I112" s="1">
        <v>46086</v>
      </c>
      <c r="J112">
        <v>366.42</v>
      </c>
      <c r="K112" t="s">
        <v>35</v>
      </c>
      <c r="L112">
        <v>166</v>
      </c>
      <c r="M112" t="s">
        <v>36</v>
      </c>
    </row>
    <row r="113" spans="1:13" x14ac:dyDescent="0.25">
      <c r="A113" t="s">
        <v>151</v>
      </c>
      <c r="B113" t="s">
        <v>16</v>
      </c>
      <c r="C113" t="s">
        <v>13</v>
      </c>
      <c r="D113" t="s">
        <v>49</v>
      </c>
      <c r="E113">
        <v>132</v>
      </c>
      <c r="F113">
        <v>77</v>
      </c>
      <c r="G113">
        <v>1.76</v>
      </c>
      <c r="H113" s="1">
        <v>46231</v>
      </c>
      <c r="I113" s="1">
        <v>45961</v>
      </c>
      <c r="J113">
        <v>232.32</v>
      </c>
      <c r="K113" t="s">
        <v>35</v>
      </c>
      <c r="L113">
        <v>112</v>
      </c>
      <c r="M113" t="s">
        <v>36</v>
      </c>
    </row>
    <row r="114" spans="1:13" x14ac:dyDescent="0.25">
      <c r="A114" t="s">
        <v>152</v>
      </c>
      <c r="B114" t="s">
        <v>14</v>
      </c>
      <c r="C114" t="s">
        <v>15</v>
      </c>
      <c r="D114" t="s">
        <v>49</v>
      </c>
      <c r="E114">
        <v>16</v>
      </c>
      <c r="F114">
        <v>83</v>
      </c>
      <c r="G114">
        <v>0.56000000000000005</v>
      </c>
      <c r="H114" s="1">
        <v>46329</v>
      </c>
      <c r="I114" s="1">
        <v>46068</v>
      </c>
      <c r="J114">
        <v>8.9600000000000009</v>
      </c>
      <c r="K114" t="s">
        <v>44</v>
      </c>
      <c r="L114">
        <v>210</v>
      </c>
      <c r="M114" t="s">
        <v>36</v>
      </c>
    </row>
    <row r="115" spans="1:13" x14ac:dyDescent="0.25">
      <c r="A115" t="s">
        <v>153</v>
      </c>
      <c r="B115" t="s">
        <v>19</v>
      </c>
      <c r="C115" t="s">
        <v>20</v>
      </c>
      <c r="D115" t="s">
        <v>38</v>
      </c>
      <c r="E115">
        <v>161</v>
      </c>
      <c r="F115">
        <v>46</v>
      </c>
      <c r="G115">
        <v>1.66</v>
      </c>
      <c r="H115" s="1">
        <v>46464</v>
      </c>
      <c r="I115" s="1">
        <v>45996</v>
      </c>
      <c r="J115">
        <v>267.26</v>
      </c>
      <c r="K115" t="s">
        <v>35</v>
      </c>
      <c r="L115">
        <v>345</v>
      </c>
      <c r="M115" t="s">
        <v>36</v>
      </c>
    </row>
    <row r="116" spans="1:13" x14ac:dyDescent="0.25">
      <c r="A116" t="s">
        <v>154</v>
      </c>
      <c r="B116" t="s">
        <v>12</v>
      </c>
      <c r="C116" t="s">
        <v>13</v>
      </c>
      <c r="D116" t="s">
        <v>40</v>
      </c>
      <c r="E116">
        <v>150</v>
      </c>
      <c r="F116">
        <v>48</v>
      </c>
      <c r="G116">
        <v>1.18</v>
      </c>
      <c r="H116" s="1">
        <v>46401</v>
      </c>
      <c r="I116" s="1">
        <v>46090</v>
      </c>
      <c r="J116">
        <v>177</v>
      </c>
      <c r="K116" t="s">
        <v>35</v>
      </c>
      <c r="L116">
        <v>282</v>
      </c>
      <c r="M116" t="s">
        <v>36</v>
      </c>
    </row>
    <row r="117" spans="1:13" x14ac:dyDescent="0.25">
      <c r="A117" t="s">
        <v>155</v>
      </c>
      <c r="B117" t="s">
        <v>17</v>
      </c>
      <c r="C117" t="s">
        <v>18</v>
      </c>
      <c r="D117" t="s">
        <v>40</v>
      </c>
      <c r="E117">
        <v>1</v>
      </c>
      <c r="F117">
        <v>97</v>
      </c>
      <c r="G117">
        <v>1.77</v>
      </c>
      <c r="H117" s="1">
        <v>46378</v>
      </c>
      <c r="I117" s="1">
        <v>46072</v>
      </c>
      <c r="J117">
        <v>1.77</v>
      </c>
      <c r="K117" t="s">
        <v>44</v>
      </c>
      <c r="L117">
        <v>259</v>
      </c>
      <c r="M117" t="s">
        <v>36</v>
      </c>
    </row>
    <row r="118" spans="1:13" x14ac:dyDescent="0.25">
      <c r="A118" t="s">
        <v>156</v>
      </c>
      <c r="B118" t="s">
        <v>23</v>
      </c>
      <c r="C118" t="s">
        <v>24</v>
      </c>
      <c r="D118" t="s">
        <v>49</v>
      </c>
      <c r="E118">
        <v>28</v>
      </c>
      <c r="F118">
        <v>80</v>
      </c>
      <c r="G118">
        <v>1.18</v>
      </c>
      <c r="H118" s="1">
        <v>46459</v>
      </c>
      <c r="I118" s="1">
        <v>46106</v>
      </c>
      <c r="J118">
        <v>33.04</v>
      </c>
      <c r="K118" t="s">
        <v>44</v>
      </c>
      <c r="L118">
        <v>340</v>
      </c>
      <c r="M118" t="s">
        <v>36</v>
      </c>
    </row>
    <row r="119" spans="1:13" x14ac:dyDescent="0.25">
      <c r="A119" t="s">
        <v>157</v>
      </c>
      <c r="B119" t="s">
        <v>16</v>
      </c>
      <c r="C119" t="s">
        <v>13</v>
      </c>
      <c r="D119" t="s">
        <v>38</v>
      </c>
      <c r="E119">
        <v>163</v>
      </c>
      <c r="F119">
        <v>98</v>
      </c>
      <c r="G119">
        <v>0.6</v>
      </c>
      <c r="H119" s="1">
        <v>46254</v>
      </c>
      <c r="I119" s="1">
        <v>45966</v>
      </c>
      <c r="J119">
        <v>97.8</v>
      </c>
      <c r="K119" t="s">
        <v>35</v>
      </c>
      <c r="L119">
        <v>135</v>
      </c>
      <c r="M119" t="s">
        <v>36</v>
      </c>
    </row>
    <row r="120" spans="1:13" x14ac:dyDescent="0.25">
      <c r="A120" t="s">
        <v>158</v>
      </c>
      <c r="B120" t="s">
        <v>23</v>
      </c>
      <c r="C120" t="s">
        <v>24</v>
      </c>
      <c r="D120" t="s">
        <v>38</v>
      </c>
      <c r="E120">
        <v>80</v>
      </c>
      <c r="F120">
        <v>78</v>
      </c>
      <c r="G120">
        <v>1.56</v>
      </c>
      <c r="H120" s="1">
        <v>46377</v>
      </c>
      <c r="I120" s="1">
        <v>46096</v>
      </c>
      <c r="J120">
        <v>124.80000000000001</v>
      </c>
      <c r="K120" t="s">
        <v>35</v>
      </c>
      <c r="L120">
        <v>258</v>
      </c>
      <c r="M120" t="s">
        <v>36</v>
      </c>
    </row>
    <row r="121" spans="1:13" x14ac:dyDescent="0.25">
      <c r="A121" t="s">
        <v>159</v>
      </c>
      <c r="B121" t="s">
        <v>25</v>
      </c>
      <c r="C121" t="s">
        <v>15</v>
      </c>
      <c r="D121" t="s">
        <v>49</v>
      </c>
      <c r="E121">
        <v>150</v>
      </c>
      <c r="F121">
        <v>78</v>
      </c>
      <c r="G121">
        <v>1.46</v>
      </c>
      <c r="H121" s="1">
        <v>46361</v>
      </c>
      <c r="I121" s="1">
        <v>45983</v>
      </c>
      <c r="J121">
        <v>219</v>
      </c>
      <c r="K121" t="s">
        <v>35</v>
      </c>
      <c r="L121">
        <v>242</v>
      </c>
      <c r="M121" t="s">
        <v>36</v>
      </c>
    </row>
    <row r="122" spans="1:13" x14ac:dyDescent="0.25">
      <c r="A122" t="s">
        <v>160</v>
      </c>
      <c r="B122" t="s">
        <v>23</v>
      </c>
      <c r="C122" t="s">
        <v>24</v>
      </c>
      <c r="D122" t="s">
        <v>34</v>
      </c>
      <c r="E122">
        <v>75</v>
      </c>
      <c r="F122">
        <v>99</v>
      </c>
      <c r="G122">
        <v>1.75</v>
      </c>
      <c r="H122" s="1">
        <v>46277</v>
      </c>
      <c r="I122" s="1">
        <v>46056</v>
      </c>
      <c r="J122">
        <v>131.25</v>
      </c>
      <c r="K122" t="s">
        <v>44</v>
      </c>
      <c r="L122">
        <v>158</v>
      </c>
      <c r="M122" t="s">
        <v>36</v>
      </c>
    </row>
    <row r="123" spans="1:13" x14ac:dyDescent="0.25">
      <c r="A123" t="s">
        <v>161</v>
      </c>
      <c r="B123" t="s">
        <v>23</v>
      </c>
      <c r="C123" t="s">
        <v>24</v>
      </c>
      <c r="D123" t="s">
        <v>40</v>
      </c>
      <c r="E123">
        <v>174</v>
      </c>
      <c r="F123">
        <v>27</v>
      </c>
      <c r="G123">
        <v>1.31</v>
      </c>
      <c r="H123" s="1">
        <v>46319</v>
      </c>
      <c r="I123" s="1">
        <v>46013</v>
      </c>
      <c r="J123">
        <v>227.94</v>
      </c>
      <c r="K123" t="s">
        <v>35</v>
      </c>
      <c r="L123">
        <v>200</v>
      </c>
      <c r="M123" t="s">
        <v>36</v>
      </c>
    </row>
    <row r="124" spans="1:13" x14ac:dyDescent="0.25">
      <c r="A124" t="s">
        <v>162</v>
      </c>
      <c r="B124" t="s">
        <v>14</v>
      </c>
      <c r="C124" t="s">
        <v>15</v>
      </c>
      <c r="D124" t="s">
        <v>40</v>
      </c>
      <c r="E124">
        <v>45</v>
      </c>
      <c r="F124">
        <v>35</v>
      </c>
      <c r="G124">
        <v>0.72</v>
      </c>
      <c r="H124" s="1">
        <v>46311</v>
      </c>
      <c r="I124" s="1">
        <v>46095</v>
      </c>
      <c r="J124">
        <v>32.4</v>
      </c>
      <c r="K124" t="s">
        <v>35</v>
      </c>
      <c r="L124">
        <v>192</v>
      </c>
      <c r="M124" t="s">
        <v>36</v>
      </c>
    </row>
    <row r="125" spans="1:13" x14ac:dyDescent="0.25">
      <c r="A125" t="s">
        <v>163</v>
      </c>
      <c r="B125" t="s">
        <v>26</v>
      </c>
      <c r="C125" t="s">
        <v>22</v>
      </c>
      <c r="D125" t="s">
        <v>49</v>
      </c>
      <c r="E125">
        <v>56</v>
      </c>
      <c r="F125">
        <v>87</v>
      </c>
      <c r="G125">
        <v>1.67</v>
      </c>
      <c r="H125" s="1">
        <v>46476</v>
      </c>
      <c r="I125" s="1">
        <v>46005</v>
      </c>
      <c r="J125">
        <v>93.52</v>
      </c>
      <c r="K125" t="s">
        <v>44</v>
      </c>
      <c r="L125">
        <v>357</v>
      </c>
      <c r="M125" t="s">
        <v>36</v>
      </c>
    </row>
    <row r="126" spans="1:13" x14ac:dyDescent="0.25">
      <c r="A126" t="s">
        <v>164</v>
      </c>
      <c r="B126" t="s">
        <v>21</v>
      </c>
      <c r="C126" t="s">
        <v>22</v>
      </c>
      <c r="D126" t="s">
        <v>38</v>
      </c>
      <c r="E126">
        <v>150</v>
      </c>
      <c r="F126">
        <v>72</v>
      </c>
      <c r="G126">
        <v>0.9</v>
      </c>
      <c r="H126" s="1">
        <v>46210</v>
      </c>
      <c r="I126" s="1">
        <v>45951</v>
      </c>
      <c r="J126">
        <v>135</v>
      </c>
      <c r="K126" t="s">
        <v>35</v>
      </c>
      <c r="L126">
        <v>91</v>
      </c>
      <c r="M126" t="s">
        <v>36</v>
      </c>
    </row>
    <row r="127" spans="1:13" x14ac:dyDescent="0.25">
      <c r="A127" t="s">
        <v>165</v>
      </c>
      <c r="B127" t="s">
        <v>26</v>
      </c>
      <c r="C127" t="s">
        <v>22</v>
      </c>
      <c r="D127" t="s">
        <v>49</v>
      </c>
      <c r="E127">
        <v>180</v>
      </c>
      <c r="F127">
        <v>87</v>
      </c>
      <c r="G127">
        <v>0.8</v>
      </c>
      <c r="H127" s="1">
        <v>46237</v>
      </c>
      <c r="I127" s="1">
        <v>46042</v>
      </c>
      <c r="J127">
        <v>144</v>
      </c>
      <c r="K127" t="s">
        <v>35</v>
      </c>
      <c r="L127">
        <v>118</v>
      </c>
      <c r="M127" t="s">
        <v>36</v>
      </c>
    </row>
    <row r="128" spans="1:13" x14ac:dyDescent="0.25">
      <c r="A128" t="s">
        <v>166</v>
      </c>
      <c r="B128" t="s">
        <v>25</v>
      </c>
      <c r="C128" t="s">
        <v>15</v>
      </c>
      <c r="D128" t="s">
        <v>34</v>
      </c>
      <c r="E128">
        <v>195</v>
      </c>
      <c r="F128">
        <v>71</v>
      </c>
      <c r="G128">
        <v>1.56</v>
      </c>
      <c r="H128" s="1">
        <v>46213</v>
      </c>
      <c r="I128" s="1">
        <v>46024</v>
      </c>
      <c r="J128">
        <v>304.2</v>
      </c>
      <c r="K128" t="s">
        <v>35</v>
      </c>
      <c r="L128">
        <v>94</v>
      </c>
      <c r="M128" t="s">
        <v>36</v>
      </c>
    </row>
    <row r="129" spans="1:13" x14ac:dyDescent="0.25">
      <c r="A129" t="s">
        <v>167</v>
      </c>
      <c r="B129" t="s">
        <v>25</v>
      </c>
      <c r="C129" t="s">
        <v>15</v>
      </c>
      <c r="D129" t="s">
        <v>49</v>
      </c>
      <c r="E129">
        <v>188</v>
      </c>
      <c r="F129">
        <v>39</v>
      </c>
      <c r="G129">
        <v>1.33</v>
      </c>
      <c r="H129" s="1">
        <v>46194</v>
      </c>
      <c r="I129" s="1">
        <v>45980</v>
      </c>
      <c r="J129">
        <v>250.04000000000002</v>
      </c>
      <c r="K129" t="s">
        <v>35</v>
      </c>
      <c r="L129">
        <v>75</v>
      </c>
      <c r="M129" t="s">
        <v>36</v>
      </c>
    </row>
    <row r="130" spans="1:13" x14ac:dyDescent="0.25">
      <c r="A130" t="s">
        <v>168</v>
      </c>
      <c r="B130" t="s">
        <v>25</v>
      </c>
      <c r="C130" t="s">
        <v>15</v>
      </c>
      <c r="D130" t="s">
        <v>38</v>
      </c>
      <c r="E130">
        <v>21</v>
      </c>
      <c r="F130">
        <v>73</v>
      </c>
      <c r="G130">
        <v>1.55</v>
      </c>
      <c r="H130" s="1">
        <v>46397</v>
      </c>
      <c r="I130" s="1">
        <v>46085</v>
      </c>
      <c r="J130">
        <v>32.550000000000004</v>
      </c>
      <c r="K130" t="s">
        <v>44</v>
      </c>
      <c r="L130">
        <v>278</v>
      </c>
      <c r="M130" t="s">
        <v>36</v>
      </c>
    </row>
    <row r="131" spans="1:13" x14ac:dyDescent="0.25">
      <c r="A131" t="s">
        <v>169</v>
      </c>
      <c r="B131" t="s">
        <v>14</v>
      </c>
      <c r="C131" t="s">
        <v>15</v>
      </c>
      <c r="D131" t="s">
        <v>38</v>
      </c>
      <c r="E131">
        <v>76</v>
      </c>
      <c r="F131">
        <v>66</v>
      </c>
      <c r="G131">
        <v>1.76</v>
      </c>
      <c r="H131" s="1">
        <v>46218</v>
      </c>
      <c r="I131" s="1">
        <v>46113</v>
      </c>
      <c r="J131">
        <v>133.76</v>
      </c>
      <c r="K131" t="s">
        <v>35</v>
      </c>
      <c r="L131">
        <v>99</v>
      </c>
      <c r="M131" t="s">
        <v>36</v>
      </c>
    </row>
    <row r="132" spans="1:13" x14ac:dyDescent="0.25">
      <c r="A132" t="s">
        <v>170</v>
      </c>
      <c r="B132" t="s">
        <v>21</v>
      </c>
      <c r="C132" t="s">
        <v>22</v>
      </c>
      <c r="D132" t="s">
        <v>34</v>
      </c>
      <c r="E132">
        <v>86</v>
      </c>
      <c r="F132">
        <v>49</v>
      </c>
      <c r="G132">
        <v>0.81</v>
      </c>
      <c r="H132" s="1">
        <v>46308</v>
      </c>
      <c r="I132" s="1">
        <v>45947</v>
      </c>
      <c r="J132">
        <v>69.660000000000011</v>
      </c>
      <c r="K132" t="s">
        <v>35</v>
      </c>
      <c r="L132">
        <v>189</v>
      </c>
      <c r="M132" t="s">
        <v>36</v>
      </c>
    </row>
    <row r="133" spans="1:13" x14ac:dyDescent="0.25">
      <c r="A133" t="s">
        <v>171</v>
      </c>
      <c r="B133" t="s">
        <v>14</v>
      </c>
      <c r="C133" t="s">
        <v>15</v>
      </c>
      <c r="D133" t="s">
        <v>38</v>
      </c>
      <c r="E133">
        <v>115</v>
      </c>
      <c r="F133">
        <v>66</v>
      </c>
      <c r="G133">
        <v>1.02</v>
      </c>
      <c r="H133" s="1">
        <v>46241</v>
      </c>
      <c r="I133" s="1">
        <v>46090</v>
      </c>
      <c r="J133">
        <v>117.3</v>
      </c>
      <c r="K133" t="s">
        <v>35</v>
      </c>
      <c r="L133">
        <v>122</v>
      </c>
      <c r="M133" t="s">
        <v>36</v>
      </c>
    </row>
    <row r="134" spans="1:13" x14ac:dyDescent="0.25">
      <c r="A134" t="s">
        <v>172</v>
      </c>
      <c r="B134" t="s">
        <v>25</v>
      </c>
      <c r="C134" t="s">
        <v>15</v>
      </c>
      <c r="D134" t="s">
        <v>49</v>
      </c>
      <c r="E134">
        <v>22</v>
      </c>
      <c r="F134">
        <v>72</v>
      </c>
      <c r="G134">
        <v>0.95</v>
      </c>
      <c r="H134" s="1">
        <v>46435</v>
      </c>
      <c r="I134" s="1">
        <v>45954</v>
      </c>
      <c r="J134">
        <v>20.9</v>
      </c>
      <c r="K134" t="s">
        <v>44</v>
      </c>
      <c r="L134">
        <v>316</v>
      </c>
      <c r="M134" t="s">
        <v>36</v>
      </c>
    </row>
    <row r="135" spans="1:13" x14ac:dyDescent="0.25">
      <c r="A135" t="s">
        <v>173</v>
      </c>
      <c r="B135" t="s">
        <v>21</v>
      </c>
      <c r="C135" t="s">
        <v>22</v>
      </c>
      <c r="D135" t="s">
        <v>49</v>
      </c>
      <c r="E135">
        <v>84</v>
      </c>
      <c r="F135">
        <v>99</v>
      </c>
      <c r="G135">
        <v>1.2</v>
      </c>
      <c r="H135" s="1">
        <v>46152</v>
      </c>
      <c r="I135" s="1">
        <v>45960</v>
      </c>
      <c r="J135">
        <v>100.8</v>
      </c>
      <c r="K135" t="s">
        <v>44</v>
      </c>
      <c r="L135">
        <v>33</v>
      </c>
      <c r="M135" t="s">
        <v>36</v>
      </c>
    </row>
    <row r="136" spans="1:13" x14ac:dyDescent="0.25">
      <c r="A136" t="s">
        <v>174</v>
      </c>
      <c r="B136" t="s">
        <v>19</v>
      </c>
      <c r="C136" t="s">
        <v>20</v>
      </c>
      <c r="D136" t="s">
        <v>49</v>
      </c>
      <c r="E136">
        <v>31</v>
      </c>
      <c r="F136">
        <v>20</v>
      </c>
      <c r="G136">
        <v>1.46</v>
      </c>
      <c r="H136" s="1">
        <v>46187</v>
      </c>
      <c r="I136" s="1">
        <v>45953</v>
      </c>
      <c r="J136">
        <v>45.26</v>
      </c>
      <c r="K136" t="s">
        <v>35</v>
      </c>
      <c r="L136">
        <v>68</v>
      </c>
      <c r="M136" t="s">
        <v>36</v>
      </c>
    </row>
    <row r="137" spans="1:13" x14ac:dyDescent="0.25">
      <c r="A137" t="s">
        <v>175</v>
      </c>
      <c r="B137" t="s">
        <v>12</v>
      </c>
      <c r="C137" t="s">
        <v>13</v>
      </c>
      <c r="D137" t="s">
        <v>38</v>
      </c>
      <c r="E137">
        <v>127</v>
      </c>
      <c r="F137">
        <v>64</v>
      </c>
      <c r="G137">
        <v>0.74</v>
      </c>
      <c r="H137" s="1">
        <v>46259</v>
      </c>
      <c r="I137" s="1">
        <v>46059</v>
      </c>
      <c r="J137">
        <v>93.98</v>
      </c>
      <c r="K137" t="s">
        <v>35</v>
      </c>
      <c r="L137">
        <v>140</v>
      </c>
      <c r="M137" t="s">
        <v>36</v>
      </c>
    </row>
    <row r="138" spans="1:13" x14ac:dyDescent="0.25">
      <c r="A138" t="s">
        <v>176</v>
      </c>
      <c r="B138" t="s">
        <v>17</v>
      </c>
      <c r="C138" t="s">
        <v>18</v>
      </c>
      <c r="D138" t="s">
        <v>49</v>
      </c>
      <c r="E138">
        <v>177</v>
      </c>
      <c r="F138">
        <v>27</v>
      </c>
      <c r="G138">
        <v>0.99</v>
      </c>
      <c r="H138" s="1">
        <v>46232</v>
      </c>
      <c r="I138" s="1">
        <v>46040</v>
      </c>
      <c r="J138">
        <v>175.23</v>
      </c>
      <c r="K138" t="s">
        <v>35</v>
      </c>
      <c r="L138">
        <v>113</v>
      </c>
      <c r="M138" t="s">
        <v>36</v>
      </c>
    </row>
    <row r="139" spans="1:13" x14ac:dyDescent="0.25">
      <c r="A139" t="s">
        <v>177</v>
      </c>
      <c r="B139" t="s">
        <v>14</v>
      </c>
      <c r="C139" t="s">
        <v>15</v>
      </c>
      <c r="D139" t="s">
        <v>34</v>
      </c>
      <c r="E139">
        <v>3</v>
      </c>
      <c r="F139">
        <v>44</v>
      </c>
      <c r="G139">
        <v>0.5</v>
      </c>
      <c r="H139" s="1">
        <v>46168</v>
      </c>
      <c r="I139" s="1">
        <v>45972</v>
      </c>
      <c r="J139">
        <v>1.5</v>
      </c>
      <c r="K139" t="s">
        <v>44</v>
      </c>
      <c r="L139">
        <v>49</v>
      </c>
      <c r="M139" t="s">
        <v>36</v>
      </c>
    </row>
    <row r="140" spans="1:13" x14ac:dyDescent="0.25">
      <c r="A140" t="s">
        <v>178</v>
      </c>
      <c r="B140" t="s">
        <v>26</v>
      </c>
      <c r="C140" t="s">
        <v>22</v>
      </c>
      <c r="D140" t="s">
        <v>38</v>
      </c>
      <c r="E140">
        <v>106</v>
      </c>
      <c r="F140">
        <v>38</v>
      </c>
      <c r="G140">
        <v>1.68</v>
      </c>
      <c r="H140" s="1">
        <v>46185</v>
      </c>
      <c r="I140" s="1">
        <v>46008</v>
      </c>
      <c r="J140">
        <v>178.07999999999998</v>
      </c>
      <c r="K140" t="s">
        <v>35</v>
      </c>
      <c r="L140">
        <v>66</v>
      </c>
      <c r="M140" t="s">
        <v>36</v>
      </c>
    </row>
    <row r="141" spans="1:13" x14ac:dyDescent="0.25">
      <c r="A141" t="s">
        <v>179</v>
      </c>
      <c r="B141" t="s">
        <v>14</v>
      </c>
      <c r="C141" t="s">
        <v>15</v>
      </c>
      <c r="D141" t="s">
        <v>49</v>
      </c>
      <c r="E141">
        <v>27</v>
      </c>
      <c r="F141">
        <v>37</v>
      </c>
      <c r="G141">
        <v>1.0900000000000001</v>
      </c>
      <c r="H141" s="1">
        <v>46477</v>
      </c>
      <c r="I141" s="1">
        <v>45990</v>
      </c>
      <c r="J141">
        <v>29.430000000000003</v>
      </c>
      <c r="K141" t="s">
        <v>44</v>
      </c>
      <c r="L141">
        <v>358</v>
      </c>
      <c r="M141" t="s">
        <v>36</v>
      </c>
    </row>
    <row r="142" spans="1:13" x14ac:dyDescent="0.25">
      <c r="A142" t="s">
        <v>180</v>
      </c>
      <c r="B142" t="s">
        <v>17</v>
      </c>
      <c r="C142" t="s">
        <v>18</v>
      </c>
      <c r="D142" t="s">
        <v>49</v>
      </c>
      <c r="E142">
        <v>79</v>
      </c>
      <c r="F142">
        <v>33</v>
      </c>
      <c r="G142">
        <v>0.97</v>
      </c>
      <c r="H142" s="1">
        <v>46250</v>
      </c>
      <c r="I142" s="1">
        <v>45948</v>
      </c>
      <c r="J142">
        <v>76.63</v>
      </c>
      <c r="K142" t="s">
        <v>35</v>
      </c>
      <c r="L142">
        <v>131</v>
      </c>
      <c r="M142" t="s">
        <v>36</v>
      </c>
    </row>
    <row r="143" spans="1:13" x14ac:dyDescent="0.25">
      <c r="A143" t="s">
        <v>181</v>
      </c>
      <c r="B143" t="s">
        <v>27</v>
      </c>
      <c r="C143" t="s">
        <v>28</v>
      </c>
      <c r="D143" t="s">
        <v>49</v>
      </c>
      <c r="E143">
        <v>165</v>
      </c>
      <c r="F143">
        <v>71</v>
      </c>
      <c r="G143">
        <v>1.32</v>
      </c>
      <c r="H143" s="1">
        <v>46232</v>
      </c>
      <c r="I143" s="1">
        <v>45974</v>
      </c>
      <c r="J143">
        <v>217.8</v>
      </c>
      <c r="K143" t="s">
        <v>35</v>
      </c>
      <c r="L143">
        <v>113</v>
      </c>
      <c r="M143" t="s">
        <v>36</v>
      </c>
    </row>
    <row r="144" spans="1:13" x14ac:dyDescent="0.25">
      <c r="A144" t="s">
        <v>182</v>
      </c>
      <c r="B144" t="s">
        <v>25</v>
      </c>
      <c r="C144" t="s">
        <v>15</v>
      </c>
      <c r="D144" t="s">
        <v>40</v>
      </c>
      <c r="E144">
        <v>45</v>
      </c>
      <c r="F144">
        <v>81</v>
      </c>
      <c r="G144">
        <v>1.1399999999999999</v>
      </c>
      <c r="H144" s="1">
        <v>46261</v>
      </c>
      <c r="I144" s="1">
        <v>45961</v>
      </c>
      <c r="J144">
        <v>51.3</v>
      </c>
      <c r="K144" t="s">
        <v>44</v>
      </c>
      <c r="L144">
        <v>142</v>
      </c>
      <c r="M144" t="s">
        <v>36</v>
      </c>
    </row>
    <row r="145" spans="1:13" x14ac:dyDescent="0.25">
      <c r="A145" t="s">
        <v>183</v>
      </c>
      <c r="B145" t="s">
        <v>19</v>
      </c>
      <c r="C145" t="s">
        <v>20</v>
      </c>
      <c r="D145" t="s">
        <v>34</v>
      </c>
      <c r="E145">
        <v>171</v>
      </c>
      <c r="F145">
        <v>89</v>
      </c>
      <c r="G145">
        <v>0.94</v>
      </c>
      <c r="H145" s="1">
        <v>46313</v>
      </c>
      <c r="I145" s="1">
        <v>45962</v>
      </c>
      <c r="J145">
        <v>160.73999999999998</v>
      </c>
      <c r="K145" t="s">
        <v>35</v>
      </c>
      <c r="L145">
        <v>194</v>
      </c>
      <c r="M145" t="s">
        <v>36</v>
      </c>
    </row>
    <row r="146" spans="1:13" x14ac:dyDescent="0.25">
      <c r="A146" t="s">
        <v>184</v>
      </c>
      <c r="B146" t="s">
        <v>25</v>
      </c>
      <c r="C146" t="s">
        <v>15</v>
      </c>
      <c r="D146" t="s">
        <v>34</v>
      </c>
      <c r="E146">
        <v>89</v>
      </c>
      <c r="F146">
        <v>74</v>
      </c>
      <c r="G146">
        <v>1.42</v>
      </c>
      <c r="H146" s="1">
        <v>46315</v>
      </c>
      <c r="I146" s="1">
        <v>46105</v>
      </c>
      <c r="J146">
        <v>126.38</v>
      </c>
      <c r="K146" t="s">
        <v>35</v>
      </c>
      <c r="L146">
        <v>196</v>
      </c>
      <c r="M146" t="s">
        <v>36</v>
      </c>
    </row>
    <row r="147" spans="1:13" x14ac:dyDescent="0.25">
      <c r="A147" t="s">
        <v>185</v>
      </c>
      <c r="B147" t="s">
        <v>17</v>
      </c>
      <c r="C147" t="s">
        <v>18</v>
      </c>
      <c r="D147" t="s">
        <v>34</v>
      </c>
      <c r="E147">
        <v>66</v>
      </c>
      <c r="F147">
        <v>51</v>
      </c>
      <c r="G147">
        <v>1.6</v>
      </c>
      <c r="H147" s="1">
        <v>46320</v>
      </c>
      <c r="I147" s="1">
        <v>46005</v>
      </c>
      <c r="J147">
        <v>105.60000000000001</v>
      </c>
      <c r="K147" t="s">
        <v>35</v>
      </c>
      <c r="L147">
        <v>201</v>
      </c>
      <c r="M147" t="s">
        <v>36</v>
      </c>
    </row>
    <row r="148" spans="1:13" x14ac:dyDescent="0.25">
      <c r="A148" t="s">
        <v>186</v>
      </c>
      <c r="B148" t="s">
        <v>26</v>
      </c>
      <c r="C148" t="s">
        <v>22</v>
      </c>
      <c r="D148" t="s">
        <v>38</v>
      </c>
      <c r="E148">
        <v>21</v>
      </c>
      <c r="F148">
        <v>97</v>
      </c>
      <c r="G148">
        <v>1.19</v>
      </c>
      <c r="H148" s="1">
        <v>46323</v>
      </c>
      <c r="I148" s="1">
        <v>46096</v>
      </c>
      <c r="J148">
        <v>24.99</v>
      </c>
      <c r="K148" t="s">
        <v>44</v>
      </c>
      <c r="L148">
        <v>204</v>
      </c>
      <c r="M148" t="s">
        <v>36</v>
      </c>
    </row>
    <row r="149" spans="1:13" x14ac:dyDescent="0.25">
      <c r="A149" t="s">
        <v>187</v>
      </c>
      <c r="B149" t="s">
        <v>17</v>
      </c>
      <c r="C149" t="s">
        <v>18</v>
      </c>
      <c r="D149" t="s">
        <v>38</v>
      </c>
      <c r="E149">
        <v>136</v>
      </c>
      <c r="F149">
        <v>34</v>
      </c>
      <c r="G149">
        <v>1.56</v>
      </c>
      <c r="H149" s="1">
        <v>46277</v>
      </c>
      <c r="I149" s="1">
        <v>45979</v>
      </c>
      <c r="J149">
        <v>212.16</v>
      </c>
      <c r="K149" t="s">
        <v>35</v>
      </c>
      <c r="L149">
        <v>158</v>
      </c>
      <c r="M149" t="s">
        <v>36</v>
      </c>
    </row>
    <row r="150" spans="1:13" x14ac:dyDescent="0.25">
      <c r="A150" t="s">
        <v>188</v>
      </c>
      <c r="B150" t="s">
        <v>12</v>
      </c>
      <c r="C150" t="s">
        <v>13</v>
      </c>
      <c r="D150" t="s">
        <v>49</v>
      </c>
      <c r="E150">
        <v>69</v>
      </c>
      <c r="F150">
        <v>87</v>
      </c>
      <c r="G150">
        <v>0.64</v>
      </c>
      <c r="H150" s="1">
        <v>46376</v>
      </c>
      <c r="I150" s="1">
        <v>46102</v>
      </c>
      <c r="J150">
        <v>44.160000000000004</v>
      </c>
      <c r="K150" t="s">
        <v>44</v>
      </c>
      <c r="L150">
        <v>257</v>
      </c>
      <c r="M150" t="s">
        <v>36</v>
      </c>
    </row>
    <row r="151" spans="1:13" x14ac:dyDescent="0.25">
      <c r="A151" t="s">
        <v>189</v>
      </c>
      <c r="B151" t="s">
        <v>19</v>
      </c>
      <c r="C151" t="s">
        <v>20</v>
      </c>
      <c r="D151" t="s">
        <v>38</v>
      </c>
      <c r="E151">
        <v>40</v>
      </c>
      <c r="F151">
        <v>39</v>
      </c>
      <c r="G151">
        <v>0.79</v>
      </c>
      <c r="H151" s="1">
        <v>46304</v>
      </c>
      <c r="I151" s="1">
        <v>46032</v>
      </c>
      <c r="J151">
        <v>31.6</v>
      </c>
      <c r="K151" t="s">
        <v>35</v>
      </c>
      <c r="L151">
        <v>185</v>
      </c>
      <c r="M151" t="s">
        <v>36</v>
      </c>
    </row>
    <row r="152" spans="1:13" x14ac:dyDescent="0.25">
      <c r="A152" t="s">
        <v>190</v>
      </c>
      <c r="B152" t="s">
        <v>12</v>
      </c>
      <c r="C152" t="s">
        <v>13</v>
      </c>
      <c r="D152" t="s">
        <v>34</v>
      </c>
      <c r="E152">
        <v>107</v>
      </c>
      <c r="F152">
        <v>71</v>
      </c>
      <c r="G152">
        <v>0.71</v>
      </c>
      <c r="H152" s="1">
        <v>46481</v>
      </c>
      <c r="I152" s="1">
        <v>46045</v>
      </c>
      <c r="J152">
        <v>75.97</v>
      </c>
      <c r="K152" t="s">
        <v>35</v>
      </c>
      <c r="L152">
        <v>362</v>
      </c>
      <c r="M152" t="s">
        <v>36</v>
      </c>
    </row>
    <row r="153" spans="1:13" x14ac:dyDescent="0.25">
      <c r="A153" t="s">
        <v>191</v>
      </c>
      <c r="B153" t="s">
        <v>17</v>
      </c>
      <c r="C153" t="s">
        <v>18</v>
      </c>
      <c r="D153" t="s">
        <v>40</v>
      </c>
      <c r="E153">
        <v>161</v>
      </c>
      <c r="F153">
        <v>66</v>
      </c>
      <c r="G153">
        <v>1.62</v>
      </c>
      <c r="H153" s="1">
        <v>46404</v>
      </c>
      <c r="I153" s="1">
        <v>46055</v>
      </c>
      <c r="J153">
        <v>260.82</v>
      </c>
      <c r="K153" t="s">
        <v>35</v>
      </c>
      <c r="L153">
        <v>285</v>
      </c>
      <c r="M153" t="s">
        <v>36</v>
      </c>
    </row>
    <row r="154" spans="1:13" x14ac:dyDescent="0.25">
      <c r="A154" t="s">
        <v>192</v>
      </c>
      <c r="B154" t="s">
        <v>27</v>
      </c>
      <c r="C154" t="s">
        <v>28</v>
      </c>
      <c r="D154" t="s">
        <v>40</v>
      </c>
      <c r="E154">
        <v>38</v>
      </c>
      <c r="F154">
        <v>94</v>
      </c>
      <c r="G154">
        <v>0.52</v>
      </c>
      <c r="H154" s="1">
        <v>46208</v>
      </c>
      <c r="I154" s="1">
        <v>46081</v>
      </c>
      <c r="J154">
        <v>19.760000000000002</v>
      </c>
      <c r="K154" t="s">
        <v>44</v>
      </c>
      <c r="L154">
        <v>89</v>
      </c>
      <c r="M154" t="s">
        <v>36</v>
      </c>
    </row>
    <row r="155" spans="1:13" x14ac:dyDescent="0.25">
      <c r="A155" t="s">
        <v>193</v>
      </c>
      <c r="B155" t="s">
        <v>21</v>
      </c>
      <c r="C155" t="s">
        <v>22</v>
      </c>
      <c r="D155" t="s">
        <v>49</v>
      </c>
      <c r="E155">
        <v>167</v>
      </c>
      <c r="F155">
        <v>92</v>
      </c>
      <c r="G155">
        <v>0.71</v>
      </c>
      <c r="H155" s="1">
        <v>46221</v>
      </c>
      <c r="I155" s="1">
        <v>46080</v>
      </c>
      <c r="J155">
        <v>118.57</v>
      </c>
      <c r="K155" t="s">
        <v>35</v>
      </c>
      <c r="L155">
        <v>102</v>
      </c>
      <c r="M155" t="s">
        <v>36</v>
      </c>
    </row>
    <row r="156" spans="1:13" x14ac:dyDescent="0.25">
      <c r="A156" t="s">
        <v>194</v>
      </c>
      <c r="B156" t="s">
        <v>17</v>
      </c>
      <c r="C156" t="s">
        <v>18</v>
      </c>
      <c r="D156" t="s">
        <v>49</v>
      </c>
      <c r="E156">
        <v>38</v>
      </c>
      <c r="F156">
        <v>79</v>
      </c>
      <c r="G156">
        <v>1.57</v>
      </c>
      <c r="H156" s="1">
        <v>46427</v>
      </c>
      <c r="I156" s="1">
        <v>46094</v>
      </c>
      <c r="J156">
        <v>59.660000000000004</v>
      </c>
      <c r="K156" t="s">
        <v>44</v>
      </c>
      <c r="L156">
        <v>308</v>
      </c>
      <c r="M156" t="s">
        <v>36</v>
      </c>
    </row>
    <row r="157" spans="1:13" x14ac:dyDescent="0.25">
      <c r="A157" t="s">
        <v>195</v>
      </c>
      <c r="B157" t="s">
        <v>14</v>
      </c>
      <c r="C157" t="s">
        <v>15</v>
      </c>
      <c r="D157" t="s">
        <v>34</v>
      </c>
      <c r="E157">
        <v>168</v>
      </c>
      <c r="F157">
        <v>100</v>
      </c>
      <c r="G157">
        <v>1.36</v>
      </c>
      <c r="H157" s="1">
        <v>46241</v>
      </c>
      <c r="I157" s="1">
        <v>46091</v>
      </c>
      <c r="J157">
        <v>228.48000000000002</v>
      </c>
      <c r="K157" t="s">
        <v>35</v>
      </c>
      <c r="L157">
        <v>122</v>
      </c>
      <c r="M157" t="s">
        <v>36</v>
      </c>
    </row>
    <row r="158" spans="1:13" x14ac:dyDescent="0.25">
      <c r="A158" t="s">
        <v>196</v>
      </c>
      <c r="B158" t="s">
        <v>23</v>
      </c>
      <c r="C158" t="s">
        <v>24</v>
      </c>
      <c r="D158" t="s">
        <v>38</v>
      </c>
      <c r="E158">
        <v>79</v>
      </c>
      <c r="F158">
        <v>64</v>
      </c>
      <c r="G158">
        <v>1.77</v>
      </c>
      <c r="H158" s="1">
        <v>46449</v>
      </c>
      <c r="I158" s="1">
        <v>46050</v>
      </c>
      <c r="J158">
        <v>139.83000000000001</v>
      </c>
      <c r="K158" t="s">
        <v>35</v>
      </c>
      <c r="L158">
        <v>330</v>
      </c>
      <c r="M158" t="s">
        <v>36</v>
      </c>
    </row>
    <row r="159" spans="1:13" x14ac:dyDescent="0.25">
      <c r="A159" t="s">
        <v>197</v>
      </c>
      <c r="B159" t="s">
        <v>16</v>
      </c>
      <c r="C159" t="s">
        <v>13</v>
      </c>
      <c r="D159" t="s">
        <v>49</v>
      </c>
      <c r="E159">
        <v>155</v>
      </c>
      <c r="F159">
        <v>89</v>
      </c>
      <c r="G159">
        <v>1.01</v>
      </c>
      <c r="H159" s="1">
        <v>46422</v>
      </c>
      <c r="I159" s="1">
        <v>46081</v>
      </c>
      <c r="J159">
        <v>156.55000000000001</v>
      </c>
      <c r="K159" t="s">
        <v>35</v>
      </c>
      <c r="L159">
        <v>303</v>
      </c>
      <c r="M159" t="s">
        <v>36</v>
      </c>
    </row>
    <row r="160" spans="1:13" x14ac:dyDescent="0.25">
      <c r="A160" t="s">
        <v>198</v>
      </c>
      <c r="B160" t="s">
        <v>26</v>
      </c>
      <c r="C160" t="s">
        <v>22</v>
      </c>
      <c r="D160" t="s">
        <v>34</v>
      </c>
      <c r="E160">
        <v>134</v>
      </c>
      <c r="F160">
        <v>59</v>
      </c>
      <c r="G160">
        <v>1.25</v>
      </c>
      <c r="H160" s="1">
        <v>46413</v>
      </c>
      <c r="I160" s="1">
        <v>45989</v>
      </c>
      <c r="J160">
        <v>167.5</v>
      </c>
      <c r="K160" t="s">
        <v>35</v>
      </c>
      <c r="L160">
        <v>294</v>
      </c>
      <c r="M160" t="s">
        <v>36</v>
      </c>
    </row>
    <row r="161" spans="1:13" x14ac:dyDescent="0.25">
      <c r="A161" t="s">
        <v>199</v>
      </c>
      <c r="B161" t="s">
        <v>26</v>
      </c>
      <c r="C161" t="s">
        <v>22</v>
      </c>
      <c r="D161" t="s">
        <v>49</v>
      </c>
      <c r="E161">
        <v>67</v>
      </c>
      <c r="F161">
        <v>82</v>
      </c>
      <c r="G161">
        <v>0.92</v>
      </c>
      <c r="H161" s="1">
        <v>46200</v>
      </c>
      <c r="I161" s="1">
        <v>46071</v>
      </c>
      <c r="J161">
        <v>61.64</v>
      </c>
      <c r="K161" t="s">
        <v>44</v>
      </c>
      <c r="L161">
        <v>81</v>
      </c>
      <c r="M161" t="s">
        <v>36</v>
      </c>
    </row>
    <row r="162" spans="1:13" x14ac:dyDescent="0.25">
      <c r="A162" t="s">
        <v>200</v>
      </c>
      <c r="B162" t="s">
        <v>21</v>
      </c>
      <c r="C162" t="s">
        <v>22</v>
      </c>
      <c r="D162" t="s">
        <v>38</v>
      </c>
      <c r="E162">
        <v>197</v>
      </c>
      <c r="F162">
        <v>76</v>
      </c>
      <c r="G162">
        <v>1.33</v>
      </c>
      <c r="H162" s="1">
        <v>46434</v>
      </c>
      <c r="I162" s="1">
        <v>46063</v>
      </c>
      <c r="J162">
        <v>262.01</v>
      </c>
      <c r="K162" t="s">
        <v>35</v>
      </c>
      <c r="L162">
        <v>315</v>
      </c>
      <c r="M162" t="s">
        <v>36</v>
      </c>
    </row>
    <row r="163" spans="1:13" x14ac:dyDescent="0.25">
      <c r="A163" t="s">
        <v>201</v>
      </c>
      <c r="B163" t="s">
        <v>16</v>
      </c>
      <c r="C163" t="s">
        <v>13</v>
      </c>
      <c r="D163" t="s">
        <v>40</v>
      </c>
      <c r="E163">
        <v>179</v>
      </c>
      <c r="F163">
        <v>87</v>
      </c>
      <c r="G163">
        <v>1.19</v>
      </c>
      <c r="H163" s="1">
        <v>46190</v>
      </c>
      <c r="I163" s="1">
        <v>46093</v>
      </c>
      <c r="J163">
        <v>213.01</v>
      </c>
      <c r="K163" t="s">
        <v>35</v>
      </c>
      <c r="L163">
        <v>71</v>
      </c>
      <c r="M163" t="s">
        <v>36</v>
      </c>
    </row>
    <row r="164" spans="1:13" x14ac:dyDescent="0.25">
      <c r="A164" t="s">
        <v>202</v>
      </c>
      <c r="B164" t="s">
        <v>14</v>
      </c>
      <c r="C164" t="s">
        <v>15</v>
      </c>
      <c r="D164" t="s">
        <v>34</v>
      </c>
      <c r="E164">
        <v>121</v>
      </c>
      <c r="F164">
        <v>21</v>
      </c>
      <c r="G164">
        <v>1.98</v>
      </c>
      <c r="H164" s="1">
        <v>46185</v>
      </c>
      <c r="I164" s="1">
        <v>46048</v>
      </c>
      <c r="J164">
        <v>239.57999999999998</v>
      </c>
      <c r="K164" t="s">
        <v>35</v>
      </c>
      <c r="L164">
        <v>66</v>
      </c>
      <c r="M164" t="s">
        <v>36</v>
      </c>
    </row>
    <row r="165" spans="1:13" x14ac:dyDescent="0.25">
      <c r="A165" t="s">
        <v>203</v>
      </c>
      <c r="B165" t="s">
        <v>26</v>
      </c>
      <c r="C165" t="s">
        <v>22</v>
      </c>
      <c r="D165" t="s">
        <v>38</v>
      </c>
      <c r="E165">
        <v>86</v>
      </c>
      <c r="F165">
        <v>43</v>
      </c>
      <c r="G165">
        <v>1.91</v>
      </c>
      <c r="H165" s="1">
        <v>46270</v>
      </c>
      <c r="I165" s="1">
        <v>46076</v>
      </c>
      <c r="J165">
        <v>164.26</v>
      </c>
      <c r="K165" t="s">
        <v>35</v>
      </c>
      <c r="L165">
        <v>151</v>
      </c>
      <c r="M165" t="s">
        <v>36</v>
      </c>
    </row>
    <row r="166" spans="1:13" x14ac:dyDescent="0.25">
      <c r="A166" t="s">
        <v>204</v>
      </c>
      <c r="B166" t="s">
        <v>16</v>
      </c>
      <c r="C166" t="s">
        <v>13</v>
      </c>
      <c r="D166" t="s">
        <v>40</v>
      </c>
      <c r="E166">
        <v>55</v>
      </c>
      <c r="F166">
        <v>26</v>
      </c>
      <c r="G166">
        <v>0.92</v>
      </c>
      <c r="H166" s="1">
        <v>46396</v>
      </c>
      <c r="I166" s="1">
        <v>46086</v>
      </c>
      <c r="J166">
        <v>50.6</v>
      </c>
      <c r="K166" t="s">
        <v>35</v>
      </c>
      <c r="L166">
        <v>277</v>
      </c>
      <c r="M166" t="s">
        <v>36</v>
      </c>
    </row>
    <row r="167" spans="1:13" x14ac:dyDescent="0.25">
      <c r="A167" t="s">
        <v>205</v>
      </c>
      <c r="B167" t="s">
        <v>14</v>
      </c>
      <c r="C167" t="s">
        <v>15</v>
      </c>
      <c r="D167" t="s">
        <v>40</v>
      </c>
      <c r="E167">
        <v>59</v>
      </c>
      <c r="F167">
        <v>22</v>
      </c>
      <c r="G167">
        <v>0.88</v>
      </c>
      <c r="H167" s="1">
        <v>46357</v>
      </c>
      <c r="I167" s="1">
        <v>46073</v>
      </c>
      <c r="J167">
        <v>51.92</v>
      </c>
      <c r="K167" t="s">
        <v>35</v>
      </c>
      <c r="L167">
        <v>238</v>
      </c>
      <c r="M167" t="s">
        <v>36</v>
      </c>
    </row>
    <row r="168" spans="1:13" x14ac:dyDescent="0.25">
      <c r="A168" t="s">
        <v>206</v>
      </c>
      <c r="B168" t="s">
        <v>17</v>
      </c>
      <c r="C168" t="s">
        <v>18</v>
      </c>
      <c r="D168" t="s">
        <v>40</v>
      </c>
      <c r="E168">
        <v>94</v>
      </c>
      <c r="F168">
        <v>31</v>
      </c>
      <c r="G168">
        <v>0.57999999999999996</v>
      </c>
      <c r="H168" s="1">
        <v>46294</v>
      </c>
      <c r="I168" s="1">
        <v>45953</v>
      </c>
      <c r="J168">
        <v>54.519999999999996</v>
      </c>
      <c r="K168" t="s">
        <v>35</v>
      </c>
      <c r="L168">
        <v>175</v>
      </c>
      <c r="M168" t="s">
        <v>36</v>
      </c>
    </row>
    <row r="169" spans="1:13" x14ac:dyDescent="0.25">
      <c r="A169" t="s">
        <v>207</v>
      </c>
      <c r="B169" t="s">
        <v>17</v>
      </c>
      <c r="C169" t="s">
        <v>18</v>
      </c>
      <c r="D169" t="s">
        <v>34</v>
      </c>
      <c r="E169">
        <v>167</v>
      </c>
      <c r="F169">
        <v>84</v>
      </c>
      <c r="G169">
        <v>0.93</v>
      </c>
      <c r="H169" s="1">
        <v>46302</v>
      </c>
      <c r="I169" s="1">
        <v>46028</v>
      </c>
      <c r="J169">
        <v>155.31</v>
      </c>
      <c r="K169" t="s">
        <v>35</v>
      </c>
      <c r="L169">
        <v>183</v>
      </c>
      <c r="M169" t="s">
        <v>36</v>
      </c>
    </row>
    <row r="170" spans="1:13" x14ac:dyDescent="0.25">
      <c r="A170" t="s">
        <v>208</v>
      </c>
      <c r="B170" t="s">
        <v>23</v>
      </c>
      <c r="C170" t="s">
        <v>24</v>
      </c>
      <c r="D170" t="s">
        <v>40</v>
      </c>
      <c r="E170">
        <v>93</v>
      </c>
      <c r="F170">
        <v>33</v>
      </c>
      <c r="G170">
        <v>0.59</v>
      </c>
      <c r="H170" s="1">
        <v>46462</v>
      </c>
      <c r="I170" s="1">
        <v>46074</v>
      </c>
      <c r="J170">
        <v>54.87</v>
      </c>
      <c r="K170" t="s">
        <v>35</v>
      </c>
      <c r="L170">
        <v>343</v>
      </c>
      <c r="M170" t="s">
        <v>36</v>
      </c>
    </row>
    <row r="171" spans="1:13" x14ac:dyDescent="0.25">
      <c r="A171" t="s">
        <v>209</v>
      </c>
      <c r="B171" t="s">
        <v>16</v>
      </c>
      <c r="C171" t="s">
        <v>13</v>
      </c>
      <c r="D171" t="s">
        <v>34</v>
      </c>
      <c r="E171">
        <v>138</v>
      </c>
      <c r="F171">
        <v>40</v>
      </c>
      <c r="G171">
        <v>0.87</v>
      </c>
      <c r="H171" s="1">
        <v>46408</v>
      </c>
      <c r="I171" s="1">
        <v>46020</v>
      </c>
      <c r="J171">
        <v>120.06</v>
      </c>
      <c r="K171" t="s">
        <v>35</v>
      </c>
      <c r="L171">
        <v>289</v>
      </c>
      <c r="M171" t="s">
        <v>36</v>
      </c>
    </row>
    <row r="172" spans="1:13" x14ac:dyDescent="0.25">
      <c r="A172" t="s">
        <v>210</v>
      </c>
      <c r="B172" t="s">
        <v>16</v>
      </c>
      <c r="C172" t="s">
        <v>13</v>
      </c>
      <c r="D172" t="s">
        <v>49</v>
      </c>
      <c r="E172">
        <v>191</v>
      </c>
      <c r="F172">
        <v>60</v>
      </c>
      <c r="G172">
        <v>1.68</v>
      </c>
      <c r="H172" s="1">
        <v>46459</v>
      </c>
      <c r="I172" s="1">
        <v>46089</v>
      </c>
      <c r="J172">
        <v>320.88</v>
      </c>
      <c r="K172" t="s">
        <v>35</v>
      </c>
      <c r="L172">
        <v>340</v>
      </c>
      <c r="M172" t="s">
        <v>36</v>
      </c>
    </row>
    <row r="173" spans="1:13" x14ac:dyDescent="0.25">
      <c r="A173" t="s">
        <v>211</v>
      </c>
      <c r="B173" t="s">
        <v>17</v>
      </c>
      <c r="C173" t="s">
        <v>18</v>
      </c>
      <c r="D173" t="s">
        <v>40</v>
      </c>
      <c r="E173">
        <v>31</v>
      </c>
      <c r="F173">
        <v>20</v>
      </c>
      <c r="G173">
        <v>0.61</v>
      </c>
      <c r="H173" s="1">
        <v>46241</v>
      </c>
      <c r="I173" s="1">
        <v>45989</v>
      </c>
      <c r="J173">
        <v>18.91</v>
      </c>
      <c r="K173" t="s">
        <v>35</v>
      </c>
      <c r="L173">
        <v>122</v>
      </c>
      <c r="M173" t="s">
        <v>36</v>
      </c>
    </row>
    <row r="174" spans="1:13" x14ac:dyDescent="0.25">
      <c r="A174" t="s">
        <v>212</v>
      </c>
      <c r="B174" t="s">
        <v>26</v>
      </c>
      <c r="C174" t="s">
        <v>22</v>
      </c>
      <c r="D174" t="s">
        <v>38</v>
      </c>
      <c r="E174">
        <v>95</v>
      </c>
      <c r="F174">
        <v>31</v>
      </c>
      <c r="G174">
        <v>1.1200000000000001</v>
      </c>
      <c r="H174" s="1">
        <v>46306</v>
      </c>
      <c r="I174" s="1">
        <v>46060</v>
      </c>
      <c r="J174">
        <v>106.4</v>
      </c>
      <c r="K174" t="s">
        <v>35</v>
      </c>
      <c r="L174">
        <v>187</v>
      </c>
      <c r="M174" t="s">
        <v>36</v>
      </c>
    </row>
    <row r="175" spans="1:13" x14ac:dyDescent="0.25">
      <c r="A175" t="s">
        <v>213</v>
      </c>
      <c r="B175" t="s">
        <v>16</v>
      </c>
      <c r="C175" t="s">
        <v>13</v>
      </c>
      <c r="D175" t="s">
        <v>38</v>
      </c>
      <c r="E175">
        <v>72</v>
      </c>
      <c r="F175">
        <v>36</v>
      </c>
      <c r="G175">
        <v>1.38</v>
      </c>
      <c r="H175" s="1">
        <v>46157</v>
      </c>
      <c r="I175" s="1">
        <v>46075</v>
      </c>
      <c r="J175">
        <v>99.359999999999985</v>
      </c>
      <c r="K175" t="s">
        <v>35</v>
      </c>
      <c r="L175">
        <v>38</v>
      </c>
      <c r="M175" t="s">
        <v>36</v>
      </c>
    </row>
    <row r="176" spans="1:13" x14ac:dyDescent="0.25">
      <c r="A176" t="s">
        <v>214</v>
      </c>
      <c r="B176" t="s">
        <v>26</v>
      </c>
      <c r="C176" t="s">
        <v>22</v>
      </c>
      <c r="D176" t="s">
        <v>40</v>
      </c>
      <c r="E176">
        <v>80</v>
      </c>
      <c r="F176">
        <v>24</v>
      </c>
      <c r="G176">
        <v>0.64</v>
      </c>
      <c r="H176" s="1">
        <v>46389</v>
      </c>
      <c r="I176" s="1">
        <v>45983</v>
      </c>
      <c r="J176">
        <v>51.2</v>
      </c>
      <c r="K176" t="s">
        <v>35</v>
      </c>
      <c r="L176">
        <v>270</v>
      </c>
      <c r="M176" t="s">
        <v>36</v>
      </c>
    </row>
    <row r="177" spans="1:13" x14ac:dyDescent="0.25">
      <c r="A177" t="s">
        <v>215</v>
      </c>
      <c r="B177" t="s">
        <v>23</v>
      </c>
      <c r="C177" t="s">
        <v>24</v>
      </c>
      <c r="D177" t="s">
        <v>40</v>
      </c>
      <c r="E177">
        <v>55</v>
      </c>
      <c r="F177">
        <v>29</v>
      </c>
      <c r="G177">
        <v>1.43</v>
      </c>
      <c r="H177" s="1">
        <v>46473</v>
      </c>
      <c r="I177" s="1">
        <v>46088</v>
      </c>
      <c r="J177">
        <v>78.649999999999991</v>
      </c>
      <c r="K177" t="s">
        <v>35</v>
      </c>
      <c r="L177">
        <v>354</v>
      </c>
      <c r="M177" t="s">
        <v>36</v>
      </c>
    </row>
    <row r="178" spans="1:13" x14ac:dyDescent="0.25">
      <c r="A178" t="s">
        <v>216</v>
      </c>
      <c r="B178" t="s">
        <v>27</v>
      </c>
      <c r="C178" t="s">
        <v>28</v>
      </c>
      <c r="D178" t="s">
        <v>38</v>
      </c>
      <c r="E178">
        <v>144</v>
      </c>
      <c r="F178">
        <v>40</v>
      </c>
      <c r="G178">
        <v>0.92</v>
      </c>
      <c r="H178" s="1">
        <v>46405</v>
      </c>
      <c r="I178" s="1">
        <v>46044</v>
      </c>
      <c r="J178">
        <v>132.48000000000002</v>
      </c>
      <c r="K178" t="s">
        <v>35</v>
      </c>
      <c r="L178">
        <v>286</v>
      </c>
      <c r="M178" t="s">
        <v>36</v>
      </c>
    </row>
    <row r="179" spans="1:13" x14ac:dyDescent="0.25">
      <c r="A179" t="s">
        <v>217</v>
      </c>
      <c r="B179" t="s">
        <v>21</v>
      </c>
      <c r="C179" t="s">
        <v>22</v>
      </c>
      <c r="D179" t="s">
        <v>49</v>
      </c>
      <c r="E179">
        <v>49</v>
      </c>
      <c r="F179">
        <v>72</v>
      </c>
      <c r="G179">
        <v>0.77</v>
      </c>
      <c r="H179" s="1">
        <v>46460</v>
      </c>
      <c r="I179" s="1">
        <v>46009</v>
      </c>
      <c r="J179">
        <v>37.730000000000004</v>
      </c>
      <c r="K179" t="s">
        <v>44</v>
      </c>
      <c r="L179">
        <v>341</v>
      </c>
      <c r="M179" t="s">
        <v>36</v>
      </c>
    </row>
    <row r="180" spans="1:13" x14ac:dyDescent="0.25">
      <c r="A180" t="s">
        <v>218</v>
      </c>
      <c r="B180" t="s">
        <v>27</v>
      </c>
      <c r="C180" t="s">
        <v>28</v>
      </c>
      <c r="D180" t="s">
        <v>49</v>
      </c>
      <c r="E180">
        <v>165</v>
      </c>
      <c r="F180">
        <v>22</v>
      </c>
      <c r="G180">
        <v>0.54</v>
      </c>
      <c r="H180" s="1">
        <v>46150</v>
      </c>
      <c r="I180" s="1">
        <v>46039</v>
      </c>
      <c r="J180">
        <v>89.100000000000009</v>
      </c>
      <c r="K180" t="s">
        <v>35</v>
      </c>
      <c r="L180">
        <v>31</v>
      </c>
      <c r="M180" t="s">
        <v>36</v>
      </c>
    </row>
    <row r="181" spans="1:13" x14ac:dyDescent="0.25">
      <c r="A181" t="s">
        <v>219</v>
      </c>
      <c r="B181" t="s">
        <v>16</v>
      </c>
      <c r="C181" t="s">
        <v>13</v>
      </c>
      <c r="D181" t="s">
        <v>38</v>
      </c>
      <c r="E181">
        <v>31</v>
      </c>
      <c r="F181">
        <v>84</v>
      </c>
      <c r="G181">
        <v>1.75</v>
      </c>
      <c r="H181" s="1">
        <v>46456</v>
      </c>
      <c r="I181" s="1">
        <v>46036</v>
      </c>
      <c r="J181">
        <v>54.25</v>
      </c>
      <c r="K181" t="s">
        <v>44</v>
      </c>
      <c r="L181">
        <v>337</v>
      </c>
      <c r="M181" t="s">
        <v>36</v>
      </c>
    </row>
    <row r="182" spans="1:13" x14ac:dyDescent="0.25">
      <c r="A182" t="s">
        <v>220</v>
      </c>
      <c r="B182" t="s">
        <v>12</v>
      </c>
      <c r="C182" t="s">
        <v>13</v>
      </c>
      <c r="D182" t="s">
        <v>40</v>
      </c>
      <c r="E182">
        <v>33</v>
      </c>
      <c r="F182">
        <v>52</v>
      </c>
      <c r="G182">
        <v>0.91</v>
      </c>
      <c r="H182" s="1">
        <v>46389</v>
      </c>
      <c r="I182" s="1">
        <v>45976</v>
      </c>
      <c r="J182">
        <v>30.03</v>
      </c>
      <c r="K182" t="s">
        <v>44</v>
      </c>
      <c r="L182">
        <v>270</v>
      </c>
      <c r="M182" t="s">
        <v>36</v>
      </c>
    </row>
    <row r="183" spans="1:13" x14ac:dyDescent="0.25">
      <c r="A183" t="s">
        <v>221</v>
      </c>
      <c r="B183" t="s">
        <v>27</v>
      </c>
      <c r="C183" t="s">
        <v>28</v>
      </c>
      <c r="D183" t="s">
        <v>40</v>
      </c>
      <c r="E183">
        <v>44</v>
      </c>
      <c r="F183">
        <v>34</v>
      </c>
      <c r="G183">
        <v>1.2</v>
      </c>
      <c r="H183" s="1">
        <v>46397</v>
      </c>
      <c r="I183" s="1">
        <v>46067</v>
      </c>
      <c r="J183">
        <v>52.8</v>
      </c>
      <c r="K183" t="s">
        <v>35</v>
      </c>
      <c r="L183">
        <v>278</v>
      </c>
      <c r="M183" t="s">
        <v>36</v>
      </c>
    </row>
    <row r="184" spans="1:13" x14ac:dyDescent="0.25">
      <c r="A184" t="s">
        <v>222</v>
      </c>
      <c r="B184" t="s">
        <v>12</v>
      </c>
      <c r="C184" t="s">
        <v>13</v>
      </c>
      <c r="D184" t="s">
        <v>40</v>
      </c>
      <c r="E184">
        <v>174</v>
      </c>
      <c r="F184">
        <v>64</v>
      </c>
      <c r="G184">
        <v>1.72</v>
      </c>
      <c r="H184" s="1">
        <v>46334</v>
      </c>
      <c r="I184" s="1">
        <v>46080</v>
      </c>
      <c r="J184">
        <v>299.27999999999997</v>
      </c>
      <c r="K184" t="s">
        <v>35</v>
      </c>
      <c r="L184">
        <v>215</v>
      </c>
      <c r="M184" t="s">
        <v>36</v>
      </c>
    </row>
    <row r="185" spans="1:13" x14ac:dyDescent="0.25">
      <c r="A185" t="s">
        <v>223</v>
      </c>
      <c r="B185" t="s">
        <v>12</v>
      </c>
      <c r="C185" t="s">
        <v>13</v>
      </c>
      <c r="D185" t="s">
        <v>40</v>
      </c>
      <c r="E185">
        <v>70</v>
      </c>
      <c r="F185">
        <v>73</v>
      </c>
      <c r="G185">
        <v>1.96</v>
      </c>
      <c r="H185" s="1">
        <v>46419</v>
      </c>
      <c r="I185" s="1">
        <v>46068</v>
      </c>
      <c r="J185">
        <v>137.19999999999999</v>
      </c>
      <c r="K185" t="s">
        <v>44</v>
      </c>
      <c r="L185">
        <v>300</v>
      </c>
      <c r="M185" t="s">
        <v>36</v>
      </c>
    </row>
    <row r="186" spans="1:13" x14ac:dyDescent="0.25">
      <c r="A186" t="s">
        <v>224</v>
      </c>
      <c r="B186" t="s">
        <v>23</v>
      </c>
      <c r="C186" t="s">
        <v>24</v>
      </c>
      <c r="D186" t="s">
        <v>49</v>
      </c>
      <c r="E186">
        <v>112</v>
      </c>
      <c r="F186">
        <v>99</v>
      </c>
      <c r="G186">
        <v>1.57</v>
      </c>
      <c r="H186" s="1">
        <v>46297</v>
      </c>
      <c r="I186" s="1">
        <v>46090</v>
      </c>
      <c r="J186">
        <v>175.84</v>
      </c>
      <c r="K186" t="s">
        <v>35</v>
      </c>
      <c r="L186">
        <v>178</v>
      </c>
      <c r="M186" t="s">
        <v>36</v>
      </c>
    </row>
    <row r="187" spans="1:13" x14ac:dyDescent="0.25">
      <c r="A187" t="s">
        <v>225</v>
      </c>
      <c r="B187" t="s">
        <v>23</v>
      </c>
      <c r="C187" t="s">
        <v>24</v>
      </c>
      <c r="D187" t="s">
        <v>34</v>
      </c>
      <c r="E187">
        <v>153</v>
      </c>
      <c r="F187">
        <v>24</v>
      </c>
      <c r="G187">
        <v>1.29</v>
      </c>
      <c r="H187" s="1">
        <v>46326</v>
      </c>
      <c r="I187" s="1">
        <v>46047</v>
      </c>
      <c r="J187">
        <v>197.37</v>
      </c>
      <c r="K187" t="s">
        <v>35</v>
      </c>
      <c r="L187">
        <v>207</v>
      </c>
      <c r="M187" t="s">
        <v>36</v>
      </c>
    </row>
    <row r="188" spans="1:13" x14ac:dyDescent="0.25">
      <c r="A188" t="s">
        <v>226</v>
      </c>
      <c r="B188" t="s">
        <v>17</v>
      </c>
      <c r="C188" t="s">
        <v>18</v>
      </c>
      <c r="D188" t="s">
        <v>34</v>
      </c>
      <c r="E188">
        <v>125</v>
      </c>
      <c r="F188">
        <v>92</v>
      </c>
      <c r="G188">
        <v>1.1200000000000001</v>
      </c>
      <c r="H188" s="1">
        <v>46232</v>
      </c>
      <c r="I188" s="1">
        <v>46034</v>
      </c>
      <c r="J188">
        <v>140</v>
      </c>
      <c r="K188" t="s">
        <v>35</v>
      </c>
      <c r="L188">
        <v>113</v>
      </c>
      <c r="M188" t="s">
        <v>36</v>
      </c>
    </row>
    <row r="189" spans="1:13" x14ac:dyDescent="0.25">
      <c r="A189" t="s">
        <v>227</v>
      </c>
      <c r="B189" t="s">
        <v>19</v>
      </c>
      <c r="C189" t="s">
        <v>20</v>
      </c>
      <c r="D189" t="s">
        <v>49</v>
      </c>
      <c r="E189">
        <v>69</v>
      </c>
      <c r="F189">
        <v>82</v>
      </c>
      <c r="G189">
        <v>0.61</v>
      </c>
      <c r="H189" s="1">
        <v>46412</v>
      </c>
      <c r="I189" s="1">
        <v>45994</v>
      </c>
      <c r="J189">
        <v>42.089999999999996</v>
      </c>
      <c r="K189" t="s">
        <v>44</v>
      </c>
      <c r="L189">
        <v>293</v>
      </c>
      <c r="M189" t="s">
        <v>36</v>
      </c>
    </row>
    <row r="190" spans="1:13" x14ac:dyDescent="0.25">
      <c r="A190" t="s">
        <v>228</v>
      </c>
      <c r="B190" t="s">
        <v>27</v>
      </c>
      <c r="C190" t="s">
        <v>28</v>
      </c>
      <c r="D190" t="s">
        <v>34</v>
      </c>
      <c r="E190">
        <v>137</v>
      </c>
      <c r="F190">
        <v>67</v>
      </c>
      <c r="G190">
        <v>1.22</v>
      </c>
      <c r="H190" s="1">
        <v>46248</v>
      </c>
      <c r="I190" s="1">
        <v>45969</v>
      </c>
      <c r="J190">
        <v>167.14</v>
      </c>
      <c r="K190" t="s">
        <v>35</v>
      </c>
      <c r="L190">
        <v>129</v>
      </c>
      <c r="M190" t="s">
        <v>36</v>
      </c>
    </row>
    <row r="191" spans="1:13" x14ac:dyDescent="0.25">
      <c r="A191" t="s">
        <v>229</v>
      </c>
      <c r="B191" t="s">
        <v>14</v>
      </c>
      <c r="C191" t="s">
        <v>15</v>
      </c>
      <c r="D191" t="s">
        <v>38</v>
      </c>
      <c r="E191">
        <v>166</v>
      </c>
      <c r="F191">
        <v>74</v>
      </c>
      <c r="G191">
        <v>0.98</v>
      </c>
      <c r="H191" s="1">
        <v>46180</v>
      </c>
      <c r="I191" s="1">
        <v>46072</v>
      </c>
      <c r="J191">
        <v>162.68</v>
      </c>
      <c r="K191" t="s">
        <v>35</v>
      </c>
      <c r="L191">
        <v>61</v>
      </c>
      <c r="M191" t="s">
        <v>36</v>
      </c>
    </row>
    <row r="192" spans="1:13" x14ac:dyDescent="0.25">
      <c r="A192" t="s">
        <v>230</v>
      </c>
      <c r="B192" t="s">
        <v>12</v>
      </c>
      <c r="C192" t="s">
        <v>13</v>
      </c>
      <c r="D192" t="s">
        <v>34</v>
      </c>
      <c r="E192">
        <v>59</v>
      </c>
      <c r="F192">
        <v>41</v>
      </c>
      <c r="G192">
        <v>1.4</v>
      </c>
      <c r="H192" s="1">
        <v>46300</v>
      </c>
      <c r="I192" s="1">
        <v>46105</v>
      </c>
      <c r="J192">
        <v>82.6</v>
      </c>
      <c r="K192" t="s">
        <v>35</v>
      </c>
      <c r="L192">
        <v>181</v>
      </c>
      <c r="M192" t="s">
        <v>36</v>
      </c>
    </row>
    <row r="193" spans="1:13" x14ac:dyDescent="0.25">
      <c r="A193" t="s">
        <v>231</v>
      </c>
      <c r="B193" t="s">
        <v>17</v>
      </c>
      <c r="C193" t="s">
        <v>18</v>
      </c>
      <c r="D193" t="s">
        <v>40</v>
      </c>
      <c r="E193">
        <v>21</v>
      </c>
      <c r="F193">
        <v>57</v>
      </c>
      <c r="G193">
        <v>1.36</v>
      </c>
      <c r="H193" s="1">
        <v>46279</v>
      </c>
      <c r="I193" s="1">
        <v>45995</v>
      </c>
      <c r="J193">
        <v>28.560000000000002</v>
      </c>
      <c r="K193" t="s">
        <v>44</v>
      </c>
      <c r="L193">
        <v>160</v>
      </c>
      <c r="M193" t="s">
        <v>36</v>
      </c>
    </row>
    <row r="194" spans="1:13" x14ac:dyDescent="0.25">
      <c r="A194" t="s">
        <v>232</v>
      </c>
      <c r="B194" t="s">
        <v>16</v>
      </c>
      <c r="C194" t="s">
        <v>13</v>
      </c>
      <c r="D194" t="s">
        <v>40</v>
      </c>
      <c r="E194">
        <v>126</v>
      </c>
      <c r="F194">
        <v>68</v>
      </c>
      <c r="G194">
        <v>1.7</v>
      </c>
      <c r="H194" s="1">
        <v>46190</v>
      </c>
      <c r="I194" s="1">
        <v>45993</v>
      </c>
      <c r="J194">
        <v>214.2</v>
      </c>
      <c r="K194" t="s">
        <v>35</v>
      </c>
      <c r="L194">
        <v>71</v>
      </c>
      <c r="M194" t="s">
        <v>36</v>
      </c>
    </row>
    <row r="195" spans="1:13" x14ac:dyDescent="0.25">
      <c r="A195" t="s">
        <v>233</v>
      </c>
      <c r="B195" t="s">
        <v>23</v>
      </c>
      <c r="C195" t="s">
        <v>24</v>
      </c>
      <c r="D195" t="s">
        <v>38</v>
      </c>
      <c r="E195">
        <v>50</v>
      </c>
      <c r="F195">
        <v>20</v>
      </c>
      <c r="G195">
        <v>0.51</v>
      </c>
      <c r="H195" s="1">
        <v>46371</v>
      </c>
      <c r="I195" s="1">
        <v>46062</v>
      </c>
      <c r="J195">
        <v>25.5</v>
      </c>
      <c r="K195" t="s">
        <v>35</v>
      </c>
      <c r="L195">
        <v>252</v>
      </c>
      <c r="M195" t="s">
        <v>36</v>
      </c>
    </row>
    <row r="196" spans="1:13" x14ac:dyDescent="0.25">
      <c r="A196" t="s">
        <v>234</v>
      </c>
      <c r="B196" t="s">
        <v>19</v>
      </c>
      <c r="C196" t="s">
        <v>20</v>
      </c>
      <c r="D196" t="s">
        <v>34</v>
      </c>
      <c r="E196">
        <v>95</v>
      </c>
      <c r="F196">
        <v>87</v>
      </c>
      <c r="G196">
        <v>1.21</v>
      </c>
      <c r="H196" s="1">
        <v>46150</v>
      </c>
      <c r="I196" s="1">
        <v>45948</v>
      </c>
      <c r="J196">
        <v>114.95</v>
      </c>
      <c r="K196" t="s">
        <v>35</v>
      </c>
      <c r="L196">
        <v>31</v>
      </c>
      <c r="M196" t="s">
        <v>36</v>
      </c>
    </row>
    <row r="197" spans="1:13" x14ac:dyDescent="0.25">
      <c r="A197" t="s">
        <v>235</v>
      </c>
      <c r="B197" t="s">
        <v>27</v>
      </c>
      <c r="C197" t="s">
        <v>28</v>
      </c>
      <c r="D197" t="s">
        <v>34</v>
      </c>
      <c r="E197">
        <v>198</v>
      </c>
      <c r="F197">
        <v>85</v>
      </c>
      <c r="G197">
        <v>0.5</v>
      </c>
      <c r="H197" s="1">
        <v>46438</v>
      </c>
      <c r="I197" s="1">
        <v>45945</v>
      </c>
      <c r="J197">
        <v>99</v>
      </c>
      <c r="K197" t="s">
        <v>35</v>
      </c>
      <c r="L197">
        <v>319</v>
      </c>
      <c r="M197" t="s">
        <v>36</v>
      </c>
    </row>
    <row r="198" spans="1:13" x14ac:dyDescent="0.25">
      <c r="A198" t="s">
        <v>236</v>
      </c>
      <c r="B198" t="s">
        <v>12</v>
      </c>
      <c r="C198" t="s">
        <v>13</v>
      </c>
      <c r="D198" t="s">
        <v>34</v>
      </c>
      <c r="E198">
        <v>189</v>
      </c>
      <c r="F198">
        <v>84</v>
      </c>
      <c r="G198">
        <v>1.01</v>
      </c>
      <c r="H198" s="1">
        <v>46175</v>
      </c>
      <c r="I198" s="1">
        <v>45964</v>
      </c>
      <c r="J198">
        <v>190.89000000000001</v>
      </c>
      <c r="K198" t="s">
        <v>35</v>
      </c>
      <c r="L198">
        <v>56</v>
      </c>
      <c r="M198" t="s">
        <v>36</v>
      </c>
    </row>
    <row r="199" spans="1:13" x14ac:dyDescent="0.25">
      <c r="A199" t="s">
        <v>237</v>
      </c>
      <c r="B199" t="s">
        <v>12</v>
      </c>
      <c r="C199" t="s">
        <v>13</v>
      </c>
      <c r="D199" t="s">
        <v>40</v>
      </c>
      <c r="E199">
        <v>10</v>
      </c>
      <c r="F199">
        <v>65</v>
      </c>
      <c r="G199">
        <v>1.83</v>
      </c>
      <c r="H199" s="1">
        <v>46155</v>
      </c>
      <c r="I199" s="1">
        <v>45980</v>
      </c>
      <c r="J199">
        <v>18.3</v>
      </c>
      <c r="K199" t="s">
        <v>44</v>
      </c>
      <c r="L199">
        <v>36</v>
      </c>
      <c r="M199" t="s">
        <v>36</v>
      </c>
    </row>
    <row r="200" spans="1:13" x14ac:dyDescent="0.25">
      <c r="A200" t="s">
        <v>238</v>
      </c>
      <c r="B200" t="s">
        <v>21</v>
      </c>
      <c r="C200" t="s">
        <v>22</v>
      </c>
      <c r="D200" t="s">
        <v>49</v>
      </c>
      <c r="E200">
        <v>48</v>
      </c>
      <c r="F200">
        <v>39</v>
      </c>
      <c r="G200">
        <v>0.78</v>
      </c>
      <c r="H200" s="1">
        <v>46197</v>
      </c>
      <c r="I200" s="1">
        <v>46010</v>
      </c>
      <c r="J200">
        <v>37.44</v>
      </c>
      <c r="K200" t="s">
        <v>35</v>
      </c>
      <c r="L200">
        <v>78</v>
      </c>
      <c r="M200" t="s">
        <v>36</v>
      </c>
    </row>
    <row r="201" spans="1:13" x14ac:dyDescent="0.25">
      <c r="A201" t="s">
        <v>239</v>
      </c>
      <c r="B201" t="s">
        <v>25</v>
      </c>
      <c r="C201" t="s">
        <v>15</v>
      </c>
      <c r="D201" t="s">
        <v>38</v>
      </c>
      <c r="E201">
        <v>143</v>
      </c>
      <c r="F201">
        <v>77</v>
      </c>
      <c r="G201">
        <v>0.81</v>
      </c>
      <c r="H201" s="1">
        <v>46203</v>
      </c>
      <c r="I201" s="1">
        <v>46101</v>
      </c>
      <c r="J201">
        <v>115.83000000000001</v>
      </c>
      <c r="K201" t="s">
        <v>35</v>
      </c>
      <c r="L201">
        <v>84</v>
      </c>
      <c r="M201" t="s">
        <v>36</v>
      </c>
    </row>
    <row r="202" spans="1:13" x14ac:dyDescent="0.25">
      <c r="A202" t="s">
        <v>240</v>
      </c>
      <c r="B202" t="s">
        <v>21</v>
      </c>
      <c r="C202" t="s">
        <v>22</v>
      </c>
      <c r="D202" t="s">
        <v>49</v>
      </c>
      <c r="E202">
        <v>174</v>
      </c>
      <c r="F202">
        <v>29</v>
      </c>
      <c r="G202">
        <v>1.46</v>
      </c>
      <c r="H202" s="1">
        <v>46467</v>
      </c>
      <c r="I202" s="1">
        <v>46048</v>
      </c>
      <c r="J202">
        <v>254.04</v>
      </c>
      <c r="K202" t="s">
        <v>35</v>
      </c>
      <c r="L202">
        <v>348</v>
      </c>
      <c r="M202" t="s">
        <v>36</v>
      </c>
    </row>
    <row r="203" spans="1:13" x14ac:dyDescent="0.25">
      <c r="A203" t="s">
        <v>241</v>
      </c>
      <c r="B203" t="s">
        <v>16</v>
      </c>
      <c r="C203" t="s">
        <v>13</v>
      </c>
      <c r="D203" t="s">
        <v>38</v>
      </c>
      <c r="E203">
        <v>19</v>
      </c>
      <c r="F203">
        <v>98</v>
      </c>
      <c r="G203">
        <v>0.54</v>
      </c>
      <c r="H203" s="1">
        <v>46389</v>
      </c>
      <c r="I203" s="1">
        <v>45944</v>
      </c>
      <c r="J203">
        <v>10.260000000000002</v>
      </c>
      <c r="K203" t="s">
        <v>44</v>
      </c>
      <c r="L203">
        <v>270</v>
      </c>
      <c r="M203" t="s">
        <v>36</v>
      </c>
    </row>
    <row r="204" spans="1:13" x14ac:dyDescent="0.25">
      <c r="A204" t="s">
        <v>242</v>
      </c>
      <c r="B204" t="s">
        <v>12</v>
      </c>
      <c r="C204" t="s">
        <v>13</v>
      </c>
      <c r="D204" t="s">
        <v>34</v>
      </c>
      <c r="E204">
        <v>71</v>
      </c>
      <c r="F204">
        <v>66</v>
      </c>
      <c r="G204">
        <v>1.44</v>
      </c>
      <c r="H204" s="1">
        <v>46181</v>
      </c>
      <c r="I204" s="1">
        <v>45972</v>
      </c>
      <c r="J204">
        <v>102.24</v>
      </c>
      <c r="K204" t="s">
        <v>35</v>
      </c>
      <c r="L204">
        <v>62</v>
      </c>
      <c r="M204" t="s">
        <v>36</v>
      </c>
    </row>
    <row r="205" spans="1:13" x14ac:dyDescent="0.25">
      <c r="A205" t="s">
        <v>243</v>
      </c>
      <c r="B205" t="s">
        <v>14</v>
      </c>
      <c r="C205" t="s">
        <v>15</v>
      </c>
      <c r="D205" t="s">
        <v>34</v>
      </c>
      <c r="E205">
        <v>144</v>
      </c>
      <c r="F205">
        <v>81</v>
      </c>
      <c r="G205">
        <v>0.61</v>
      </c>
      <c r="H205" s="1">
        <v>46462</v>
      </c>
      <c r="I205" s="1">
        <v>46089</v>
      </c>
      <c r="J205">
        <v>87.84</v>
      </c>
      <c r="K205" t="s">
        <v>35</v>
      </c>
      <c r="L205">
        <v>343</v>
      </c>
      <c r="M205" t="s">
        <v>36</v>
      </c>
    </row>
    <row r="206" spans="1:13" x14ac:dyDescent="0.25">
      <c r="A206" t="s">
        <v>244</v>
      </c>
      <c r="B206" t="s">
        <v>14</v>
      </c>
      <c r="C206" t="s">
        <v>15</v>
      </c>
      <c r="D206" t="s">
        <v>38</v>
      </c>
      <c r="E206">
        <v>32</v>
      </c>
      <c r="F206">
        <v>42</v>
      </c>
      <c r="G206">
        <v>0.98</v>
      </c>
      <c r="H206" s="1">
        <v>46206</v>
      </c>
      <c r="I206" s="1">
        <v>46019</v>
      </c>
      <c r="J206">
        <v>31.36</v>
      </c>
      <c r="K206" t="s">
        <v>44</v>
      </c>
      <c r="L206">
        <v>87</v>
      </c>
      <c r="M206" t="s">
        <v>36</v>
      </c>
    </row>
    <row r="207" spans="1:13" x14ac:dyDescent="0.25">
      <c r="A207" t="s">
        <v>245</v>
      </c>
      <c r="B207" t="s">
        <v>17</v>
      </c>
      <c r="C207" t="s">
        <v>18</v>
      </c>
      <c r="D207" t="s">
        <v>34</v>
      </c>
      <c r="E207">
        <v>115</v>
      </c>
      <c r="F207">
        <v>99</v>
      </c>
      <c r="G207">
        <v>1.24</v>
      </c>
      <c r="H207" s="1">
        <v>46431</v>
      </c>
      <c r="I207" s="1">
        <v>46017</v>
      </c>
      <c r="J207">
        <v>142.6</v>
      </c>
      <c r="K207" t="s">
        <v>35</v>
      </c>
      <c r="L207">
        <v>312</v>
      </c>
      <c r="M207" t="s">
        <v>36</v>
      </c>
    </row>
    <row r="208" spans="1:13" x14ac:dyDescent="0.25">
      <c r="A208" t="s">
        <v>246</v>
      </c>
      <c r="B208" t="s">
        <v>14</v>
      </c>
      <c r="C208" t="s">
        <v>15</v>
      </c>
      <c r="D208" t="s">
        <v>34</v>
      </c>
      <c r="E208">
        <v>18</v>
      </c>
      <c r="F208">
        <v>96</v>
      </c>
      <c r="G208">
        <v>1.28</v>
      </c>
      <c r="H208" s="1">
        <v>46301</v>
      </c>
      <c r="I208" s="1">
        <v>45954</v>
      </c>
      <c r="J208">
        <v>23.04</v>
      </c>
      <c r="K208" t="s">
        <v>44</v>
      </c>
      <c r="L208">
        <v>182</v>
      </c>
      <c r="M208" t="s">
        <v>36</v>
      </c>
    </row>
    <row r="209" spans="1:13" x14ac:dyDescent="0.25">
      <c r="A209" t="s">
        <v>247</v>
      </c>
      <c r="B209" t="s">
        <v>25</v>
      </c>
      <c r="C209" t="s">
        <v>15</v>
      </c>
      <c r="D209" t="s">
        <v>34</v>
      </c>
      <c r="E209">
        <v>153</v>
      </c>
      <c r="F209">
        <v>45</v>
      </c>
      <c r="G209">
        <v>1.18</v>
      </c>
      <c r="H209" s="1">
        <v>46449</v>
      </c>
      <c r="I209" s="1">
        <v>46019</v>
      </c>
      <c r="J209">
        <v>180.54</v>
      </c>
      <c r="K209" t="s">
        <v>35</v>
      </c>
      <c r="L209">
        <v>330</v>
      </c>
      <c r="M209" t="s">
        <v>36</v>
      </c>
    </row>
    <row r="210" spans="1:13" x14ac:dyDescent="0.25">
      <c r="A210" t="s">
        <v>248</v>
      </c>
      <c r="B210" t="s">
        <v>27</v>
      </c>
      <c r="C210" t="s">
        <v>28</v>
      </c>
      <c r="D210" t="s">
        <v>49</v>
      </c>
      <c r="E210">
        <v>34</v>
      </c>
      <c r="F210">
        <v>85</v>
      </c>
      <c r="G210">
        <v>1.33</v>
      </c>
      <c r="H210" s="1">
        <v>46284</v>
      </c>
      <c r="I210" s="1">
        <v>46040</v>
      </c>
      <c r="J210">
        <v>45.22</v>
      </c>
      <c r="K210" t="s">
        <v>44</v>
      </c>
      <c r="L210">
        <v>165</v>
      </c>
      <c r="M210" t="s">
        <v>36</v>
      </c>
    </row>
    <row r="211" spans="1:13" x14ac:dyDescent="0.25">
      <c r="A211" t="s">
        <v>249</v>
      </c>
      <c r="B211" t="s">
        <v>23</v>
      </c>
      <c r="C211" t="s">
        <v>24</v>
      </c>
      <c r="D211" t="s">
        <v>49</v>
      </c>
      <c r="E211">
        <v>157</v>
      </c>
      <c r="F211">
        <v>23</v>
      </c>
      <c r="G211">
        <v>0.66</v>
      </c>
      <c r="H211" s="1">
        <v>46242</v>
      </c>
      <c r="I211" s="1">
        <v>45998</v>
      </c>
      <c r="J211">
        <v>103.62</v>
      </c>
      <c r="K211" t="s">
        <v>35</v>
      </c>
      <c r="L211">
        <v>123</v>
      </c>
      <c r="M211" t="s">
        <v>36</v>
      </c>
    </row>
    <row r="212" spans="1:13" x14ac:dyDescent="0.25">
      <c r="A212" t="s">
        <v>250</v>
      </c>
      <c r="B212" t="s">
        <v>23</v>
      </c>
      <c r="C212" t="s">
        <v>24</v>
      </c>
      <c r="D212" t="s">
        <v>40</v>
      </c>
      <c r="E212">
        <v>50</v>
      </c>
      <c r="F212">
        <v>61</v>
      </c>
      <c r="G212">
        <v>1.43</v>
      </c>
      <c r="H212" s="1">
        <v>46169</v>
      </c>
      <c r="I212" s="1">
        <v>46030</v>
      </c>
      <c r="J212">
        <v>71.5</v>
      </c>
      <c r="K212" t="s">
        <v>44</v>
      </c>
      <c r="L212">
        <v>50</v>
      </c>
      <c r="M212" t="s">
        <v>36</v>
      </c>
    </row>
    <row r="213" spans="1:13" x14ac:dyDescent="0.25">
      <c r="A213" t="s">
        <v>251</v>
      </c>
      <c r="B213" t="s">
        <v>23</v>
      </c>
      <c r="C213" t="s">
        <v>24</v>
      </c>
      <c r="D213" t="s">
        <v>38</v>
      </c>
      <c r="E213">
        <v>30</v>
      </c>
      <c r="F213">
        <v>52</v>
      </c>
      <c r="G213">
        <v>1.69</v>
      </c>
      <c r="H213" s="1">
        <v>46303</v>
      </c>
      <c r="I213" s="1">
        <v>46028</v>
      </c>
      <c r="J213">
        <v>50.699999999999996</v>
      </c>
      <c r="K213" t="s">
        <v>44</v>
      </c>
      <c r="L213">
        <v>184</v>
      </c>
      <c r="M213" t="s">
        <v>36</v>
      </c>
    </row>
    <row r="214" spans="1:13" x14ac:dyDescent="0.25">
      <c r="A214" t="s">
        <v>252</v>
      </c>
      <c r="B214" t="s">
        <v>17</v>
      </c>
      <c r="C214" t="s">
        <v>18</v>
      </c>
      <c r="D214" t="s">
        <v>38</v>
      </c>
      <c r="E214">
        <v>115</v>
      </c>
      <c r="F214">
        <v>60</v>
      </c>
      <c r="G214">
        <v>1.1499999999999999</v>
      </c>
      <c r="H214" s="1">
        <v>46437</v>
      </c>
      <c r="I214" s="1">
        <v>46084</v>
      </c>
      <c r="J214">
        <v>132.25</v>
      </c>
      <c r="K214" t="s">
        <v>35</v>
      </c>
      <c r="L214">
        <v>318</v>
      </c>
      <c r="M214" t="s">
        <v>36</v>
      </c>
    </row>
    <row r="215" spans="1:13" x14ac:dyDescent="0.25">
      <c r="A215" t="s">
        <v>253</v>
      </c>
      <c r="B215" t="s">
        <v>26</v>
      </c>
      <c r="C215" t="s">
        <v>22</v>
      </c>
      <c r="D215" t="s">
        <v>38</v>
      </c>
      <c r="E215">
        <v>23</v>
      </c>
      <c r="F215">
        <v>52</v>
      </c>
      <c r="G215">
        <v>1.64</v>
      </c>
      <c r="H215" s="1">
        <v>46206</v>
      </c>
      <c r="I215" s="1">
        <v>45973</v>
      </c>
      <c r="J215">
        <v>37.72</v>
      </c>
      <c r="K215" t="s">
        <v>44</v>
      </c>
      <c r="L215">
        <v>87</v>
      </c>
      <c r="M215" t="s">
        <v>36</v>
      </c>
    </row>
    <row r="216" spans="1:13" x14ac:dyDescent="0.25">
      <c r="A216" t="s">
        <v>254</v>
      </c>
      <c r="B216" t="s">
        <v>26</v>
      </c>
      <c r="C216" t="s">
        <v>22</v>
      </c>
      <c r="D216" t="s">
        <v>49</v>
      </c>
      <c r="E216">
        <v>18</v>
      </c>
      <c r="F216">
        <v>72</v>
      </c>
      <c r="G216">
        <v>1.48</v>
      </c>
      <c r="H216" s="1">
        <v>46375</v>
      </c>
      <c r="I216" s="1">
        <v>45961</v>
      </c>
      <c r="J216">
        <v>26.64</v>
      </c>
      <c r="K216" t="s">
        <v>44</v>
      </c>
      <c r="L216">
        <v>256</v>
      </c>
      <c r="M216" t="s">
        <v>36</v>
      </c>
    </row>
    <row r="217" spans="1:13" x14ac:dyDescent="0.25">
      <c r="A217" t="s">
        <v>255</v>
      </c>
      <c r="B217" t="s">
        <v>17</v>
      </c>
      <c r="C217" t="s">
        <v>18</v>
      </c>
      <c r="D217" t="s">
        <v>34</v>
      </c>
      <c r="E217">
        <v>168</v>
      </c>
      <c r="F217">
        <v>81</v>
      </c>
      <c r="G217">
        <v>1.95</v>
      </c>
      <c r="H217" s="1">
        <v>46230</v>
      </c>
      <c r="I217" s="1">
        <v>45953</v>
      </c>
      <c r="J217">
        <v>327.59999999999997</v>
      </c>
      <c r="K217" t="s">
        <v>35</v>
      </c>
      <c r="L217">
        <v>111</v>
      </c>
      <c r="M217" t="s">
        <v>36</v>
      </c>
    </row>
    <row r="218" spans="1:13" x14ac:dyDescent="0.25">
      <c r="A218" t="s">
        <v>256</v>
      </c>
      <c r="B218" t="s">
        <v>17</v>
      </c>
      <c r="C218" t="s">
        <v>18</v>
      </c>
      <c r="D218" t="s">
        <v>40</v>
      </c>
      <c r="E218">
        <v>56</v>
      </c>
      <c r="F218">
        <v>47</v>
      </c>
      <c r="G218">
        <v>1.5</v>
      </c>
      <c r="H218" s="1">
        <v>46388</v>
      </c>
      <c r="I218" s="1">
        <v>46046</v>
      </c>
      <c r="J218">
        <v>84</v>
      </c>
      <c r="K218" t="s">
        <v>35</v>
      </c>
      <c r="L218">
        <v>269</v>
      </c>
      <c r="M218" t="s">
        <v>36</v>
      </c>
    </row>
    <row r="219" spans="1:13" x14ac:dyDescent="0.25">
      <c r="A219" t="s">
        <v>257</v>
      </c>
      <c r="B219" t="s">
        <v>12</v>
      </c>
      <c r="C219" t="s">
        <v>13</v>
      </c>
      <c r="D219" t="s">
        <v>40</v>
      </c>
      <c r="E219">
        <v>129</v>
      </c>
      <c r="F219">
        <v>67</v>
      </c>
      <c r="G219">
        <v>0.89</v>
      </c>
      <c r="H219" s="1">
        <v>46475</v>
      </c>
      <c r="I219" s="1">
        <v>45986</v>
      </c>
      <c r="J219">
        <v>114.81</v>
      </c>
      <c r="K219" t="s">
        <v>35</v>
      </c>
      <c r="L219">
        <v>356</v>
      </c>
      <c r="M219" t="s">
        <v>36</v>
      </c>
    </row>
    <row r="220" spans="1:13" x14ac:dyDescent="0.25">
      <c r="A220" t="s">
        <v>258</v>
      </c>
      <c r="B220" t="s">
        <v>17</v>
      </c>
      <c r="C220" t="s">
        <v>18</v>
      </c>
      <c r="D220" t="s">
        <v>49</v>
      </c>
      <c r="E220">
        <v>158</v>
      </c>
      <c r="F220">
        <v>30</v>
      </c>
      <c r="G220">
        <v>1.55</v>
      </c>
      <c r="H220" s="1">
        <v>46319</v>
      </c>
      <c r="I220" s="1">
        <v>45985</v>
      </c>
      <c r="J220">
        <v>244.9</v>
      </c>
      <c r="K220" t="s">
        <v>35</v>
      </c>
      <c r="L220">
        <v>200</v>
      </c>
      <c r="M220" t="s">
        <v>36</v>
      </c>
    </row>
    <row r="221" spans="1:13" x14ac:dyDescent="0.25">
      <c r="A221" t="s">
        <v>259</v>
      </c>
      <c r="B221" t="s">
        <v>27</v>
      </c>
      <c r="C221" t="s">
        <v>28</v>
      </c>
      <c r="D221" t="s">
        <v>38</v>
      </c>
      <c r="E221">
        <v>88</v>
      </c>
      <c r="F221">
        <v>34</v>
      </c>
      <c r="G221">
        <v>0.94</v>
      </c>
      <c r="H221" s="1">
        <v>46181</v>
      </c>
      <c r="I221" s="1">
        <v>46014</v>
      </c>
      <c r="J221">
        <v>82.72</v>
      </c>
      <c r="K221" t="s">
        <v>35</v>
      </c>
      <c r="L221">
        <v>62</v>
      </c>
      <c r="M221" t="s">
        <v>36</v>
      </c>
    </row>
    <row r="222" spans="1:13" x14ac:dyDescent="0.25">
      <c r="A222" t="s">
        <v>260</v>
      </c>
      <c r="B222" t="s">
        <v>26</v>
      </c>
      <c r="C222" t="s">
        <v>22</v>
      </c>
      <c r="D222" t="s">
        <v>49</v>
      </c>
      <c r="E222">
        <v>151</v>
      </c>
      <c r="F222">
        <v>66</v>
      </c>
      <c r="G222">
        <v>1.1200000000000001</v>
      </c>
      <c r="H222" s="1">
        <v>46240</v>
      </c>
      <c r="I222" s="1">
        <v>46039</v>
      </c>
      <c r="J222">
        <v>169.12</v>
      </c>
      <c r="K222" t="s">
        <v>35</v>
      </c>
      <c r="L222">
        <v>121</v>
      </c>
      <c r="M222" t="s">
        <v>36</v>
      </c>
    </row>
    <row r="223" spans="1:13" x14ac:dyDescent="0.25">
      <c r="A223" t="s">
        <v>261</v>
      </c>
      <c r="B223" t="s">
        <v>19</v>
      </c>
      <c r="C223" t="s">
        <v>20</v>
      </c>
      <c r="D223" t="s">
        <v>34</v>
      </c>
      <c r="E223">
        <v>86</v>
      </c>
      <c r="F223">
        <v>65</v>
      </c>
      <c r="G223">
        <v>1.91</v>
      </c>
      <c r="H223" s="1">
        <v>46474</v>
      </c>
      <c r="I223" s="1">
        <v>46114</v>
      </c>
      <c r="J223">
        <v>164.26</v>
      </c>
      <c r="K223" t="s">
        <v>35</v>
      </c>
      <c r="L223">
        <v>355</v>
      </c>
      <c r="M223" t="s">
        <v>36</v>
      </c>
    </row>
    <row r="224" spans="1:13" x14ac:dyDescent="0.25">
      <c r="A224" t="s">
        <v>262</v>
      </c>
      <c r="B224" t="s">
        <v>14</v>
      </c>
      <c r="C224" t="s">
        <v>15</v>
      </c>
      <c r="D224" t="s">
        <v>40</v>
      </c>
      <c r="E224">
        <v>125</v>
      </c>
      <c r="F224">
        <v>70</v>
      </c>
      <c r="G224">
        <v>0.7</v>
      </c>
      <c r="H224" s="1">
        <v>46464</v>
      </c>
      <c r="I224" s="1">
        <v>46030</v>
      </c>
      <c r="J224">
        <v>87.5</v>
      </c>
      <c r="K224" t="s">
        <v>35</v>
      </c>
      <c r="L224">
        <v>345</v>
      </c>
      <c r="M224" t="s">
        <v>36</v>
      </c>
    </row>
    <row r="225" spans="1:13" x14ac:dyDescent="0.25">
      <c r="A225" t="s">
        <v>263</v>
      </c>
      <c r="B225" t="s">
        <v>14</v>
      </c>
      <c r="C225" t="s">
        <v>15</v>
      </c>
      <c r="D225" t="s">
        <v>40</v>
      </c>
      <c r="E225">
        <v>86</v>
      </c>
      <c r="F225">
        <v>30</v>
      </c>
      <c r="G225">
        <v>0.99</v>
      </c>
      <c r="H225" s="1">
        <v>46279</v>
      </c>
      <c r="I225" s="1">
        <v>45976</v>
      </c>
      <c r="J225">
        <v>85.14</v>
      </c>
      <c r="K225" t="s">
        <v>35</v>
      </c>
      <c r="L225">
        <v>160</v>
      </c>
      <c r="M225" t="s">
        <v>36</v>
      </c>
    </row>
    <row r="226" spans="1:13" x14ac:dyDescent="0.25">
      <c r="A226" t="s">
        <v>264</v>
      </c>
      <c r="B226" t="s">
        <v>16</v>
      </c>
      <c r="C226" t="s">
        <v>13</v>
      </c>
      <c r="D226" t="s">
        <v>34</v>
      </c>
      <c r="E226">
        <v>172</v>
      </c>
      <c r="F226">
        <v>77</v>
      </c>
      <c r="G226">
        <v>2</v>
      </c>
      <c r="H226" s="1">
        <v>46421</v>
      </c>
      <c r="I226" s="1">
        <v>46071</v>
      </c>
      <c r="J226">
        <v>344</v>
      </c>
      <c r="K226" t="s">
        <v>35</v>
      </c>
      <c r="L226">
        <v>302</v>
      </c>
      <c r="M226" t="s">
        <v>36</v>
      </c>
    </row>
    <row r="227" spans="1:13" x14ac:dyDescent="0.25">
      <c r="A227" t="s">
        <v>265</v>
      </c>
      <c r="B227" t="s">
        <v>25</v>
      </c>
      <c r="C227" t="s">
        <v>15</v>
      </c>
      <c r="D227" t="s">
        <v>34</v>
      </c>
      <c r="E227">
        <v>33</v>
      </c>
      <c r="F227">
        <v>40</v>
      </c>
      <c r="G227">
        <v>1.57</v>
      </c>
      <c r="H227" s="1">
        <v>46431</v>
      </c>
      <c r="I227" s="1">
        <v>46093</v>
      </c>
      <c r="J227">
        <v>51.81</v>
      </c>
      <c r="K227" t="s">
        <v>44</v>
      </c>
      <c r="L227">
        <v>312</v>
      </c>
      <c r="M227" t="s">
        <v>36</v>
      </c>
    </row>
    <row r="228" spans="1:13" x14ac:dyDescent="0.25">
      <c r="A228" t="s">
        <v>266</v>
      </c>
      <c r="B228" t="s">
        <v>23</v>
      </c>
      <c r="C228" t="s">
        <v>24</v>
      </c>
      <c r="D228" t="s">
        <v>34</v>
      </c>
      <c r="E228">
        <v>105</v>
      </c>
      <c r="F228">
        <v>81</v>
      </c>
      <c r="G228">
        <v>1.65</v>
      </c>
      <c r="H228" s="1">
        <v>46294</v>
      </c>
      <c r="I228" s="1">
        <v>46085</v>
      </c>
      <c r="J228">
        <v>173.25</v>
      </c>
      <c r="K228" t="s">
        <v>35</v>
      </c>
      <c r="L228">
        <v>175</v>
      </c>
      <c r="M228" t="s">
        <v>36</v>
      </c>
    </row>
    <row r="229" spans="1:13" x14ac:dyDescent="0.25">
      <c r="A229" t="s">
        <v>267</v>
      </c>
      <c r="B229" t="s">
        <v>23</v>
      </c>
      <c r="C229" t="s">
        <v>24</v>
      </c>
      <c r="D229" t="s">
        <v>49</v>
      </c>
      <c r="E229">
        <v>75</v>
      </c>
      <c r="F229">
        <v>81</v>
      </c>
      <c r="G229">
        <v>1.26</v>
      </c>
      <c r="H229" s="1">
        <v>46413</v>
      </c>
      <c r="I229" s="1">
        <v>45984</v>
      </c>
      <c r="J229">
        <v>94.5</v>
      </c>
      <c r="K229" t="s">
        <v>44</v>
      </c>
      <c r="L229">
        <v>294</v>
      </c>
      <c r="M229" t="s">
        <v>36</v>
      </c>
    </row>
    <row r="230" spans="1:13" x14ac:dyDescent="0.25">
      <c r="A230" t="s">
        <v>268</v>
      </c>
      <c r="B230" t="s">
        <v>27</v>
      </c>
      <c r="C230" t="s">
        <v>28</v>
      </c>
      <c r="D230" t="s">
        <v>38</v>
      </c>
      <c r="E230">
        <v>55</v>
      </c>
      <c r="F230">
        <v>41</v>
      </c>
      <c r="G230">
        <v>1.95</v>
      </c>
      <c r="H230" s="1">
        <v>46396</v>
      </c>
      <c r="I230" s="1">
        <v>46009</v>
      </c>
      <c r="J230">
        <v>107.25</v>
      </c>
      <c r="K230" t="s">
        <v>35</v>
      </c>
      <c r="L230">
        <v>277</v>
      </c>
      <c r="M230" t="s">
        <v>36</v>
      </c>
    </row>
    <row r="231" spans="1:13" x14ac:dyDescent="0.25">
      <c r="A231" t="s">
        <v>269</v>
      </c>
      <c r="B231" t="s">
        <v>14</v>
      </c>
      <c r="C231" t="s">
        <v>15</v>
      </c>
      <c r="D231" t="s">
        <v>40</v>
      </c>
      <c r="E231">
        <v>4</v>
      </c>
      <c r="F231">
        <v>27</v>
      </c>
      <c r="G231">
        <v>1.19</v>
      </c>
      <c r="H231" s="1">
        <v>46277</v>
      </c>
      <c r="I231" s="1">
        <v>46047</v>
      </c>
      <c r="J231">
        <v>4.76</v>
      </c>
      <c r="K231" t="s">
        <v>44</v>
      </c>
      <c r="L231">
        <v>158</v>
      </c>
      <c r="M231" t="s">
        <v>36</v>
      </c>
    </row>
    <row r="232" spans="1:13" x14ac:dyDescent="0.25">
      <c r="A232" t="s">
        <v>270</v>
      </c>
      <c r="B232" t="s">
        <v>23</v>
      </c>
      <c r="C232" t="s">
        <v>24</v>
      </c>
      <c r="D232" t="s">
        <v>34</v>
      </c>
      <c r="E232">
        <v>94</v>
      </c>
      <c r="F232">
        <v>55</v>
      </c>
      <c r="G232">
        <v>0.84</v>
      </c>
      <c r="H232" s="1">
        <v>46448</v>
      </c>
      <c r="I232" s="1">
        <v>46026</v>
      </c>
      <c r="J232">
        <v>78.959999999999994</v>
      </c>
      <c r="K232" t="s">
        <v>35</v>
      </c>
      <c r="L232">
        <v>329</v>
      </c>
      <c r="M232" t="s">
        <v>36</v>
      </c>
    </row>
    <row r="233" spans="1:13" x14ac:dyDescent="0.25">
      <c r="A233" t="s">
        <v>271</v>
      </c>
      <c r="B233" t="s">
        <v>14</v>
      </c>
      <c r="C233" t="s">
        <v>15</v>
      </c>
      <c r="D233" t="s">
        <v>38</v>
      </c>
      <c r="E233">
        <v>161</v>
      </c>
      <c r="F233">
        <v>97</v>
      </c>
      <c r="G233">
        <v>1.1299999999999999</v>
      </c>
      <c r="H233" s="1">
        <v>46454</v>
      </c>
      <c r="I233" s="1">
        <v>45966</v>
      </c>
      <c r="J233">
        <v>181.92999999999998</v>
      </c>
      <c r="K233" t="s">
        <v>35</v>
      </c>
      <c r="L233">
        <v>335</v>
      </c>
      <c r="M233" t="s">
        <v>36</v>
      </c>
    </row>
    <row r="234" spans="1:13" x14ac:dyDescent="0.25">
      <c r="A234" t="s">
        <v>272</v>
      </c>
      <c r="B234" t="s">
        <v>21</v>
      </c>
      <c r="C234" t="s">
        <v>22</v>
      </c>
      <c r="D234" t="s">
        <v>34</v>
      </c>
      <c r="E234">
        <v>39</v>
      </c>
      <c r="F234">
        <v>86</v>
      </c>
      <c r="G234">
        <v>1.21</v>
      </c>
      <c r="H234" s="1">
        <v>46456</v>
      </c>
      <c r="I234" s="1">
        <v>46014</v>
      </c>
      <c r="J234">
        <v>47.19</v>
      </c>
      <c r="K234" t="s">
        <v>44</v>
      </c>
      <c r="L234">
        <v>337</v>
      </c>
      <c r="M234" t="s">
        <v>36</v>
      </c>
    </row>
    <row r="235" spans="1:13" x14ac:dyDescent="0.25">
      <c r="A235" t="s">
        <v>273</v>
      </c>
      <c r="B235" t="s">
        <v>23</v>
      </c>
      <c r="C235" t="s">
        <v>24</v>
      </c>
      <c r="D235" t="s">
        <v>38</v>
      </c>
      <c r="E235">
        <v>177</v>
      </c>
      <c r="F235">
        <v>69</v>
      </c>
      <c r="G235">
        <v>1.85</v>
      </c>
      <c r="H235" s="1">
        <v>46340</v>
      </c>
      <c r="I235" s="1">
        <v>46092</v>
      </c>
      <c r="J235">
        <v>327.45</v>
      </c>
      <c r="K235" t="s">
        <v>35</v>
      </c>
      <c r="L235">
        <v>221</v>
      </c>
      <c r="M235" t="s">
        <v>36</v>
      </c>
    </row>
    <row r="236" spans="1:13" x14ac:dyDescent="0.25">
      <c r="A236" t="s">
        <v>274</v>
      </c>
      <c r="B236" t="s">
        <v>27</v>
      </c>
      <c r="C236" t="s">
        <v>28</v>
      </c>
      <c r="D236" t="s">
        <v>40</v>
      </c>
      <c r="E236">
        <v>83</v>
      </c>
      <c r="F236">
        <v>50</v>
      </c>
      <c r="G236">
        <v>1.36</v>
      </c>
      <c r="H236" s="1">
        <v>46281</v>
      </c>
      <c r="I236" s="1">
        <v>46017</v>
      </c>
      <c r="J236">
        <v>112.88000000000001</v>
      </c>
      <c r="K236" t="s">
        <v>35</v>
      </c>
      <c r="L236">
        <v>162</v>
      </c>
      <c r="M236" t="s">
        <v>36</v>
      </c>
    </row>
    <row r="237" spans="1:13" x14ac:dyDescent="0.25">
      <c r="A237" t="s">
        <v>275</v>
      </c>
      <c r="B237" t="s">
        <v>23</v>
      </c>
      <c r="C237" t="s">
        <v>24</v>
      </c>
      <c r="D237" t="s">
        <v>38</v>
      </c>
      <c r="E237">
        <v>31</v>
      </c>
      <c r="F237">
        <v>53</v>
      </c>
      <c r="G237">
        <v>1.45</v>
      </c>
      <c r="H237" s="1">
        <v>46478</v>
      </c>
      <c r="I237" s="1">
        <v>45985</v>
      </c>
      <c r="J237">
        <v>44.949999999999996</v>
      </c>
      <c r="K237" t="s">
        <v>44</v>
      </c>
      <c r="L237">
        <v>359</v>
      </c>
      <c r="M237" t="s">
        <v>36</v>
      </c>
    </row>
    <row r="238" spans="1:13" x14ac:dyDescent="0.25">
      <c r="A238" t="s">
        <v>276</v>
      </c>
      <c r="B238" t="s">
        <v>26</v>
      </c>
      <c r="C238" t="s">
        <v>22</v>
      </c>
      <c r="D238" t="s">
        <v>38</v>
      </c>
      <c r="E238">
        <v>102</v>
      </c>
      <c r="F238">
        <v>97</v>
      </c>
      <c r="G238">
        <v>1.61</v>
      </c>
      <c r="H238" s="1">
        <v>46177</v>
      </c>
      <c r="I238" s="1">
        <v>46066</v>
      </c>
      <c r="J238">
        <v>164.22</v>
      </c>
      <c r="K238" t="s">
        <v>35</v>
      </c>
      <c r="L238">
        <v>58</v>
      </c>
      <c r="M238" t="s">
        <v>36</v>
      </c>
    </row>
    <row r="239" spans="1:13" x14ac:dyDescent="0.25">
      <c r="A239" t="s">
        <v>277</v>
      </c>
      <c r="B239" t="s">
        <v>16</v>
      </c>
      <c r="C239" t="s">
        <v>13</v>
      </c>
      <c r="D239" t="s">
        <v>40</v>
      </c>
      <c r="E239">
        <v>140</v>
      </c>
      <c r="F239">
        <v>27</v>
      </c>
      <c r="G239">
        <v>1.89</v>
      </c>
      <c r="H239" s="1">
        <v>46239</v>
      </c>
      <c r="I239" s="1">
        <v>45951</v>
      </c>
      <c r="J239">
        <v>264.59999999999997</v>
      </c>
      <c r="K239" t="s">
        <v>35</v>
      </c>
      <c r="L239">
        <v>120</v>
      </c>
      <c r="M239" t="s">
        <v>36</v>
      </c>
    </row>
    <row r="240" spans="1:13" x14ac:dyDescent="0.25">
      <c r="A240" t="s">
        <v>278</v>
      </c>
      <c r="B240" t="s">
        <v>12</v>
      </c>
      <c r="C240" t="s">
        <v>13</v>
      </c>
      <c r="D240" t="s">
        <v>49</v>
      </c>
      <c r="E240">
        <v>178</v>
      </c>
      <c r="F240">
        <v>29</v>
      </c>
      <c r="G240">
        <v>0.5</v>
      </c>
      <c r="H240" s="1">
        <v>46258</v>
      </c>
      <c r="I240" s="1">
        <v>45967</v>
      </c>
      <c r="J240">
        <v>89</v>
      </c>
      <c r="K240" t="s">
        <v>35</v>
      </c>
      <c r="L240">
        <v>139</v>
      </c>
      <c r="M240" t="s">
        <v>36</v>
      </c>
    </row>
    <row r="241" spans="1:13" x14ac:dyDescent="0.25">
      <c r="A241" t="s">
        <v>279</v>
      </c>
      <c r="B241" t="s">
        <v>26</v>
      </c>
      <c r="C241" t="s">
        <v>22</v>
      </c>
      <c r="D241" t="s">
        <v>49</v>
      </c>
      <c r="E241">
        <v>78</v>
      </c>
      <c r="F241">
        <v>88</v>
      </c>
      <c r="G241">
        <v>1.44</v>
      </c>
      <c r="H241" s="1">
        <v>46225</v>
      </c>
      <c r="I241" s="1">
        <v>46097</v>
      </c>
      <c r="J241">
        <v>112.32</v>
      </c>
      <c r="K241" t="s">
        <v>44</v>
      </c>
      <c r="L241">
        <v>106</v>
      </c>
      <c r="M241" t="s">
        <v>36</v>
      </c>
    </row>
    <row r="242" spans="1:13" x14ac:dyDescent="0.25">
      <c r="A242" t="s">
        <v>280</v>
      </c>
      <c r="B242" t="s">
        <v>25</v>
      </c>
      <c r="C242" t="s">
        <v>15</v>
      </c>
      <c r="D242" t="s">
        <v>40</v>
      </c>
      <c r="E242">
        <v>11</v>
      </c>
      <c r="F242">
        <v>40</v>
      </c>
      <c r="G242">
        <v>1.58</v>
      </c>
      <c r="H242" s="1">
        <v>46314</v>
      </c>
      <c r="I242" s="1">
        <v>46112</v>
      </c>
      <c r="J242">
        <v>17.380000000000003</v>
      </c>
      <c r="K242" t="s">
        <v>44</v>
      </c>
      <c r="L242">
        <v>195</v>
      </c>
      <c r="M242" t="s">
        <v>36</v>
      </c>
    </row>
    <row r="243" spans="1:13" x14ac:dyDescent="0.25">
      <c r="A243" t="s">
        <v>281</v>
      </c>
      <c r="B243" t="s">
        <v>14</v>
      </c>
      <c r="C243" t="s">
        <v>15</v>
      </c>
      <c r="D243" t="s">
        <v>40</v>
      </c>
      <c r="E243">
        <v>197</v>
      </c>
      <c r="F243">
        <v>80</v>
      </c>
      <c r="G243">
        <v>1.33</v>
      </c>
      <c r="H243" s="1">
        <v>46431</v>
      </c>
      <c r="I243" s="1">
        <v>46072</v>
      </c>
      <c r="J243">
        <v>262.01</v>
      </c>
      <c r="K243" t="s">
        <v>35</v>
      </c>
      <c r="L243">
        <v>312</v>
      </c>
      <c r="M243" t="s">
        <v>36</v>
      </c>
    </row>
    <row r="244" spans="1:13" x14ac:dyDescent="0.25">
      <c r="A244" t="s">
        <v>282</v>
      </c>
      <c r="B244" t="s">
        <v>12</v>
      </c>
      <c r="C244" t="s">
        <v>13</v>
      </c>
      <c r="D244" t="s">
        <v>49</v>
      </c>
      <c r="E244">
        <v>155</v>
      </c>
      <c r="F244">
        <v>75</v>
      </c>
      <c r="G244">
        <v>0.82</v>
      </c>
      <c r="H244" s="1">
        <v>46406</v>
      </c>
      <c r="I244" s="1">
        <v>46094</v>
      </c>
      <c r="J244">
        <v>127.1</v>
      </c>
      <c r="K244" t="s">
        <v>35</v>
      </c>
      <c r="L244">
        <v>287</v>
      </c>
      <c r="M244" t="s">
        <v>36</v>
      </c>
    </row>
    <row r="245" spans="1:13" x14ac:dyDescent="0.25">
      <c r="A245" t="s">
        <v>283</v>
      </c>
      <c r="B245" t="s">
        <v>12</v>
      </c>
      <c r="C245" t="s">
        <v>13</v>
      </c>
      <c r="D245" t="s">
        <v>34</v>
      </c>
      <c r="E245">
        <v>62</v>
      </c>
      <c r="F245">
        <v>43</v>
      </c>
      <c r="G245">
        <v>1.1599999999999999</v>
      </c>
      <c r="H245" s="1">
        <v>46235</v>
      </c>
      <c r="I245" s="1">
        <v>46005</v>
      </c>
      <c r="J245">
        <v>71.92</v>
      </c>
      <c r="K245" t="s">
        <v>35</v>
      </c>
      <c r="L245">
        <v>116</v>
      </c>
      <c r="M245" t="s">
        <v>36</v>
      </c>
    </row>
    <row r="246" spans="1:13" x14ac:dyDescent="0.25">
      <c r="A246" t="s">
        <v>284</v>
      </c>
      <c r="B246" t="s">
        <v>21</v>
      </c>
      <c r="C246" t="s">
        <v>22</v>
      </c>
      <c r="D246" t="s">
        <v>49</v>
      </c>
      <c r="E246">
        <v>15</v>
      </c>
      <c r="F246">
        <v>67</v>
      </c>
      <c r="G246">
        <v>0.78</v>
      </c>
      <c r="H246" s="1">
        <v>46298</v>
      </c>
      <c r="I246" s="1">
        <v>45952</v>
      </c>
      <c r="J246">
        <v>11.700000000000001</v>
      </c>
      <c r="K246" t="s">
        <v>44</v>
      </c>
      <c r="L246">
        <v>179</v>
      </c>
      <c r="M246" t="s">
        <v>36</v>
      </c>
    </row>
    <row r="247" spans="1:13" x14ac:dyDescent="0.25">
      <c r="A247" t="s">
        <v>285</v>
      </c>
      <c r="B247" t="s">
        <v>12</v>
      </c>
      <c r="C247" t="s">
        <v>13</v>
      </c>
      <c r="D247" t="s">
        <v>34</v>
      </c>
      <c r="E247">
        <v>62</v>
      </c>
      <c r="F247">
        <v>50</v>
      </c>
      <c r="G247">
        <v>1.59</v>
      </c>
      <c r="H247" s="1">
        <v>46173</v>
      </c>
      <c r="I247" s="1">
        <v>45947</v>
      </c>
      <c r="J247">
        <v>98.58</v>
      </c>
      <c r="K247" t="s">
        <v>35</v>
      </c>
      <c r="L247">
        <v>54</v>
      </c>
      <c r="M247" t="s">
        <v>36</v>
      </c>
    </row>
    <row r="248" spans="1:13" x14ac:dyDescent="0.25">
      <c r="A248" t="s">
        <v>286</v>
      </c>
      <c r="B248" t="s">
        <v>14</v>
      </c>
      <c r="C248" t="s">
        <v>15</v>
      </c>
      <c r="D248" t="s">
        <v>34</v>
      </c>
      <c r="E248">
        <v>29</v>
      </c>
      <c r="F248">
        <v>32</v>
      </c>
      <c r="G248">
        <v>1.74</v>
      </c>
      <c r="H248" s="1">
        <v>46458</v>
      </c>
      <c r="I248" s="1">
        <v>46111</v>
      </c>
      <c r="J248">
        <v>50.46</v>
      </c>
      <c r="K248" t="s">
        <v>44</v>
      </c>
      <c r="L248">
        <v>339</v>
      </c>
      <c r="M248" t="s">
        <v>36</v>
      </c>
    </row>
    <row r="249" spans="1:13" x14ac:dyDescent="0.25">
      <c r="A249" t="s">
        <v>287</v>
      </c>
      <c r="B249" t="s">
        <v>26</v>
      </c>
      <c r="C249" t="s">
        <v>22</v>
      </c>
      <c r="D249" t="s">
        <v>34</v>
      </c>
      <c r="E249">
        <v>189</v>
      </c>
      <c r="F249">
        <v>69</v>
      </c>
      <c r="G249">
        <v>1.2</v>
      </c>
      <c r="H249" s="1">
        <v>46458</v>
      </c>
      <c r="I249" s="1">
        <v>45976</v>
      </c>
      <c r="J249">
        <v>226.79999999999998</v>
      </c>
      <c r="K249" t="s">
        <v>35</v>
      </c>
      <c r="L249">
        <v>339</v>
      </c>
      <c r="M249" t="s">
        <v>36</v>
      </c>
    </row>
    <row r="250" spans="1:13" x14ac:dyDescent="0.25">
      <c r="A250" t="s">
        <v>288</v>
      </c>
      <c r="B250" t="s">
        <v>14</v>
      </c>
      <c r="C250" t="s">
        <v>15</v>
      </c>
      <c r="D250" t="s">
        <v>49</v>
      </c>
      <c r="E250">
        <v>196</v>
      </c>
      <c r="F250">
        <v>88</v>
      </c>
      <c r="G250">
        <v>1.19</v>
      </c>
      <c r="H250" s="1">
        <v>46212</v>
      </c>
      <c r="I250" s="1">
        <v>46014</v>
      </c>
      <c r="J250">
        <v>233.23999999999998</v>
      </c>
      <c r="K250" t="s">
        <v>35</v>
      </c>
      <c r="L250">
        <v>93</v>
      </c>
      <c r="M250" t="s">
        <v>36</v>
      </c>
    </row>
    <row r="251" spans="1:13" x14ac:dyDescent="0.25">
      <c r="A251" t="s">
        <v>289</v>
      </c>
      <c r="B251" t="s">
        <v>19</v>
      </c>
      <c r="C251" t="s">
        <v>20</v>
      </c>
      <c r="D251" t="s">
        <v>38</v>
      </c>
      <c r="E251">
        <v>198</v>
      </c>
      <c r="F251">
        <v>36</v>
      </c>
      <c r="G251">
        <v>1.62</v>
      </c>
      <c r="H251" s="1">
        <v>46151</v>
      </c>
      <c r="I251" s="1">
        <v>46099</v>
      </c>
      <c r="J251">
        <v>320.76000000000005</v>
      </c>
      <c r="K251" t="s">
        <v>35</v>
      </c>
      <c r="L251">
        <v>32</v>
      </c>
      <c r="M251" t="s">
        <v>36</v>
      </c>
    </row>
    <row r="252" spans="1:13" x14ac:dyDescent="0.25">
      <c r="A252" t="s">
        <v>290</v>
      </c>
      <c r="B252" t="s">
        <v>25</v>
      </c>
      <c r="C252" t="s">
        <v>15</v>
      </c>
      <c r="D252" t="s">
        <v>34</v>
      </c>
      <c r="E252">
        <v>102</v>
      </c>
      <c r="F252">
        <v>20</v>
      </c>
      <c r="G252">
        <v>1.2</v>
      </c>
      <c r="H252" s="1">
        <v>46357</v>
      </c>
      <c r="I252" s="1">
        <v>46070</v>
      </c>
      <c r="J252">
        <v>122.39999999999999</v>
      </c>
      <c r="K252" t="s">
        <v>35</v>
      </c>
      <c r="L252">
        <v>238</v>
      </c>
      <c r="M252" t="s">
        <v>36</v>
      </c>
    </row>
    <row r="253" spans="1:13" x14ac:dyDescent="0.25">
      <c r="A253" t="s">
        <v>291</v>
      </c>
      <c r="B253" t="s">
        <v>25</v>
      </c>
      <c r="C253" t="s">
        <v>15</v>
      </c>
      <c r="D253" t="s">
        <v>34</v>
      </c>
      <c r="E253">
        <v>39</v>
      </c>
      <c r="F253">
        <v>58</v>
      </c>
      <c r="G253">
        <v>1.6</v>
      </c>
      <c r="H253" s="1">
        <v>46272</v>
      </c>
      <c r="I253" s="1">
        <v>46093</v>
      </c>
      <c r="J253">
        <v>62.400000000000006</v>
      </c>
      <c r="K253" t="s">
        <v>44</v>
      </c>
      <c r="L253">
        <v>153</v>
      </c>
      <c r="M253" t="s">
        <v>36</v>
      </c>
    </row>
    <row r="254" spans="1:13" x14ac:dyDescent="0.25">
      <c r="A254" t="s">
        <v>292</v>
      </c>
      <c r="B254" t="s">
        <v>19</v>
      </c>
      <c r="C254" t="s">
        <v>20</v>
      </c>
      <c r="D254" t="s">
        <v>49</v>
      </c>
      <c r="E254">
        <v>31</v>
      </c>
      <c r="F254">
        <v>22</v>
      </c>
      <c r="G254">
        <v>1.48</v>
      </c>
      <c r="H254" s="1">
        <v>46444</v>
      </c>
      <c r="I254" s="1">
        <v>46106</v>
      </c>
      <c r="J254">
        <v>45.88</v>
      </c>
      <c r="K254" t="s">
        <v>35</v>
      </c>
      <c r="L254">
        <v>325</v>
      </c>
      <c r="M254" t="s">
        <v>36</v>
      </c>
    </row>
    <row r="255" spans="1:13" x14ac:dyDescent="0.25">
      <c r="A255" t="s">
        <v>293</v>
      </c>
      <c r="B255" t="s">
        <v>14</v>
      </c>
      <c r="C255" t="s">
        <v>15</v>
      </c>
      <c r="D255" t="s">
        <v>38</v>
      </c>
      <c r="E255">
        <v>140</v>
      </c>
      <c r="F255">
        <v>96</v>
      </c>
      <c r="G255">
        <v>1.05</v>
      </c>
      <c r="H255" s="1">
        <v>46168</v>
      </c>
      <c r="I255" s="1">
        <v>45976</v>
      </c>
      <c r="J255">
        <v>147</v>
      </c>
      <c r="K255" t="s">
        <v>35</v>
      </c>
      <c r="L255">
        <v>49</v>
      </c>
      <c r="M255" t="s">
        <v>36</v>
      </c>
    </row>
    <row r="256" spans="1:13" x14ac:dyDescent="0.25">
      <c r="A256" t="s">
        <v>294</v>
      </c>
      <c r="B256" t="s">
        <v>16</v>
      </c>
      <c r="C256" t="s">
        <v>13</v>
      </c>
      <c r="D256" t="s">
        <v>38</v>
      </c>
      <c r="E256">
        <v>148</v>
      </c>
      <c r="F256">
        <v>49</v>
      </c>
      <c r="G256">
        <v>0.95</v>
      </c>
      <c r="H256" s="1">
        <v>46404</v>
      </c>
      <c r="I256" s="1">
        <v>45978</v>
      </c>
      <c r="J256">
        <v>140.6</v>
      </c>
      <c r="K256" t="s">
        <v>35</v>
      </c>
      <c r="L256">
        <v>285</v>
      </c>
      <c r="M256" t="s">
        <v>36</v>
      </c>
    </row>
    <row r="257" spans="1:13" x14ac:dyDescent="0.25">
      <c r="A257" t="s">
        <v>295</v>
      </c>
      <c r="B257" t="s">
        <v>14</v>
      </c>
      <c r="C257" t="s">
        <v>15</v>
      </c>
      <c r="D257" t="s">
        <v>49</v>
      </c>
      <c r="E257">
        <v>24</v>
      </c>
      <c r="F257">
        <v>98</v>
      </c>
      <c r="G257">
        <v>0.68</v>
      </c>
      <c r="H257" s="1">
        <v>46454</v>
      </c>
      <c r="I257" s="1">
        <v>46041</v>
      </c>
      <c r="J257">
        <v>16.32</v>
      </c>
      <c r="K257" t="s">
        <v>44</v>
      </c>
      <c r="L257">
        <v>335</v>
      </c>
      <c r="M257" t="s">
        <v>36</v>
      </c>
    </row>
    <row r="258" spans="1:13" x14ac:dyDescent="0.25">
      <c r="A258" t="s">
        <v>296</v>
      </c>
      <c r="B258" t="s">
        <v>14</v>
      </c>
      <c r="C258" t="s">
        <v>15</v>
      </c>
      <c r="D258" t="s">
        <v>49</v>
      </c>
      <c r="E258">
        <v>30</v>
      </c>
      <c r="F258">
        <v>53</v>
      </c>
      <c r="G258">
        <v>0.85</v>
      </c>
      <c r="H258" s="1">
        <v>46232</v>
      </c>
      <c r="I258" s="1">
        <v>46095</v>
      </c>
      <c r="J258">
        <v>25.5</v>
      </c>
      <c r="K258" t="s">
        <v>44</v>
      </c>
      <c r="L258">
        <v>113</v>
      </c>
      <c r="M258" t="s">
        <v>36</v>
      </c>
    </row>
    <row r="259" spans="1:13" x14ac:dyDescent="0.25">
      <c r="A259" t="s">
        <v>297</v>
      </c>
      <c r="B259" t="s">
        <v>26</v>
      </c>
      <c r="C259" t="s">
        <v>22</v>
      </c>
      <c r="D259" t="s">
        <v>38</v>
      </c>
      <c r="E259">
        <v>81</v>
      </c>
      <c r="F259">
        <v>38</v>
      </c>
      <c r="G259">
        <v>0.57999999999999996</v>
      </c>
      <c r="H259" s="1">
        <v>46424</v>
      </c>
      <c r="I259" s="1">
        <v>46075</v>
      </c>
      <c r="J259">
        <v>46.98</v>
      </c>
      <c r="K259" t="s">
        <v>35</v>
      </c>
      <c r="L259">
        <v>305</v>
      </c>
      <c r="M259" t="s">
        <v>36</v>
      </c>
    </row>
    <row r="260" spans="1:13" x14ac:dyDescent="0.25">
      <c r="A260" t="s">
        <v>298</v>
      </c>
      <c r="B260" t="s">
        <v>19</v>
      </c>
      <c r="C260" t="s">
        <v>20</v>
      </c>
      <c r="D260" t="s">
        <v>34</v>
      </c>
      <c r="E260">
        <v>42</v>
      </c>
      <c r="F260">
        <v>35</v>
      </c>
      <c r="G260">
        <v>1.53</v>
      </c>
      <c r="H260" s="1">
        <v>46388</v>
      </c>
      <c r="I260" s="1">
        <v>46087</v>
      </c>
      <c r="J260">
        <v>64.260000000000005</v>
      </c>
      <c r="K260" t="s">
        <v>35</v>
      </c>
      <c r="L260">
        <v>269</v>
      </c>
      <c r="M260" t="s">
        <v>36</v>
      </c>
    </row>
    <row r="261" spans="1:13" x14ac:dyDescent="0.25">
      <c r="A261" t="s">
        <v>299</v>
      </c>
      <c r="B261" t="s">
        <v>17</v>
      </c>
      <c r="C261" t="s">
        <v>18</v>
      </c>
      <c r="D261" t="s">
        <v>38</v>
      </c>
      <c r="E261">
        <v>144</v>
      </c>
      <c r="F261">
        <v>100</v>
      </c>
      <c r="G261">
        <v>1.1499999999999999</v>
      </c>
      <c r="H261" s="1">
        <v>46439</v>
      </c>
      <c r="I261" s="1">
        <v>46097</v>
      </c>
      <c r="J261">
        <v>165.6</v>
      </c>
      <c r="K261" t="s">
        <v>35</v>
      </c>
      <c r="L261">
        <v>320</v>
      </c>
      <c r="M261" t="s">
        <v>36</v>
      </c>
    </row>
    <row r="262" spans="1:13" x14ac:dyDescent="0.25">
      <c r="A262" t="s">
        <v>300</v>
      </c>
      <c r="B262" t="s">
        <v>12</v>
      </c>
      <c r="C262" t="s">
        <v>13</v>
      </c>
      <c r="D262" t="s">
        <v>49</v>
      </c>
      <c r="E262">
        <v>194</v>
      </c>
      <c r="F262">
        <v>70</v>
      </c>
      <c r="G262">
        <v>0.51</v>
      </c>
      <c r="H262" s="1">
        <v>46157</v>
      </c>
      <c r="I262" s="1">
        <v>46084</v>
      </c>
      <c r="J262">
        <v>98.94</v>
      </c>
      <c r="K262" t="s">
        <v>35</v>
      </c>
      <c r="L262">
        <v>38</v>
      </c>
      <c r="M262" t="s">
        <v>36</v>
      </c>
    </row>
    <row r="263" spans="1:13" x14ac:dyDescent="0.25">
      <c r="A263" t="s">
        <v>301</v>
      </c>
      <c r="B263" t="s">
        <v>25</v>
      </c>
      <c r="C263" t="s">
        <v>15</v>
      </c>
      <c r="D263" t="s">
        <v>38</v>
      </c>
      <c r="E263">
        <v>124</v>
      </c>
      <c r="F263">
        <v>46</v>
      </c>
      <c r="G263">
        <v>0.59</v>
      </c>
      <c r="H263" s="1">
        <v>46152</v>
      </c>
      <c r="I263" s="1">
        <v>46108</v>
      </c>
      <c r="J263">
        <v>73.16</v>
      </c>
      <c r="K263" t="s">
        <v>35</v>
      </c>
      <c r="L263">
        <v>33</v>
      </c>
      <c r="M263" t="s">
        <v>36</v>
      </c>
    </row>
    <row r="264" spans="1:13" x14ac:dyDescent="0.25">
      <c r="A264" t="s">
        <v>302</v>
      </c>
      <c r="B264" t="s">
        <v>25</v>
      </c>
      <c r="C264" t="s">
        <v>15</v>
      </c>
      <c r="D264" t="s">
        <v>40</v>
      </c>
      <c r="E264">
        <v>47</v>
      </c>
      <c r="F264">
        <v>97</v>
      </c>
      <c r="G264">
        <v>1.69</v>
      </c>
      <c r="H264" s="1">
        <v>46173</v>
      </c>
      <c r="I264" s="1">
        <v>45994</v>
      </c>
      <c r="J264">
        <v>79.429999999999993</v>
      </c>
      <c r="K264" t="s">
        <v>44</v>
      </c>
      <c r="L264">
        <v>54</v>
      </c>
      <c r="M264" t="s">
        <v>36</v>
      </c>
    </row>
    <row r="265" spans="1:13" x14ac:dyDescent="0.25">
      <c r="A265" t="s">
        <v>303</v>
      </c>
      <c r="B265" t="s">
        <v>14</v>
      </c>
      <c r="C265" t="s">
        <v>15</v>
      </c>
      <c r="D265" t="s">
        <v>38</v>
      </c>
      <c r="E265">
        <v>195</v>
      </c>
      <c r="F265">
        <v>42</v>
      </c>
      <c r="G265">
        <v>1.33</v>
      </c>
      <c r="H265" s="1">
        <v>46153</v>
      </c>
      <c r="I265" s="1">
        <v>46092</v>
      </c>
      <c r="J265">
        <v>259.35000000000002</v>
      </c>
      <c r="K265" t="s">
        <v>35</v>
      </c>
      <c r="L265">
        <v>34</v>
      </c>
      <c r="M265" t="s">
        <v>36</v>
      </c>
    </row>
    <row r="266" spans="1:13" x14ac:dyDescent="0.25">
      <c r="A266" t="s">
        <v>304</v>
      </c>
      <c r="B266" t="s">
        <v>27</v>
      </c>
      <c r="C266" t="s">
        <v>28</v>
      </c>
      <c r="D266" t="s">
        <v>34</v>
      </c>
      <c r="E266">
        <v>125</v>
      </c>
      <c r="F266">
        <v>90</v>
      </c>
      <c r="G266">
        <v>0.8</v>
      </c>
      <c r="H266" s="1">
        <v>46310</v>
      </c>
      <c r="I266" s="1">
        <v>45948</v>
      </c>
      <c r="J266">
        <v>100</v>
      </c>
      <c r="K266" t="s">
        <v>35</v>
      </c>
      <c r="L266">
        <v>191</v>
      </c>
      <c r="M266" t="s">
        <v>36</v>
      </c>
    </row>
    <row r="267" spans="1:13" x14ac:dyDescent="0.25">
      <c r="A267" t="s">
        <v>305</v>
      </c>
      <c r="B267" t="s">
        <v>14</v>
      </c>
      <c r="C267" t="s">
        <v>15</v>
      </c>
      <c r="D267" t="s">
        <v>49</v>
      </c>
      <c r="E267">
        <v>182</v>
      </c>
      <c r="F267">
        <v>30</v>
      </c>
      <c r="G267">
        <v>1.36</v>
      </c>
      <c r="H267" s="1">
        <v>46262</v>
      </c>
      <c r="I267" s="1">
        <v>46005</v>
      </c>
      <c r="J267">
        <v>247.52</v>
      </c>
      <c r="K267" t="s">
        <v>35</v>
      </c>
      <c r="L267">
        <v>143</v>
      </c>
      <c r="M267" t="s">
        <v>36</v>
      </c>
    </row>
    <row r="268" spans="1:13" x14ac:dyDescent="0.25">
      <c r="A268" t="s">
        <v>306</v>
      </c>
      <c r="B268" t="s">
        <v>16</v>
      </c>
      <c r="C268" t="s">
        <v>13</v>
      </c>
      <c r="D268" t="s">
        <v>49</v>
      </c>
      <c r="E268">
        <v>143</v>
      </c>
      <c r="F268">
        <v>60</v>
      </c>
      <c r="G268">
        <v>0.78</v>
      </c>
      <c r="H268" s="1">
        <v>46203</v>
      </c>
      <c r="I268" s="1">
        <v>46111</v>
      </c>
      <c r="J268">
        <v>111.54</v>
      </c>
      <c r="K268" t="s">
        <v>35</v>
      </c>
      <c r="L268">
        <v>84</v>
      </c>
      <c r="M268" t="s">
        <v>36</v>
      </c>
    </row>
    <row r="269" spans="1:13" x14ac:dyDescent="0.25">
      <c r="A269" t="s">
        <v>307</v>
      </c>
      <c r="B269" t="s">
        <v>19</v>
      </c>
      <c r="C269" t="s">
        <v>20</v>
      </c>
      <c r="D269" t="s">
        <v>34</v>
      </c>
      <c r="E269">
        <v>130</v>
      </c>
      <c r="F269">
        <v>75</v>
      </c>
      <c r="G269">
        <v>1.1200000000000001</v>
      </c>
      <c r="H269" s="1">
        <v>46292</v>
      </c>
      <c r="I269" s="1">
        <v>46073</v>
      </c>
      <c r="J269">
        <v>145.60000000000002</v>
      </c>
      <c r="K269" t="s">
        <v>35</v>
      </c>
      <c r="L269">
        <v>173</v>
      </c>
      <c r="M269" t="s">
        <v>36</v>
      </c>
    </row>
    <row r="270" spans="1:13" x14ac:dyDescent="0.25">
      <c r="A270" t="s">
        <v>308</v>
      </c>
      <c r="B270" t="s">
        <v>27</v>
      </c>
      <c r="C270" t="s">
        <v>28</v>
      </c>
      <c r="D270" t="s">
        <v>34</v>
      </c>
      <c r="E270">
        <v>48</v>
      </c>
      <c r="F270">
        <v>33</v>
      </c>
      <c r="G270">
        <v>1.2</v>
      </c>
      <c r="H270" s="1">
        <v>46179</v>
      </c>
      <c r="I270" s="1">
        <v>46016</v>
      </c>
      <c r="J270">
        <v>57.599999999999994</v>
      </c>
      <c r="K270" t="s">
        <v>35</v>
      </c>
      <c r="L270">
        <v>60</v>
      </c>
      <c r="M270" t="s">
        <v>36</v>
      </c>
    </row>
    <row r="271" spans="1:13" x14ac:dyDescent="0.25">
      <c r="A271" t="s">
        <v>309</v>
      </c>
      <c r="B271" t="s">
        <v>16</v>
      </c>
      <c r="C271" t="s">
        <v>13</v>
      </c>
      <c r="D271" t="s">
        <v>40</v>
      </c>
      <c r="E271">
        <v>185</v>
      </c>
      <c r="F271">
        <v>80</v>
      </c>
      <c r="G271">
        <v>1.05</v>
      </c>
      <c r="H271" s="1">
        <v>46351</v>
      </c>
      <c r="I271" s="1">
        <v>45943</v>
      </c>
      <c r="J271">
        <v>194.25</v>
      </c>
      <c r="K271" t="s">
        <v>35</v>
      </c>
      <c r="L271">
        <v>232</v>
      </c>
      <c r="M271" t="s">
        <v>36</v>
      </c>
    </row>
    <row r="272" spans="1:13" x14ac:dyDescent="0.25">
      <c r="A272" t="s">
        <v>310</v>
      </c>
      <c r="B272" t="s">
        <v>23</v>
      </c>
      <c r="C272" t="s">
        <v>24</v>
      </c>
      <c r="D272" t="s">
        <v>40</v>
      </c>
      <c r="E272">
        <v>131</v>
      </c>
      <c r="F272">
        <v>45</v>
      </c>
      <c r="G272">
        <v>0.73</v>
      </c>
      <c r="H272" s="1">
        <v>46267</v>
      </c>
      <c r="I272" s="1">
        <v>46039</v>
      </c>
      <c r="J272">
        <v>95.63</v>
      </c>
      <c r="K272" t="s">
        <v>35</v>
      </c>
      <c r="L272">
        <v>148</v>
      </c>
      <c r="M272" t="s">
        <v>36</v>
      </c>
    </row>
    <row r="273" spans="1:13" x14ac:dyDescent="0.25">
      <c r="A273" t="s">
        <v>311</v>
      </c>
      <c r="B273" t="s">
        <v>27</v>
      </c>
      <c r="C273" t="s">
        <v>28</v>
      </c>
      <c r="D273" t="s">
        <v>49</v>
      </c>
      <c r="E273">
        <v>188</v>
      </c>
      <c r="F273">
        <v>62</v>
      </c>
      <c r="G273">
        <v>1.82</v>
      </c>
      <c r="H273" s="1">
        <v>46303</v>
      </c>
      <c r="I273" s="1">
        <v>46002</v>
      </c>
      <c r="J273">
        <v>342.16</v>
      </c>
      <c r="K273" t="s">
        <v>35</v>
      </c>
      <c r="L273">
        <v>184</v>
      </c>
      <c r="M273" t="s">
        <v>36</v>
      </c>
    </row>
    <row r="274" spans="1:13" x14ac:dyDescent="0.25">
      <c r="A274" t="s">
        <v>312</v>
      </c>
      <c r="B274" t="s">
        <v>26</v>
      </c>
      <c r="C274" t="s">
        <v>22</v>
      </c>
      <c r="D274" t="s">
        <v>34</v>
      </c>
      <c r="E274">
        <v>15</v>
      </c>
      <c r="F274">
        <v>29</v>
      </c>
      <c r="G274">
        <v>1.5</v>
      </c>
      <c r="H274" s="1">
        <v>46410</v>
      </c>
      <c r="I274" s="1">
        <v>46102</v>
      </c>
      <c r="J274">
        <v>22.5</v>
      </c>
      <c r="K274" t="s">
        <v>44</v>
      </c>
      <c r="L274">
        <v>291</v>
      </c>
      <c r="M274" t="s">
        <v>36</v>
      </c>
    </row>
    <row r="275" spans="1:13" x14ac:dyDescent="0.25">
      <c r="A275" t="s">
        <v>313</v>
      </c>
      <c r="B275" t="s">
        <v>21</v>
      </c>
      <c r="C275" t="s">
        <v>22</v>
      </c>
      <c r="D275" t="s">
        <v>49</v>
      </c>
      <c r="E275">
        <v>84</v>
      </c>
      <c r="F275">
        <v>48</v>
      </c>
      <c r="G275">
        <v>1.83</v>
      </c>
      <c r="H275" s="1">
        <v>46475</v>
      </c>
      <c r="I275" s="1">
        <v>46063</v>
      </c>
      <c r="J275">
        <v>153.72</v>
      </c>
      <c r="K275" t="s">
        <v>35</v>
      </c>
      <c r="L275">
        <v>356</v>
      </c>
      <c r="M275" t="s">
        <v>36</v>
      </c>
    </row>
    <row r="276" spans="1:13" x14ac:dyDescent="0.25">
      <c r="A276" t="s">
        <v>314</v>
      </c>
      <c r="B276" t="s">
        <v>27</v>
      </c>
      <c r="C276" t="s">
        <v>28</v>
      </c>
      <c r="D276" t="s">
        <v>34</v>
      </c>
      <c r="E276">
        <v>9</v>
      </c>
      <c r="F276">
        <v>55</v>
      </c>
      <c r="G276">
        <v>0.64</v>
      </c>
      <c r="H276" s="1">
        <v>46414</v>
      </c>
      <c r="I276" s="1">
        <v>46037</v>
      </c>
      <c r="J276">
        <v>5.76</v>
      </c>
      <c r="K276" t="s">
        <v>44</v>
      </c>
      <c r="L276">
        <v>295</v>
      </c>
      <c r="M276" t="s">
        <v>36</v>
      </c>
    </row>
    <row r="277" spans="1:13" x14ac:dyDescent="0.25">
      <c r="A277" t="s">
        <v>315</v>
      </c>
      <c r="B277" t="s">
        <v>17</v>
      </c>
      <c r="C277" t="s">
        <v>18</v>
      </c>
      <c r="D277" t="s">
        <v>38</v>
      </c>
      <c r="E277">
        <v>154</v>
      </c>
      <c r="F277">
        <v>27</v>
      </c>
      <c r="G277">
        <v>1.92</v>
      </c>
      <c r="H277" s="1">
        <v>46212</v>
      </c>
      <c r="I277" s="1">
        <v>46041</v>
      </c>
      <c r="J277">
        <v>295.68</v>
      </c>
      <c r="K277" t="s">
        <v>35</v>
      </c>
      <c r="L277">
        <v>93</v>
      </c>
      <c r="M277" t="s">
        <v>36</v>
      </c>
    </row>
    <row r="278" spans="1:13" x14ac:dyDescent="0.25">
      <c r="A278" t="s">
        <v>316</v>
      </c>
      <c r="B278" t="s">
        <v>25</v>
      </c>
      <c r="C278" t="s">
        <v>15</v>
      </c>
      <c r="D278" t="s">
        <v>38</v>
      </c>
      <c r="E278">
        <v>0</v>
      </c>
      <c r="F278">
        <v>61</v>
      </c>
      <c r="G278">
        <v>1.03</v>
      </c>
      <c r="H278" s="1">
        <v>46418</v>
      </c>
      <c r="I278" s="1">
        <v>46096</v>
      </c>
      <c r="J278">
        <v>0</v>
      </c>
      <c r="K278" t="s">
        <v>728</v>
      </c>
      <c r="L278">
        <v>299</v>
      </c>
      <c r="M278" t="s">
        <v>36</v>
      </c>
    </row>
    <row r="279" spans="1:13" x14ac:dyDescent="0.25">
      <c r="A279" t="s">
        <v>317</v>
      </c>
      <c r="B279" t="s">
        <v>21</v>
      </c>
      <c r="C279" t="s">
        <v>22</v>
      </c>
      <c r="D279" t="s">
        <v>40</v>
      </c>
      <c r="E279">
        <v>149</v>
      </c>
      <c r="F279">
        <v>32</v>
      </c>
      <c r="G279">
        <v>1.87</v>
      </c>
      <c r="H279" s="1">
        <v>46390</v>
      </c>
      <c r="I279" s="1">
        <v>46104</v>
      </c>
      <c r="J279">
        <v>278.63</v>
      </c>
      <c r="K279" t="s">
        <v>35</v>
      </c>
      <c r="L279">
        <v>271</v>
      </c>
      <c r="M279" t="s">
        <v>36</v>
      </c>
    </row>
    <row r="280" spans="1:13" x14ac:dyDescent="0.25">
      <c r="A280" t="s">
        <v>318</v>
      </c>
      <c r="B280" t="s">
        <v>27</v>
      </c>
      <c r="C280" t="s">
        <v>28</v>
      </c>
      <c r="D280" t="s">
        <v>34</v>
      </c>
      <c r="E280">
        <v>149</v>
      </c>
      <c r="F280">
        <v>28</v>
      </c>
      <c r="G280">
        <v>1.91</v>
      </c>
      <c r="H280" s="1">
        <v>46188</v>
      </c>
      <c r="I280" s="1">
        <v>46036</v>
      </c>
      <c r="J280">
        <v>284.58999999999997</v>
      </c>
      <c r="K280" t="s">
        <v>35</v>
      </c>
      <c r="L280">
        <v>69</v>
      </c>
      <c r="M280" t="s">
        <v>36</v>
      </c>
    </row>
    <row r="281" spans="1:13" x14ac:dyDescent="0.25">
      <c r="A281" t="s">
        <v>319</v>
      </c>
      <c r="B281" t="s">
        <v>16</v>
      </c>
      <c r="C281" t="s">
        <v>13</v>
      </c>
      <c r="D281" t="s">
        <v>49</v>
      </c>
      <c r="E281">
        <v>139</v>
      </c>
      <c r="F281">
        <v>41</v>
      </c>
      <c r="G281">
        <v>1.19</v>
      </c>
      <c r="H281" s="1">
        <v>46210</v>
      </c>
      <c r="I281" s="1">
        <v>46084</v>
      </c>
      <c r="J281">
        <v>165.41</v>
      </c>
      <c r="K281" t="s">
        <v>35</v>
      </c>
      <c r="L281">
        <v>91</v>
      </c>
      <c r="M281" t="s">
        <v>36</v>
      </c>
    </row>
    <row r="282" spans="1:13" x14ac:dyDescent="0.25">
      <c r="A282" t="s">
        <v>320</v>
      </c>
      <c r="B282" t="s">
        <v>17</v>
      </c>
      <c r="C282" t="s">
        <v>18</v>
      </c>
      <c r="D282" t="s">
        <v>40</v>
      </c>
      <c r="E282">
        <v>42</v>
      </c>
      <c r="F282">
        <v>22</v>
      </c>
      <c r="G282">
        <v>0.81</v>
      </c>
      <c r="H282" s="1">
        <v>46412</v>
      </c>
      <c r="I282" s="1">
        <v>46041</v>
      </c>
      <c r="J282">
        <v>34.020000000000003</v>
      </c>
      <c r="K282" t="s">
        <v>35</v>
      </c>
      <c r="L282">
        <v>293</v>
      </c>
      <c r="M282" t="s">
        <v>36</v>
      </c>
    </row>
    <row r="283" spans="1:13" x14ac:dyDescent="0.25">
      <c r="A283" t="s">
        <v>321</v>
      </c>
      <c r="B283" t="s">
        <v>12</v>
      </c>
      <c r="C283" t="s">
        <v>13</v>
      </c>
      <c r="D283" t="s">
        <v>34</v>
      </c>
      <c r="E283">
        <v>197</v>
      </c>
      <c r="F283">
        <v>57</v>
      </c>
      <c r="G283">
        <v>1.81</v>
      </c>
      <c r="H283" s="1">
        <v>46375</v>
      </c>
      <c r="I283" s="1">
        <v>45958</v>
      </c>
      <c r="J283">
        <v>356.57</v>
      </c>
      <c r="K283" t="s">
        <v>35</v>
      </c>
      <c r="L283">
        <v>256</v>
      </c>
      <c r="M283" t="s">
        <v>36</v>
      </c>
    </row>
    <row r="284" spans="1:13" x14ac:dyDescent="0.25">
      <c r="A284" t="s">
        <v>322</v>
      </c>
      <c r="B284" t="s">
        <v>23</v>
      </c>
      <c r="C284" t="s">
        <v>24</v>
      </c>
      <c r="D284" t="s">
        <v>40</v>
      </c>
      <c r="E284">
        <v>68</v>
      </c>
      <c r="F284">
        <v>67</v>
      </c>
      <c r="G284">
        <v>0.79</v>
      </c>
      <c r="H284" s="1">
        <v>46153</v>
      </c>
      <c r="I284" s="1">
        <v>46041</v>
      </c>
      <c r="J284">
        <v>53.72</v>
      </c>
      <c r="K284" t="s">
        <v>35</v>
      </c>
      <c r="L284">
        <v>34</v>
      </c>
      <c r="M284" t="s">
        <v>36</v>
      </c>
    </row>
    <row r="285" spans="1:13" x14ac:dyDescent="0.25">
      <c r="A285" t="s">
        <v>323</v>
      </c>
      <c r="B285" t="s">
        <v>27</v>
      </c>
      <c r="C285" t="s">
        <v>28</v>
      </c>
      <c r="D285" t="s">
        <v>38</v>
      </c>
      <c r="E285">
        <v>180</v>
      </c>
      <c r="F285">
        <v>29</v>
      </c>
      <c r="G285">
        <v>1.04</v>
      </c>
      <c r="H285" s="1">
        <v>46206</v>
      </c>
      <c r="I285" s="1">
        <v>46065</v>
      </c>
      <c r="J285">
        <v>187.20000000000002</v>
      </c>
      <c r="K285" t="s">
        <v>35</v>
      </c>
      <c r="L285">
        <v>87</v>
      </c>
      <c r="M285" t="s">
        <v>36</v>
      </c>
    </row>
    <row r="286" spans="1:13" x14ac:dyDescent="0.25">
      <c r="A286" t="s">
        <v>324</v>
      </c>
      <c r="B286" t="s">
        <v>21</v>
      </c>
      <c r="C286" t="s">
        <v>22</v>
      </c>
      <c r="D286" t="s">
        <v>38</v>
      </c>
      <c r="E286">
        <v>110</v>
      </c>
      <c r="F286">
        <v>68</v>
      </c>
      <c r="G286">
        <v>1.97</v>
      </c>
      <c r="H286" s="1">
        <v>46461</v>
      </c>
      <c r="I286" s="1">
        <v>46073</v>
      </c>
      <c r="J286">
        <v>216.7</v>
      </c>
      <c r="K286" t="s">
        <v>35</v>
      </c>
      <c r="L286">
        <v>342</v>
      </c>
      <c r="M286" t="s">
        <v>36</v>
      </c>
    </row>
    <row r="287" spans="1:13" x14ac:dyDescent="0.25">
      <c r="A287" t="s">
        <v>325</v>
      </c>
      <c r="B287" t="s">
        <v>14</v>
      </c>
      <c r="C287" t="s">
        <v>15</v>
      </c>
      <c r="D287" t="s">
        <v>40</v>
      </c>
      <c r="E287">
        <v>192</v>
      </c>
      <c r="F287">
        <v>84</v>
      </c>
      <c r="G287">
        <v>1.38</v>
      </c>
      <c r="H287" s="1">
        <v>46232</v>
      </c>
      <c r="I287" s="1">
        <v>46036</v>
      </c>
      <c r="J287">
        <v>264.95999999999998</v>
      </c>
      <c r="K287" t="s">
        <v>35</v>
      </c>
      <c r="L287">
        <v>113</v>
      </c>
      <c r="M287" t="s">
        <v>36</v>
      </c>
    </row>
    <row r="288" spans="1:13" x14ac:dyDescent="0.25">
      <c r="A288" t="s">
        <v>326</v>
      </c>
      <c r="B288" t="s">
        <v>23</v>
      </c>
      <c r="C288" t="s">
        <v>24</v>
      </c>
      <c r="D288" t="s">
        <v>49</v>
      </c>
      <c r="E288">
        <v>144</v>
      </c>
      <c r="F288">
        <v>92</v>
      </c>
      <c r="G288">
        <v>1.1399999999999999</v>
      </c>
      <c r="H288" s="1">
        <v>46392</v>
      </c>
      <c r="I288" s="1">
        <v>46117</v>
      </c>
      <c r="J288">
        <v>164.16</v>
      </c>
      <c r="K288" t="s">
        <v>35</v>
      </c>
      <c r="L288">
        <v>273</v>
      </c>
      <c r="M288" t="s">
        <v>36</v>
      </c>
    </row>
    <row r="289" spans="1:13" x14ac:dyDescent="0.25">
      <c r="A289" t="s">
        <v>327</v>
      </c>
      <c r="B289" t="s">
        <v>25</v>
      </c>
      <c r="C289" t="s">
        <v>15</v>
      </c>
      <c r="D289" t="s">
        <v>40</v>
      </c>
      <c r="E289">
        <v>119</v>
      </c>
      <c r="F289">
        <v>38</v>
      </c>
      <c r="G289">
        <v>1.65</v>
      </c>
      <c r="H289" s="1">
        <v>46334</v>
      </c>
      <c r="I289" s="1">
        <v>46109</v>
      </c>
      <c r="J289">
        <v>196.35</v>
      </c>
      <c r="K289" t="s">
        <v>35</v>
      </c>
      <c r="L289">
        <v>215</v>
      </c>
      <c r="M289" t="s">
        <v>36</v>
      </c>
    </row>
    <row r="290" spans="1:13" x14ac:dyDescent="0.25">
      <c r="A290" t="s">
        <v>328</v>
      </c>
      <c r="B290" t="s">
        <v>17</v>
      </c>
      <c r="C290" t="s">
        <v>18</v>
      </c>
      <c r="D290" t="s">
        <v>40</v>
      </c>
      <c r="E290">
        <v>30</v>
      </c>
      <c r="F290">
        <v>82</v>
      </c>
      <c r="G290">
        <v>1.06</v>
      </c>
      <c r="H290" s="1">
        <v>46264</v>
      </c>
      <c r="I290" s="1">
        <v>45983</v>
      </c>
      <c r="J290">
        <v>31.8</v>
      </c>
      <c r="K290" t="s">
        <v>44</v>
      </c>
      <c r="L290">
        <v>145</v>
      </c>
      <c r="M290" t="s">
        <v>36</v>
      </c>
    </row>
    <row r="291" spans="1:13" x14ac:dyDescent="0.25">
      <c r="A291" t="s">
        <v>329</v>
      </c>
      <c r="B291" t="s">
        <v>12</v>
      </c>
      <c r="C291" t="s">
        <v>13</v>
      </c>
      <c r="D291" t="s">
        <v>38</v>
      </c>
      <c r="E291">
        <v>92</v>
      </c>
      <c r="F291">
        <v>98</v>
      </c>
      <c r="G291">
        <v>1.96</v>
      </c>
      <c r="H291" s="1">
        <v>46435</v>
      </c>
      <c r="I291" s="1">
        <v>45954</v>
      </c>
      <c r="J291">
        <v>180.32</v>
      </c>
      <c r="K291" t="s">
        <v>44</v>
      </c>
      <c r="L291">
        <v>316</v>
      </c>
      <c r="M291" t="s">
        <v>36</v>
      </c>
    </row>
    <row r="292" spans="1:13" x14ac:dyDescent="0.25">
      <c r="A292" t="s">
        <v>330</v>
      </c>
      <c r="B292" t="s">
        <v>17</v>
      </c>
      <c r="C292" t="s">
        <v>18</v>
      </c>
      <c r="D292" t="s">
        <v>40</v>
      </c>
      <c r="E292">
        <v>155</v>
      </c>
      <c r="F292">
        <v>77</v>
      </c>
      <c r="G292">
        <v>0.85</v>
      </c>
      <c r="H292" s="1">
        <v>46451</v>
      </c>
      <c r="I292" s="1">
        <v>46100</v>
      </c>
      <c r="J292">
        <v>131.75</v>
      </c>
      <c r="K292" t="s">
        <v>35</v>
      </c>
      <c r="L292">
        <v>332</v>
      </c>
      <c r="M292" t="s">
        <v>36</v>
      </c>
    </row>
    <row r="293" spans="1:13" x14ac:dyDescent="0.25">
      <c r="A293" t="s">
        <v>331</v>
      </c>
      <c r="B293" t="s">
        <v>21</v>
      </c>
      <c r="C293" t="s">
        <v>22</v>
      </c>
      <c r="D293" t="s">
        <v>38</v>
      </c>
      <c r="E293">
        <v>131</v>
      </c>
      <c r="F293">
        <v>71</v>
      </c>
      <c r="G293">
        <v>0.5</v>
      </c>
      <c r="H293" s="1">
        <v>46344</v>
      </c>
      <c r="I293" s="1">
        <v>45971</v>
      </c>
      <c r="J293">
        <v>65.5</v>
      </c>
      <c r="K293" t="s">
        <v>35</v>
      </c>
      <c r="L293">
        <v>225</v>
      </c>
      <c r="M293" t="s">
        <v>36</v>
      </c>
    </row>
    <row r="294" spans="1:13" x14ac:dyDescent="0.25">
      <c r="A294" t="s">
        <v>332</v>
      </c>
      <c r="B294" t="s">
        <v>19</v>
      </c>
      <c r="C294" t="s">
        <v>20</v>
      </c>
      <c r="D294" t="s">
        <v>40</v>
      </c>
      <c r="E294">
        <v>73</v>
      </c>
      <c r="F294">
        <v>21</v>
      </c>
      <c r="G294">
        <v>0.6</v>
      </c>
      <c r="H294" s="1">
        <v>46481</v>
      </c>
      <c r="I294" s="1">
        <v>45985</v>
      </c>
      <c r="J294">
        <v>43.8</v>
      </c>
      <c r="K294" t="s">
        <v>35</v>
      </c>
      <c r="L294">
        <v>362</v>
      </c>
      <c r="M294" t="s">
        <v>36</v>
      </c>
    </row>
    <row r="295" spans="1:13" x14ac:dyDescent="0.25">
      <c r="A295" t="s">
        <v>333</v>
      </c>
      <c r="B295" t="s">
        <v>21</v>
      </c>
      <c r="C295" t="s">
        <v>22</v>
      </c>
      <c r="D295" t="s">
        <v>49</v>
      </c>
      <c r="E295">
        <v>102</v>
      </c>
      <c r="F295">
        <v>78</v>
      </c>
      <c r="G295">
        <v>1.33</v>
      </c>
      <c r="H295" s="1">
        <v>46440</v>
      </c>
      <c r="I295" s="1">
        <v>46118</v>
      </c>
      <c r="J295">
        <v>135.66</v>
      </c>
      <c r="K295" t="s">
        <v>35</v>
      </c>
      <c r="L295">
        <v>321</v>
      </c>
      <c r="M295" t="s">
        <v>36</v>
      </c>
    </row>
    <row r="296" spans="1:13" x14ac:dyDescent="0.25">
      <c r="A296" t="s">
        <v>334</v>
      </c>
      <c r="B296" t="s">
        <v>16</v>
      </c>
      <c r="C296" t="s">
        <v>13</v>
      </c>
      <c r="D296" t="s">
        <v>49</v>
      </c>
      <c r="E296">
        <v>40</v>
      </c>
      <c r="F296">
        <v>87</v>
      </c>
      <c r="G296">
        <v>0.63</v>
      </c>
      <c r="H296" s="1">
        <v>46222</v>
      </c>
      <c r="I296" s="1">
        <v>46060</v>
      </c>
      <c r="J296">
        <v>25.2</v>
      </c>
      <c r="K296" t="s">
        <v>44</v>
      </c>
      <c r="L296">
        <v>103</v>
      </c>
      <c r="M296" t="s">
        <v>36</v>
      </c>
    </row>
    <row r="297" spans="1:13" x14ac:dyDescent="0.25">
      <c r="A297" t="s">
        <v>335</v>
      </c>
      <c r="B297" t="s">
        <v>26</v>
      </c>
      <c r="C297" t="s">
        <v>22</v>
      </c>
      <c r="D297" t="s">
        <v>38</v>
      </c>
      <c r="E297">
        <v>84</v>
      </c>
      <c r="F297">
        <v>91</v>
      </c>
      <c r="G297">
        <v>1.32</v>
      </c>
      <c r="H297" s="1">
        <v>46369</v>
      </c>
      <c r="I297" s="1">
        <v>46021</v>
      </c>
      <c r="J297">
        <v>110.88000000000001</v>
      </c>
      <c r="K297" t="s">
        <v>44</v>
      </c>
      <c r="L297">
        <v>250</v>
      </c>
      <c r="M297" t="s">
        <v>36</v>
      </c>
    </row>
    <row r="298" spans="1:13" x14ac:dyDescent="0.25">
      <c r="A298" t="s">
        <v>336</v>
      </c>
      <c r="B298" t="s">
        <v>25</v>
      </c>
      <c r="C298" t="s">
        <v>15</v>
      </c>
      <c r="D298" t="s">
        <v>34</v>
      </c>
      <c r="E298">
        <v>157</v>
      </c>
      <c r="F298">
        <v>100</v>
      </c>
      <c r="G298">
        <v>1.1299999999999999</v>
      </c>
      <c r="H298" s="1">
        <v>46437</v>
      </c>
      <c r="I298" s="1">
        <v>46104</v>
      </c>
      <c r="J298">
        <v>177.41</v>
      </c>
      <c r="K298" t="s">
        <v>35</v>
      </c>
      <c r="L298">
        <v>318</v>
      </c>
      <c r="M298" t="s">
        <v>36</v>
      </c>
    </row>
    <row r="299" spans="1:13" x14ac:dyDescent="0.25">
      <c r="A299" t="s">
        <v>337</v>
      </c>
      <c r="B299" t="s">
        <v>12</v>
      </c>
      <c r="C299" t="s">
        <v>13</v>
      </c>
      <c r="D299" t="s">
        <v>38</v>
      </c>
      <c r="E299">
        <v>19</v>
      </c>
      <c r="F299">
        <v>43</v>
      </c>
      <c r="G299">
        <v>0.52</v>
      </c>
      <c r="H299" s="1">
        <v>46347</v>
      </c>
      <c r="I299" s="1">
        <v>46014</v>
      </c>
      <c r="J299">
        <v>9.8800000000000008</v>
      </c>
      <c r="K299" t="s">
        <v>44</v>
      </c>
      <c r="L299">
        <v>228</v>
      </c>
      <c r="M299" t="s">
        <v>36</v>
      </c>
    </row>
    <row r="300" spans="1:13" x14ac:dyDescent="0.25">
      <c r="A300" t="s">
        <v>338</v>
      </c>
      <c r="B300" t="s">
        <v>25</v>
      </c>
      <c r="C300" t="s">
        <v>15</v>
      </c>
      <c r="D300" t="s">
        <v>38</v>
      </c>
      <c r="E300">
        <v>38</v>
      </c>
      <c r="F300">
        <v>57</v>
      </c>
      <c r="G300">
        <v>0.75</v>
      </c>
      <c r="H300" s="1">
        <v>46177</v>
      </c>
      <c r="I300" s="1">
        <v>46096</v>
      </c>
      <c r="J300">
        <v>28.5</v>
      </c>
      <c r="K300" t="s">
        <v>44</v>
      </c>
      <c r="L300">
        <v>58</v>
      </c>
      <c r="M300" t="s">
        <v>36</v>
      </c>
    </row>
    <row r="301" spans="1:13" x14ac:dyDescent="0.25">
      <c r="A301" t="s">
        <v>339</v>
      </c>
      <c r="B301" t="s">
        <v>16</v>
      </c>
      <c r="C301" t="s">
        <v>13</v>
      </c>
      <c r="D301" t="s">
        <v>38</v>
      </c>
      <c r="E301">
        <v>187</v>
      </c>
      <c r="F301">
        <v>84</v>
      </c>
      <c r="G301">
        <v>1.78</v>
      </c>
      <c r="H301" s="1">
        <v>46269</v>
      </c>
      <c r="I301" s="1">
        <v>45939</v>
      </c>
      <c r="J301">
        <v>332.86</v>
      </c>
      <c r="K301" t="s">
        <v>35</v>
      </c>
      <c r="L301">
        <v>150</v>
      </c>
      <c r="M301" t="s">
        <v>36</v>
      </c>
    </row>
    <row r="302" spans="1:13" x14ac:dyDescent="0.25">
      <c r="A302" t="s">
        <v>340</v>
      </c>
      <c r="B302" t="s">
        <v>23</v>
      </c>
      <c r="C302" t="s">
        <v>24</v>
      </c>
      <c r="D302" t="s">
        <v>34</v>
      </c>
      <c r="E302">
        <v>150</v>
      </c>
      <c r="F302">
        <v>77</v>
      </c>
      <c r="G302">
        <v>0.92</v>
      </c>
      <c r="H302" s="1">
        <v>46425</v>
      </c>
      <c r="I302" s="1">
        <v>46054</v>
      </c>
      <c r="J302">
        <v>138</v>
      </c>
      <c r="K302" t="s">
        <v>35</v>
      </c>
      <c r="L302">
        <v>306</v>
      </c>
      <c r="M302" t="s">
        <v>36</v>
      </c>
    </row>
    <row r="303" spans="1:13" x14ac:dyDescent="0.25">
      <c r="A303" t="s">
        <v>341</v>
      </c>
      <c r="B303" t="s">
        <v>17</v>
      </c>
      <c r="C303" t="s">
        <v>18</v>
      </c>
      <c r="D303" t="s">
        <v>38</v>
      </c>
      <c r="E303">
        <v>143</v>
      </c>
      <c r="F303">
        <v>38</v>
      </c>
      <c r="G303">
        <v>1.96</v>
      </c>
      <c r="H303" s="1">
        <v>46247</v>
      </c>
      <c r="I303" s="1">
        <v>46072</v>
      </c>
      <c r="J303">
        <v>280.27999999999997</v>
      </c>
      <c r="K303" t="s">
        <v>35</v>
      </c>
      <c r="L303">
        <v>128</v>
      </c>
      <c r="M303" t="s">
        <v>36</v>
      </c>
    </row>
    <row r="304" spans="1:13" x14ac:dyDescent="0.25">
      <c r="A304" t="s">
        <v>342</v>
      </c>
      <c r="B304" t="s">
        <v>25</v>
      </c>
      <c r="C304" t="s">
        <v>15</v>
      </c>
      <c r="D304" t="s">
        <v>49</v>
      </c>
      <c r="E304">
        <v>163</v>
      </c>
      <c r="F304">
        <v>90</v>
      </c>
      <c r="G304">
        <v>1.62</v>
      </c>
      <c r="H304" s="1">
        <v>46223</v>
      </c>
      <c r="I304" s="1">
        <v>46018</v>
      </c>
      <c r="J304">
        <v>264.06</v>
      </c>
      <c r="K304" t="s">
        <v>35</v>
      </c>
      <c r="L304">
        <v>104</v>
      </c>
      <c r="M304" t="s">
        <v>36</v>
      </c>
    </row>
    <row r="305" spans="1:13" x14ac:dyDescent="0.25">
      <c r="A305" t="s">
        <v>343</v>
      </c>
      <c r="B305" t="s">
        <v>16</v>
      </c>
      <c r="C305" t="s">
        <v>13</v>
      </c>
      <c r="D305" t="s">
        <v>34</v>
      </c>
      <c r="E305">
        <v>14</v>
      </c>
      <c r="F305">
        <v>85</v>
      </c>
      <c r="G305">
        <v>1.49</v>
      </c>
      <c r="H305" s="1">
        <v>46211</v>
      </c>
      <c r="I305" s="1">
        <v>46078</v>
      </c>
      <c r="J305">
        <v>20.86</v>
      </c>
      <c r="K305" t="s">
        <v>44</v>
      </c>
      <c r="L305">
        <v>92</v>
      </c>
      <c r="M305" t="s">
        <v>36</v>
      </c>
    </row>
    <row r="306" spans="1:13" x14ac:dyDescent="0.25">
      <c r="A306" t="s">
        <v>344</v>
      </c>
      <c r="B306" t="s">
        <v>17</v>
      </c>
      <c r="C306" t="s">
        <v>18</v>
      </c>
      <c r="D306" t="s">
        <v>38</v>
      </c>
      <c r="E306">
        <v>155</v>
      </c>
      <c r="F306">
        <v>28</v>
      </c>
      <c r="G306">
        <v>1.84</v>
      </c>
      <c r="H306" s="1">
        <v>46411</v>
      </c>
      <c r="I306" s="1">
        <v>45940</v>
      </c>
      <c r="J306">
        <v>285.2</v>
      </c>
      <c r="K306" t="s">
        <v>35</v>
      </c>
      <c r="L306">
        <v>292</v>
      </c>
      <c r="M306" t="s">
        <v>36</v>
      </c>
    </row>
    <row r="307" spans="1:13" x14ac:dyDescent="0.25">
      <c r="A307" t="s">
        <v>345</v>
      </c>
      <c r="B307" t="s">
        <v>19</v>
      </c>
      <c r="C307" t="s">
        <v>20</v>
      </c>
      <c r="D307" t="s">
        <v>49</v>
      </c>
      <c r="E307">
        <v>51</v>
      </c>
      <c r="F307">
        <v>89</v>
      </c>
      <c r="G307">
        <v>1.54</v>
      </c>
      <c r="H307" s="1">
        <v>46447</v>
      </c>
      <c r="I307" s="1">
        <v>46106</v>
      </c>
      <c r="J307">
        <v>78.540000000000006</v>
      </c>
      <c r="K307" t="s">
        <v>44</v>
      </c>
      <c r="L307">
        <v>328</v>
      </c>
      <c r="M307" t="s">
        <v>36</v>
      </c>
    </row>
    <row r="308" spans="1:13" x14ac:dyDescent="0.25">
      <c r="A308" t="s">
        <v>346</v>
      </c>
      <c r="B308" t="s">
        <v>14</v>
      </c>
      <c r="C308" t="s">
        <v>15</v>
      </c>
      <c r="D308" t="s">
        <v>38</v>
      </c>
      <c r="E308">
        <v>95</v>
      </c>
      <c r="F308">
        <v>78</v>
      </c>
      <c r="G308">
        <v>0.52</v>
      </c>
      <c r="H308" s="1">
        <v>46223</v>
      </c>
      <c r="I308" s="1">
        <v>46051</v>
      </c>
      <c r="J308">
        <v>49.4</v>
      </c>
      <c r="K308" t="s">
        <v>35</v>
      </c>
      <c r="L308">
        <v>104</v>
      </c>
      <c r="M308" t="s">
        <v>36</v>
      </c>
    </row>
    <row r="309" spans="1:13" x14ac:dyDescent="0.25">
      <c r="A309" t="s">
        <v>347</v>
      </c>
      <c r="B309" t="s">
        <v>19</v>
      </c>
      <c r="C309" t="s">
        <v>20</v>
      </c>
      <c r="D309" t="s">
        <v>38</v>
      </c>
      <c r="E309">
        <v>189</v>
      </c>
      <c r="F309">
        <v>41</v>
      </c>
      <c r="G309">
        <v>0.83</v>
      </c>
      <c r="H309" s="1">
        <v>46275</v>
      </c>
      <c r="I309" s="1">
        <v>46106</v>
      </c>
      <c r="J309">
        <v>156.87</v>
      </c>
      <c r="K309" t="s">
        <v>35</v>
      </c>
      <c r="L309">
        <v>156</v>
      </c>
      <c r="M309" t="s">
        <v>36</v>
      </c>
    </row>
    <row r="310" spans="1:13" x14ac:dyDescent="0.25">
      <c r="A310" t="s">
        <v>348</v>
      </c>
      <c r="B310" t="s">
        <v>17</v>
      </c>
      <c r="C310" t="s">
        <v>18</v>
      </c>
      <c r="D310" t="s">
        <v>38</v>
      </c>
      <c r="E310">
        <v>27</v>
      </c>
      <c r="F310">
        <v>22</v>
      </c>
      <c r="G310">
        <v>1.37</v>
      </c>
      <c r="H310" s="1">
        <v>46303</v>
      </c>
      <c r="I310" s="1">
        <v>46022</v>
      </c>
      <c r="J310">
        <v>36.99</v>
      </c>
      <c r="K310" t="s">
        <v>35</v>
      </c>
      <c r="L310">
        <v>184</v>
      </c>
      <c r="M310" t="s">
        <v>36</v>
      </c>
    </row>
    <row r="311" spans="1:13" x14ac:dyDescent="0.25">
      <c r="A311" t="s">
        <v>349</v>
      </c>
      <c r="B311" t="s">
        <v>16</v>
      </c>
      <c r="C311" t="s">
        <v>13</v>
      </c>
      <c r="D311" t="s">
        <v>34</v>
      </c>
      <c r="E311">
        <v>159</v>
      </c>
      <c r="F311">
        <v>25</v>
      </c>
      <c r="G311">
        <v>1.68</v>
      </c>
      <c r="H311" s="1">
        <v>46293</v>
      </c>
      <c r="I311" s="1">
        <v>46037</v>
      </c>
      <c r="J311">
        <v>267.12</v>
      </c>
      <c r="K311" t="s">
        <v>35</v>
      </c>
      <c r="L311">
        <v>174</v>
      </c>
      <c r="M311" t="s">
        <v>36</v>
      </c>
    </row>
    <row r="312" spans="1:13" x14ac:dyDescent="0.25">
      <c r="A312" t="s">
        <v>350</v>
      </c>
      <c r="B312" t="s">
        <v>23</v>
      </c>
      <c r="C312" t="s">
        <v>24</v>
      </c>
      <c r="D312" t="s">
        <v>49</v>
      </c>
      <c r="E312">
        <v>143</v>
      </c>
      <c r="F312">
        <v>38</v>
      </c>
      <c r="G312">
        <v>0.99</v>
      </c>
      <c r="H312" s="1">
        <v>46189</v>
      </c>
      <c r="I312" s="1">
        <v>46061</v>
      </c>
      <c r="J312">
        <v>141.57</v>
      </c>
      <c r="K312" t="s">
        <v>35</v>
      </c>
      <c r="L312">
        <v>70</v>
      </c>
      <c r="M312" t="s">
        <v>36</v>
      </c>
    </row>
    <row r="313" spans="1:13" x14ac:dyDescent="0.25">
      <c r="A313" t="s">
        <v>351</v>
      </c>
      <c r="B313" t="s">
        <v>26</v>
      </c>
      <c r="C313" t="s">
        <v>22</v>
      </c>
      <c r="D313" t="s">
        <v>40</v>
      </c>
      <c r="E313">
        <v>106</v>
      </c>
      <c r="F313">
        <v>83</v>
      </c>
      <c r="G313">
        <v>1.43</v>
      </c>
      <c r="H313" s="1">
        <v>46405</v>
      </c>
      <c r="I313" s="1">
        <v>46000</v>
      </c>
      <c r="J313">
        <v>151.57999999999998</v>
      </c>
      <c r="K313" t="s">
        <v>35</v>
      </c>
      <c r="L313">
        <v>286</v>
      </c>
      <c r="M313" t="s">
        <v>36</v>
      </c>
    </row>
    <row r="314" spans="1:13" x14ac:dyDescent="0.25">
      <c r="A314" t="s">
        <v>352</v>
      </c>
      <c r="B314" t="s">
        <v>12</v>
      </c>
      <c r="C314" t="s">
        <v>13</v>
      </c>
      <c r="D314" t="s">
        <v>40</v>
      </c>
      <c r="E314">
        <v>107</v>
      </c>
      <c r="F314">
        <v>46</v>
      </c>
      <c r="G314">
        <v>1.2</v>
      </c>
      <c r="H314" s="1">
        <v>46322</v>
      </c>
      <c r="I314" s="1">
        <v>46004</v>
      </c>
      <c r="J314">
        <v>128.4</v>
      </c>
      <c r="K314" t="s">
        <v>35</v>
      </c>
      <c r="L314">
        <v>203</v>
      </c>
      <c r="M314" t="s">
        <v>36</v>
      </c>
    </row>
    <row r="315" spans="1:13" x14ac:dyDescent="0.25">
      <c r="A315" t="s">
        <v>353</v>
      </c>
      <c r="B315" t="s">
        <v>16</v>
      </c>
      <c r="C315" t="s">
        <v>13</v>
      </c>
      <c r="D315" t="s">
        <v>49</v>
      </c>
      <c r="E315">
        <v>78</v>
      </c>
      <c r="F315">
        <v>22</v>
      </c>
      <c r="G315">
        <v>0.96</v>
      </c>
      <c r="H315" s="1">
        <v>46323</v>
      </c>
      <c r="I315" s="1">
        <v>45939</v>
      </c>
      <c r="J315">
        <v>74.88</v>
      </c>
      <c r="K315" t="s">
        <v>35</v>
      </c>
      <c r="L315">
        <v>204</v>
      </c>
      <c r="M315" t="s">
        <v>36</v>
      </c>
    </row>
    <row r="316" spans="1:13" x14ac:dyDescent="0.25">
      <c r="A316" t="s">
        <v>354</v>
      </c>
      <c r="B316" t="s">
        <v>27</v>
      </c>
      <c r="C316" t="s">
        <v>28</v>
      </c>
      <c r="D316" t="s">
        <v>40</v>
      </c>
      <c r="E316">
        <v>94</v>
      </c>
      <c r="F316">
        <v>78</v>
      </c>
      <c r="G316">
        <v>1.6</v>
      </c>
      <c r="H316" s="1">
        <v>46406</v>
      </c>
      <c r="I316" s="1">
        <v>46093</v>
      </c>
      <c r="J316">
        <v>150.4</v>
      </c>
      <c r="K316" t="s">
        <v>35</v>
      </c>
      <c r="L316">
        <v>287</v>
      </c>
      <c r="M316" t="s">
        <v>36</v>
      </c>
    </row>
    <row r="317" spans="1:13" x14ac:dyDescent="0.25">
      <c r="A317" t="s">
        <v>355</v>
      </c>
      <c r="B317" t="s">
        <v>17</v>
      </c>
      <c r="C317" t="s">
        <v>18</v>
      </c>
      <c r="D317" t="s">
        <v>38</v>
      </c>
      <c r="E317">
        <v>97</v>
      </c>
      <c r="F317">
        <v>66</v>
      </c>
      <c r="G317">
        <v>1.36</v>
      </c>
      <c r="H317" s="1">
        <v>46324</v>
      </c>
      <c r="I317" s="1">
        <v>45966</v>
      </c>
      <c r="J317">
        <v>131.92000000000002</v>
      </c>
      <c r="K317" t="s">
        <v>35</v>
      </c>
      <c r="L317">
        <v>205</v>
      </c>
      <c r="M317" t="s">
        <v>36</v>
      </c>
    </row>
    <row r="318" spans="1:13" x14ac:dyDescent="0.25">
      <c r="A318" t="s">
        <v>356</v>
      </c>
      <c r="B318" t="s">
        <v>21</v>
      </c>
      <c r="C318" t="s">
        <v>22</v>
      </c>
      <c r="D318" t="s">
        <v>34</v>
      </c>
      <c r="E318">
        <v>16</v>
      </c>
      <c r="F318">
        <v>27</v>
      </c>
      <c r="G318">
        <v>1.73</v>
      </c>
      <c r="H318" s="1">
        <v>46217</v>
      </c>
      <c r="I318" s="1">
        <v>46024</v>
      </c>
      <c r="J318">
        <v>27.68</v>
      </c>
      <c r="K318" t="s">
        <v>44</v>
      </c>
      <c r="L318">
        <v>98</v>
      </c>
      <c r="M318" t="s">
        <v>36</v>
      </c>
    </row>
    <row r="319" spans="1:13" x14ac:dyDescent="0.25">
      <c r="A319" t="s">
        <v>357</v>
      </c>
      <c r="B319" t="s">
        <v>14</v>
      </c>
      <c r="C319" t="s">
        <v>15</v>
      </c>
      <c r="D319" t="s">
        <v>49</v>
      </c>
      <c r="E319">
        <v>104</v>
      </c>
      <c r="F319">
        <v>34</v>
      </c>
      <c r="G319">
        <v>1.78</v>
      </c>
      <c r="H319" s="1">
        <v>46482</v>
      </c>
      <c r="I319" s="1">
        <v>46082</v>
      </c>
      <c r="J319">
        <v>185.12</v>
      </c>
      <c r="K319" t="s">
        <v>35</v>
      </c>
      <c r="L319">
        <v>363</v>
      </c>
      <c r="M319" t="s">
        <v>36</v>
      </c>
    </row>
    <row r="320" spans="1:13" x14ac:dyDescent="0.25">
      <c r="A320" t="s">
        <v>358</v>
      </c>
      <c r="B320" t="s">
        <v>23</v>
      </c>
      <c r="C320" t="s">
        <v>24</v>
      </c>
      <c r="D320" t="s">
        <v>40</v>
      </c>
      <c r="E320">
        <v>198</v>
      </c>
      <c r="F320">
        <v>87</v>
      </c>
      <c r="G320">
        <v>1.51</v>
      </c>
      <c r="H320" s="1">
        <v>46374</v>
      </c>
      <c r="I320" s="1">
        <v>45986</v>
      </c>
      <c r="J320">
        <v>298.98</v>
      </c>
      <c r="K320" t="s">
        <v>35</v>
      </c>
      <c r="L320">
        <v>255</v>
      </c>
      <c r="M320" t="s">
        <v>36</v>
      </c>
    </row>
    <row r="321" spans="1:13" x14ac:dyDescent="0.25">
      <c r="A321" t="s">
        <v>359</v>
      </c>
      <c r="B321" t="s">
        <v>27</v>
      </c>
      <c r="C321" t="s">
        <v>28</v>
      </c>
      <c r="D321" t="s">
        <v>40</v>
      </c>
      <c r="E321">
        <v>71</v>
      </c>
      <c r="F321">
        <v>77</v>
      </c>
      <c r="G321">
        <v>1.44</v>
      </c>
      <c r="H321" s="1">
        <v>46153</v>
      </c>
      <c r="I321" s="1">
        <v>46116</v>
      </c>
      <c r="J321">
        <v>102.24</v>
      </c>
      <c r="K321" t="s">
        <v>44</v>
      </c>
      <c r="L321">
        <v>34</v>
      </c>
      <c r="M321" t="s">
        <v>36</v>
      </c>
    </row>
    <row r="322" spans="1:13" x14ac:dyDescent="0.25">
      <c r="A322" t="s">
        <v>360</v>
      </c>
      <c r="B322" t="s">
        <v>21</v>
      </c>
      <c r="C322" t="s">
        <v>22</v>
      </c>
      <c r="D322" t="s">
        <v>34</v>
      </c>
      <c r="E322">
        <v>196</v>
      </c>
      <c r="F322">
        <v>35</v>
      </c>
      <c r="G322">
        <v>1.18</v>
      </c>
      <c r="H322" s="1">
        <v>46313</v>
      </c>
      <c r="I322" s="1">
        <v>46093</v>
      </c>
      <c r="J322">
        <v>231.28</v>
      </c>
      <c r="K322" t="s">
        <v>35</v>
      </c>
      <c r="L322">
        <v>194</v>
      </c>
      <c r="M322" t="s">
        <v>36</v>
      </c>
    </row>
    <row r="323" spans="1:13" x14ac:dyDescent="0.25">
      <c r="A323" t="s">
        <v>361</v>
      </c>
      <c r="B323" t="s">
        <v>19</v>
      </c>
      <c r="C323" t="s">
        <v>20</v>
      </c>
      <c r="D323" t="s">
        <v>40</v>
      </c>
      <c r="E323">
        <v>144</v>
      </c>
      <c r="F323">
        <v>87</v>
      </c>
      <c r="G323">
        <v>1.02</v>
      </c>
      <c r="H323" s="1">
        <v>46370</v>
      </c>
      <c r="I323" s="1">
        <v>46007</v>
      </c>
      <c r="J323">
        <v>146.88</v>
      </c>
      <c r="K323" t="s">
        <v>35</v>
      </c>
      <c r="L323">
        <v>251</v>
      </c>
      <c r="M323" t="s">
        <v>36</v>
      </c>
    </row>
    <row r="324" spans="1:13" x14ac:dyDescent="0.25">
      <c r="A324" t="s">
        <v>362</v>
      </c>
      <c r="B324" t="s">
        <v>14</v>
      </c>
      <c r="C324" t="s">
        <v>15</v>
      </c>
      <c r="D324" t="s">
        <v>34</v>
      </c>
      <c r="E324">
        <v>118</v>
      </c>
      <c r="F324">
        <v>77</v>
      </c>
      <c r="G324">
        <v>0.69</v>
      </c>
      <c r="H324" s="1">
        <v>46386</v>
      </c>
      <c r="I324" s="1">
        <v>45940</v>
      </c>
      <c r="J324">
        <v>81.419999999999987</v>
      </c>
      <c r="K324" t="s">
        <v>35</v>
      </c>
      <c r="L324">
        <v>267</v>
      </c>
      <c r="M324" t="s">
        <v>36</v>
      </c>
    </row>
    <row r="325" spans="1:13" x14ac:dyDescent="0.25">
      <c r="A325" t="s">
        <v>363</v>
      </c>
      <c r="B325" t="s">
        <v>27</v>
      </c>
      <c r="C325" t="s">
        <v>28</v>
      </c>
      <c r="D325" t="s">
        <v>49</v>
      </c>
      <c r="E325">
        <v>119</v>
      </c>
      <c r="F325">
        <v>43</v>
      </c>
      <c r="G325">
        <v>1.0900000000000001</v>
      </c>
      <c r="H325" s="1">
        <v>46259</v>
      </c>
      <c r="I325" s="1">
        <v>46118</v>
      </c>
      <c r="J325">
        <v>129.71</v>
      </c>
      <c r="K325" t="s">
        <v>35</v>
      </c>
      <c r="L325">
        <v>140</v>
      </c>
      <c r="M325" t="s">
        <v>36</v>
      </c>
    </row>
    <row r="326" spans="1:13" x14ac:dyDescent="0.25">
      <c r="A326" t="s">
        <v>364</v>
      </c>
      <c r="B326" t="s">
        <v>17</v>
      </c>
      <c r="C326" t="s">
        <v>18</v>
      </c>
      <c r="D326" t="s">
        <v>34</v>
      </c>
      <c r="E326">
        <v>117</v>
      </c>
      <c r="F326">
        <v>30</v>
      </c>
      <c r="G326">
        <v>1.79</v>
      </c>
      <c r="H326" s="1">
        <v>46188</v>
      </c>
      <c r="I326" s="1">
        <v>46085</v>
      </c>
      <c r="J326">
        <v>209.43</v>
      </c>
      <c r="K326" t="s">
        <v>35</v>
      </c>
      <c r="L326">
        <v>69</v>
      </c>
      <c r="M326" t="s">
        <v>36</v>
      </c>
    </row>
    <row r="327" spans="1:13" x14ac:dyDescent="0.25">
      <c r="A327" t="s">
        <v>365</v>
      </c>
      <c r="B327" t="s">
        <v>12</v>
      </c>
      <c r="C327" t="s">
        <v>13</v>
      </c>
      <c r="D327" t="s">
        <v>38</v>
      </c>
      <c r="E327">
        <v>189</v>
      </c>
      <c r="F327">
        <v>90</v>
      </c>
      <c r="G327">
        <v>0.62</v>
      </c>
      <c r="H327" s="1">
        <v>46266</v>
      </c>
      <c r="I327" s="1">
        <v>46026</v>
      </c>
      <c r="J327">
        <v>117.17999999999999</v>
      </c>
      <c r="K327" t="s">
        <v>35</v>
      </c>
      <c r="L327">
        <v>147</v>
      </c>
      <c r="M327" t="s">
        <v>36</v>
      </c>
    </row>
    <row r="328" spans="1:13" x14ac:dyDescent="0.25">
      <c r="A328" t="s">
        <v>366</v>
      </c>
      <c r="B328" t="s">
        <v>19</v>
      </c>
      <c r="C328" t="s">
        <v>20</v>
      </c>
      <c r="D328" t="s">
        <v>49</v>
      </c>
      <c r="E328">
        <v>135</v>
      </c>
      <c r="F328">
        <v>99</v>
      </c>
      <c r="G328">
        <v>1.34</v>
      </c>
      <c r="H328" s="1">
        <v>46205</v>
      </c>
      <c r="I328" s="1">
        <v>45978</v>
      </c>
      <c r="J328">
        <v>180.9</v>
      </c>
      <c r="K328" t="s">
        <v>35</v>
      </c>
      <c r="L328">
        <v>86</v>
      </c>
      <c r="M328" t="s">
        <v>36</v>
      </c>
    </row>
    <row r="329" spans="1:13" x14ac:dyDescent="0.25">
      <c r="A329" t="s">
        <v>367</v>
      </c>
      <c r="B329" t="s">
        <v>25</v>
      </c>
      <c r="C329" t="s">
        <v>15</v>
      </c>
      <c r="D329" t="s">
        <v>40</v>
      </c>
      <c r="E329">
        <v>131</v>
      </c>
      <c r="F329">
        <v>50</v>
      </c>
      <c r="G329">
        <v>1.96</v>
      </c>
      <c r="H329" s="1">
        <v>46265</v>
      </c>
      <c r="I329" s="1">
        <v>46069</v>
      </c>
      <c r="J329">
        <v>256.76</v>
      </c>
      <c r="K329" t="s">
        <v>35</v>
      </c>
      <c r="L329">
        <v>146</v>
      </c>
      <c r="M329" t="s">
        <v>36</v>
      </c>
    </row>
    <row r="330" spans="1:13" x14ac:dyDescent="0.25">
      <c r="A330" t="s">
        <v>368</v>
      </c>
      <c r="B330" t="s">
        <v>17</v>
      </c>
      <c r="C330" t="s">
        <v>18</v>
      </c>
      <c r="D330" t="s">
        <v>34</v>
      </c>
      <c r="E330">
        <v>17</v>
      </c>
      <c r="F330">
        <v>26</v>
      </c>
      <c r="G330">
        <v>1.1200000000000001</v>
      </c>
      <c r="H330" s="1">
        <v>46420</v>
      </c>
      <c r="I330" s="1">
        <v>46049</v>
      </c>
      <c r="J330">
        <v>19.040000000000003</v>
      </c>
      <c r="K330" t="s">
        <v>44</v>
      </c>
      <c r="L330">
        <v>301</v>
      </c>
      <c r="M330" t="s">
        <v>36</v>
      </c>
    </row>
    <row r="331" spans="1:13" x14ac:dyDescent="0.25">
      <c r="A331" t="s">
        <v>369</v>
      </c>
      <c r="B331" t="s">
        <v>27</v>
      </c>
      <c r="C331" t="s">
        <v>28</v>
      </c>
      <c r="D331" t="s">
        <v>34</v>
      </c>
      <c r="E331">
        <v>181</v>
      </c>
      <c r="F331">
        <v>57</v>
      </c>
      <c r="G331">
        <v>1.46</v>
      </c>
      <c r="H331" s="1">
        <v>46287</v>
      </c>
      <c r="I331" s="1">
        <v>46007</v>
      </c>
      <c r="J331">
        <v>264.26</v>
      </c>
      <c r="K331" t="s">
        <v>35</v>
      </c>
      <c r="L331">
        <v>168</v>
      </c>
      <c r="M331" t="s">
        <v>36</v>
      </c>
    </row>
    <row r="332" spans="1:13" x14ac:dyDescent="0.25">
      <c r="A332" t="s">
        <v>370</v>
      </c>
      <c r="B332" t="s">
        <v>26</v>
      </c>
      <c r="C332" t="s">
        <v>22</v>
      </c>
      <c r="D332" t="s">
        <v>49</v>
      </c>
      <c r="E332">
        <v>140</v>
      </c>
      <c r="F332">
        <v>33</v>
      </c>
      <c r="G332">
        <v>1.89</v>
      </c>
      <c r="H332" s="1">
        <v>46164</v>
      </c>
      <c r="I332" s="1">
        <v>46094</v>
      </c>
      <c r="J332">
        <v>264.59999999999997</v>
      </c>
      <c r="K332" t="s">
        <v>35</v>
      </c>
      <c r="L332">
        <v>45</v>
      </c>
      <c r="M332" t="s">
        <v>36</v>
      </c>
    </row>
    <row r="333" spans="1:13" x14ac:dyDescent="0.25">
      <c r="A333" t="s">
        <v>371</v>
      </c>
      <c r="B333" t="s">
        <v>26</v>
      </c>
      <c r="C333" t="s">
        <v>22</v>
      </c>
      <c r="D333" t="s">
        <v>38</v>
      </c>
      <c r="E333">
        <v>128</v>
      </c>
      <c r="F333">
        <v>83</v>
      </c>
      <c r="G333">
        <v>1.68</v>
      </c>
      <c r="H333" s="1">
        <v>46405</v>
      </c>
      <c r="I333" s="1">
        <v>45957</v>
      </c>
      <c r="J333">
        <v>215.04</v>
      </c>
      <c r="K333" t="s">
        <v>35</v>
      </c>
      <c r="L333">
        <v>286</v>
      </c>
      <c r="M333" t="s">
        <v>36</v>
      </c>
    </row>
    <row r="334" spans="1:13" x14ac:dyDescent="0.25">
      <c r="A334" t="s">
        <v>372</v>
      </c>
      <c r="B334" t="s">
        <v>19</v>
      </c>
      <c r="C334" t="s">
        <v>20</v>
      </c>
      <c r="D334" t="s">
        <v>34</v>
      </c>
      <c r="E334">
        <v>39</v>
      </c>
      <c r="F334">
        <v>72</v>
      </c>
      <c r="G334">
        <v>1.62</v>
      </c>
      <c r="H334" s="1">
        <v>46355</v>
      </c>
      <c r="I334" s="1">
        <v>46035</v>
      </c>
      <c r="J334">
        <v>63.180000000000007</v>
      </c>
      <c r="K334" t="s">
        <v>44</v>
      </c>
      <c r="L334">
        <v>236</v>
      </c>
      <c r="M334" t="s">
        <v>36</v>
      </c>
    </row>
    <row r="335" spans="1:13" x14ac:dyDescent="0.25">
      <c r="A335" t="s">
        <v>373</v>
      </c>
      <c r="B335" t="s">
        <v>25</v>
      </c>
      <c r="C335" t="s">
        <v>15</v>
      </c>
      <c r="D335" t="s">
        <v>49</v>
      </c>
      <c r="E335">
        <v>84</v>
      </c>
      <c r="F335">
        <v>69</v>
      </c>
      <c r="G335">
        <v>1.49</v>
      </c>
      <c r="H335" s="1">
        <v>46212</v>
      </c>
      <c r="I335" s="1">
        <v>46023</v>
      </c>
      <c r="J335">
        <v>125.16</v>
      </c>
      <c r="K335" t="s">
        <v>35</v>
      </c>
      <c r="L335">
        <v>93</v>
      </c>
      <c r="M335" t="s">
        <v>36</v>
      </c>
    </row>
    <row r="336" spans="1:13" x14ac:dyDescent="0.25">
      <c r="A336" t="s">
        <v>374</v>
      </c>
      <c r="B336" t="s">
        <v>16</v>
      </c>
      <c r="C336" t="s">
        <v>13</v>
      </c>
      <c r="D336" t="s">
        <v>49</v>
      </c>
      <c r="E336">
        <v>173</v>
      </c>
      <c r="F336">
        <v>52</v>
      </c>
      <c r="G336">
        <v>1.91</v>
      </c>
      <c r="H336" s="1">
        <v>46315</v>
      </c>
      <c r="I336" s="1">
        <v>46107</v>
      </c>
      <c r="J336">
        <v>330.43</v>
      </c>
      <c r="K336" t="s">
        <v>35</v>
      </c>
      <c r="L336">
        <v>196</v>
      </c>
      <c r="M336" t="s">
        <v>36</v>
      </c>
    </row>
    <row r="337" spans="1:13" x14ac:dyDescent="0.25">
      <c r="A337" t="s">
        <v>375</v>
      </c>
      <c r="B337" t="s">
        <v>19</v>
      </c>
      <c r="C337" t="s">
        <v>20</v>
      </c>
      <c r="D337" t="s">
        <v>34</v>
      </c>
      <c r="E337">
        <v>85</v>
      </c>
      <c r="F337">
        <v>57</v>
      </c>
      <c r="G337">
        <v>1.23</v>
      </c>
      <c r="H337" s="1">
        <v>46245</v>
      </c>
      <c r="I337" s="1">
        <v>46048</v>
      </c>
      <c r="J337">
        <v>104.55</v>
      </c>
      <c r="K337" t="s">
        <v>35</v>
      </c>
      <c r="L337">
        <v>126</v>
      </c>
      <c r="M337" t="s">
        <v>36</v>
      </c>
    </row>
    <row r="338" spans="1:13" x14ac:dyDescent="0.25">
      <c r="A338" t="s">
        <v>376</v>
      </c>
      <c r="B338" t="s">
        <v>25</v>
      </c>
      <c r="C338" t="s">
        <v>15</v>
      </c>
      <c r="D338" t="s">
        <v>38</v>
      </c>
      <c r="E338">
        <v>144</v>
      </c>
      <c r="F338">
        <v>76</v>
      </c>
      <c r="G338">
        <v>0.54</v>
      </c>
      <c r="H338" s="1">
        <v>46464</v>
      </c>
      <c r="I338" s="1">
        <v>45940</v>
      </c>
      <c r="J338">
        <v>77.760000000000005</v>
      </c>
      <c r="K338" t="s">
        <v>35</v>
      </c>
      <c r="L338">
        <v>345</v>
      </c>
      <c r="M338" t="s">
        <v>36</v>
      </c>
    </row>
    <row r="339" spans="1:13" x14ac:dyDescent="0.25">
      <c r="A339" t="s">
        <v>377</v>
      </c>
      <c r="B339" t="s">
        <v>23</v>
      </c>
      <c r="C339" t="s">
        <v>24</v>
      </c>
      <c r="D339" t="s">
        <v>49</v>
      </c>
      <c r="E339">
        <v>147</v>
      </c>
      <c r="F339">
        <v>99</v>
      </c>
      <c r="G339">
        <v>1.1000000000000001</v>
      </c>
      <c r="H339" s="1">
        <v>46344</v>
      </c>
      <c r="I339" s="1">
        <v>45969</v>
      </c>
      <c r="J339">
        <v>161.70000000000002</v>
      </c>
      <c r="K339" t="s">
        <v>35</v>
      </c>
      <c r="L339">
        <v>225</v>
      </c>
      <c r="M339" t="s">
        <v>36</v>
      </c>
    </row>
    <row r="340" spans="1:13" x14ac:dyDescent="0.25">
      <c r="A340" t="s">
        <v>378</v>
      </c>
      <c r="B340" t="s">
        <v>26</v>
      </c>
      <c r="C340" t="s">
        <v>22</v>
      </c>
      <c r="D340" t="s">
        <v>38</v>
      </c>
      <c r="E340">
        <v>166</v>
      </c>
      <c r="F340">
        <v>49</v>
      </c>
      <c r="G340">
        <v>1.73</v>
      </c>
      <c r="H340" s="1">
        <v>46355</v>
      </c>
      <c r="I340" s="1">
        <v>45992</v>
      </c>
      <c r="J340">
        <v>287.18</v>
      </c>
      <c r="K340" t="s">
        <v>35</v>
      </c>
      <c r="L340">
        <v>236</v>
      </c>
      <c r="M340" t="s">
        <v>36</v>
      </c>
    </row>
    <row r="341" spans="1:13" x14ac:dyDescent="0.25">
      <c r="A341" t="s">
        <v>379</v>
      </c>
      <c r="B341" t="s">
        <v>25</v>
      </c>
      <c r="C341" t="s">
        <v>15</v>
      </c>
      <c r="D341" t="s">
        <v>40</v>
      </c>
      <c r="E341">
        <v>149</v>
      </c>
      <c r="F341">
        <v>58</v>
      </c>
      <c r="G341">
        <v>1.52</v>
      </c>
      <c r="H341" s="1">
        <v>46277</v>
      </c>
      <c r="I341" s="1">
        <v>45976</v>
      </c>
      <c r="J341">
        <v>226.48</v>
      </c>
      <c r="K341" t="s">
        <v>35</v>
      </c>
      <c r="L341">
        <v>158</v>
      </c>
      <c r="M341" t="s">
        <v>36</v>
      </c>
    </row>
    <row r="342" spans="1:13" x14ac:dyDescent="0.25">
      <c r="A342" t="s">
        <v>380</v>
      </c>
      <c r="B342" t="s">
        <v>19</v>
      </c>
      <c r="C342" t="s">
        <v>20</v>
      </c>
      <c r="D342" t="s">
        <v>34</v>
      </c>
      <c r="E342">
        <v>189</v>
      </c>
      <c r="F342">
        <v>44</v>
      </c>
      <c r="G342">
        <v>1.06</v>
      </c>
      <c r="H342" s="1">
        <v>46230</v>
      </c>
      <c r="I342" s="1">
        <v>45961</v>
      </c>
      <c r="J342">
        <v>200.34</v>
      </c>
      <c r="K342" t="s">
        <v>35</v>
      </c>
      <c r="L342">
        <v>111</v>
      </c>
      <c r="M342" t="s">
        <v>36</v>
      </c>
    </row>
    <row r="343" spans="1:13" x14ac:dyDescent="0.25">
      <c r="A343" t="s">
        <v>381</v>
      </c>
      <c r="B343" t="s">
        <v>27</v>
      </c>
      <c r="C343" t="s">
        <v>28</v>
      </c>
      <c r="D343" t="s">
        <v>38</v>
      </c>
      <c r="E343">
        <v>122</v>
      </c>
      <c r="F343">
        <v>33</v>
      </c>
      <c r="G343">
        <v>1.64</v>
      </c>
      <c r="H343" s="1">
        <v>46460</v>
      </c>
      <c r="I343" s="1">
        <v>46097</v>
      </c>
      <c r="J343">
        <v>200.07999999999998</v>
      </c>
      <c r="K343" t="s">
        <v>35</v>
      </c>
      <c r="L343">
        <v>341</v>
      </c>
      <c r="M343" t="s">
        <v>36</v>
      </c>
    </row>
    <row r="344" spans="1:13" x14ac:dyDescent="0.25">
      <c r="A344" t="s">
        <v>382</v>
      </c>
      <c r="B344" t="s">
        <v>17</v>
      </c>
      <c r="C344" t="s">
        <v>18</v>
      </c>
      <c r="D344" t="s">
        <v>40</v>
      </c>
      <c r="E344">
        <v>5</v>
      </c>
      <c r="F344">
        <v>88</v>
      </c>
      <c r="G344">
        <v>1.71</v>
      </c>
      <c r="H344" s="1">
        <v>46266</v>
      </c>
      <c r="I344" s="1">
        <v>46049</v>
      </c>
      <c r="J344">
        <v>8.5500000000000007</v>
      </c>
      <c r="K344" t="s">
        <v>44</v>
      </c>
      <c r="L344">
        <v>147</v>
      </c>
      <c r="M344" t="s">
        <v>36</v>
      </c>
    </row>
    <row r="345" spans="1:13" x14ac:dyDescent="0.25">
      <c r="A345" t="s">
        <v>383</v>
      </c>
      <c r="B345" t="s">
        <v>23</v>
      </c>
      <c r="C345" t="s">
        <v>24</v>
      </c>
      <c r="D345" t="s">
        <v>49</v>
      </c>
      <c r="E345">
        <v>187</v>
      </c>
      <c r="F345">
        <v>76</v>
      </c>
      <c r="G345">
        <v>1.52</v>
      </c>
      <c r="H345" s="1">
        <v>46216</v>
      </c>
      <c r="I345" s="1">
        <v>46076</v>
      </c>
      <c r="J345">
        <v>284.24</v>
      </c>
      <c r="K345" t="s">
        <v>35</v>
      </c>
      <c r="L345">
        <v>97</v>
      </c>
      <c r="M345" t="s">
        <v>36</v>
      </c>
    </row>
    <row r="346" spans="1:13" x14ac:dyDescent="0.25">
      <c r="A346" t="s">
        <v>384</v>
      </c>
      <c r="B346" t="s">
        <v>27</v>
      </c>
      <c r="C346" t="s">
        <v>28</v>
      </c>
      <c r="D346" t="s">
        <v>40</v>
      </c>
      <c r="E346">
        <v>114</v>
      </c>
      <c r="F346">
        <v>82</v>
      </c>
      <c r="G346">
        <v>1.25</v>
      </c>
      <c r="H346" s="1">
        <v>46455</v>
      </c>
      <c r="I346" s="1">
        <v>45990</v>
      </c>
      <c r="J346">
        <v>142.5</v>
      </c>
      <c r="K346" t="s">
        <v>35</v>
      </c>
      <c r="L346">
        <v>336</v>
      </c>
      <c r="M346" t="s">
        <v>36</v>
      </c>
    </row>
    <row r="347" spans="1:13" x14ac:dyDescent="0.25">
      <c r="A347" t="s">
        <v>385</v>
      </c>
      <c r="B347" t="s">
        <v>21</v>
      </c>
      <c r="C347" t="s">
        <v>22</v>
      </c>
      <c r="D347" t="s">
        <v>34</v>
      </c>
      <c r="E347">
        <v>99</v>
      </c>
      <c r="F347">
        <v>90</v>
      </c>
      <c r="G347">
        <v>1.45</v>
      </c>
      <c r="H347" s="1">
        <v>46263</v>
      </c>
      <c r="I347" s="1">
        <v>46086</v>
      </c>
      <c r="J347">
        <v>143.54999999999998</v>
      </c>
      <c r="K347" t="s">
        <v>35</v>
      </c>
      <c r="L347">
        <v>144</v>
      </c>
      <c r="M347" t="s">
        <v>36</v>
      </c>
    </row>
    <row r="348" spans="1:13" x14ac:dyDescent="0.25">
      <c r="A348" t="s">
        <v>386</v>
      </c>
      <c r="B348" t="s">
        <v>12</v>
      </c>
      <c r="C348" t="s">
        <v>13</v>
      </c>
      <c r="D348" t="s">
        <v>49</v>
      </c>
      <c r="E348">
        <v>80</v>
      </c>
      <c r="F348">
        <v>60</v>
      </c>
      <c r="G348">
        <v>1.89</v>
      </c>
      <c r="H348" s="1">
        <v>46425</v>
      </c>
      <c r="I348" s="1">
        <v>46021</v>
      </c>
      <c r="J348">
        <v>151.19999999999999</v>
      </c>
      <c r="K348" t="s">
        <v>35</v>
      </c>
      <c r="L348">
        <v>306</v>
      </c>
      <c r="M348" t="s">
        <v>36</v>
      </c>
    </row>
    <row r="349" spans="1:13" x14ac:dyDescent="0.25">
      <c r="A349" t="s">
        <v>387</v>
      </c>
      <c r="B349" t="s">
        <v>23</v>
      </c>
      <c r="C349" t="s">
        <v>24</v>
      </c>
      <c r="D349" t="s">
        <v>38</v>
      </c>
      <c r="E349">
        <v>59</v>
      </c>
      <c r="F349">
        <v>74</v>
      </c>
      <c r="G349">
        <v>1.8</v>
      </c>
      <c r="H349" s="1">
        <v>46338</v>
      </c>
      <c r="I349" s="1">
        <v>46032</v>
      </c>
      <c r="J349">
        <v>106.2</v>
      </c>
      <c r="K349" t="s">
        <v>44</v>
      </c>
      <c r="L349">
        <v>219</v>
      </c>
      <c r="M349" t="s">
        <v>36</v>
      </c>
    </row>
    <row r="350" spans="1:13" x14ac:dyDescent="0.25">
      <c r="A350" t="s">
        <v>388</v>
      </c>
      <c r="B350" t="s">
        <v>12</v>
      </c>
      <c r="C350" t="s">
        <v>13</v>
      </c>
      <c r="D350" t="s">
        <v>38</v>
      </c>
      <c r="E350">
        <v>109</v>
      </c>
      <c r="F350">
        <v>66</v>
      </c>
      <c r="G350">
        <v>0.5</v>
      </c>
      <c r="H350" s="1">
        <v>46199</v>
      </c>
      <c r="I350" s="1">
        <v>46055</v>
      </c>
      <c r="J350">
        <v>54.5</v>
      </c>
      <c r="K350" t="s">
        <v>35</v>
      </c>
      <c r="L350">
        <v>80</v>
      </c>
      <c r="M350" t="s">
        <v>36</v>
      </c>
    </row>
    <row r="351" spans="1:13" x14ac:dyDescent="0.25">
      <c r="A351" t="s">
        <v>389</v>
      </c>
      <c r="B351" t="s">
        <v>21</v>
      </c>
      <c r="C351" t="s">
        <v>22</v>
      </c>
      <c r="D351" t="s">
        <v>38</v>
      </c>
      <c r="E351">
        <v>131</v>
      </c>
      <c r="F351">
        <v>61</v>
      </c>
      <c r="G351">
        <v>1.1499999999999999</v>
      </c>
      <c r="H351" s="1">
        <v>46208</v>
      </c>
      <c r="I351" s="1">
        <v>45960</v>
      </c>
      <c r="J351">
        <v>150.64999999999998</v>
      </c>
      <c r="K351" t="s">
        <v>35</v>
      </c>
      <c r="L351">
        <v>89</v>
      </c>
      <c r="M351" t="s">
        <v>36</v>
      </c>
    </row>
    <row r="352" spans="1:13" x14ac:dyDescent="0.25">
      <c r="A352" t="s">
        <v>390</v>
      </c>
      <c r="B352" t="s">
        <v>23</v>
      </c>
      <c r="C352" t="s">
        <v>24</v>
      </c>
      <c r="D352" t="s">
        <v>40</v>
      </c>
      <c r="E352">
        <v>80</v>
      </c>
      <c r="F352">
        <v>49</v>
      </c>
      <c r="G352">
        <v>0.78</v>
      </c>
      <c r="H352" s="1">
        <v>46250</v>
      </c>
      <c r="I352" s="1">
        <v>45943</v>
      </c>
      <c r="J352">
        <v>62.400000000000006</v>
      </c>
      <c r="K352" t="s">
        <v>35</v>
      </c>
      <c r="L352">
        <v>131</v>
      </c>
      <c r="M352" t="s">
        <v>36</v>
      </c>
    </row>
    <row r="353" spans="1:13" x14ac:dyDescent="0.25">
      <c r="A353" t="s">
        <v>391</v>
      </c>
      <c r="B353" t="s">
        <v>25</v>
      </c>
      <c r="C353" t="s">
        <v>15</v>
      </c>
      <c r="D353" t="s">
        <v>34</v>
      </c>
      <c r="E353">
        <v>28</v>
      </c>
      <c r="F353">
        <v>32</v>
      </c>
      <c r="G353">
        <v>1.97</v>
      </c>
      <c r="H353" s="1">
        <v>46205</v>
      </c>
      <c r="I353" s="1">
        <v>45951</v>
      </c>
      <c r="J353">
        <v>55.16</v>
      </c>
      <c r="K353" t="s">
        <v>44</v>
      </c>
      <c r="L353">
        <v>86</v>
      </c>
      <c r="M353" t="s">
        <v>36</v>
      </c>
    </row>
    <row r="354" spans="1:13" x14ac:dyDescent="0.25">
      <c r="A354" t="s">
        <v>392</v>
      </c>
      <c r="B354" t="s">
        <v>23</v>
      </c>
      <c r="C354" t="s">
        <v>24</v>
      </c>
      <c r="D354" t="s">
        <v>34</v>
      </c>
      <c r="E354">
        <v>136</v>
      </c>
      <c r="F354">
        <v>58</v>
      </c>
      <c r="G354">
        <v>1.73</v>
      </c>
      <c r="H354" s="1">
        <v>46392</v>
      </c>
      <c r="I354" s="1">
        <v>46050</v>
      </c>
      <c r="J354">
        <v>235.28</v>
      </c>
      <c r="K354" t="s">
        <v>35</v>
      </c>
      <c r="L354">
        <v>273</v>
      </c>
      <c r="M354" t="s">
        <v>36</v>
      </c>
    </row>
    <row r="355" spans="1:13" x14ac:dyDescent="0.25">
      <c r="A355" t="s">
        <v>393</v>
      </c>
      <c r="B355" t="s">
        <v>17</v>
      </c>
      <c r="C355" t="s">
        <v>18</v>
      </c>
      <c r="D355" t="s">
        <v>49</v>
      </c>
      <c r="E355">
        <v>70</v>
      </c>
      <c r="F355">
        <v>64</v>
      </c>
      <c r="G355">
        <v>1.97</v>
      </c>
      <c r="H355" s="1">
        <v>46434</v>
      </c>
      <c r="I355" s="1">
        <v>45950</v>
      </c>
      <c r="J355">
        <v>137.9</v>
      </c>
      <c r="K355" t="s">
        <v>35</v>
      </c>
      <c r="L355">
        <v>315</v>
      </c>
      <c r="M355" t="s">
        <v>36</v>
      </c>
    </row>
    <row r="356" spans="1:13" x14ac:dyDescent="0.25">
      <c r="A356" t="s">
        <v>394</v>
      </c>
      <c r="B356" t="s">
        <v>16</v>
      </c>
      <c r="C356" t="s">
        <v>13</v>
      </c>
      <c r="D356" t="s">
        <v>34</v>
      </c>
      <c r="E356">
        <v>168</v>
      </c>
      <c r="F356">
        <v>37</v>
      </c>
      <c r="G356">
        <v>0.8</v>
      </c>
      <c r="H356" s="1">
        <v>46429</v>
      </c>
      <c r="I356" s="1">
        <v>45999</v>
      </c>
      <c r="J356">
        <v>134.4</v>
      </c>
      <c r="K356" t="s">
        <v>35</v>
      </c>
      <c r="L356">
        <v>310</v>
      </c>
      <c r="M356" t="s">
        <v>36</v>
      </c>
    </row>
    <row r="357" spans="1:13" x14ac:dyDescent="0.25">
      <c r="A357" t="s">
        <v>395</v>
      </c>
      <c r="B357" t="s">
        <v>27</v>
      </c>
      <c r="C357" t="s">
        <v>28</v>
      </c>
      <c r="D357" t="s">
        <v>34</v>
      </c>
      <c r="E357">
        <v>112</v>
      </c>
      <c r="F357">
        <v>48</v>
      </c>
      <c r="G357">
        <v>1.39</v>
      </c>
      <c r="H357" s="1">
        <v>46274</v>
      </c>
      <c r="I357" s="1">
        <v>46089</v>
      </c>
      <c r="J357">
        <v>155.67999999999998</v>
      </c>
      <c r="K357" t="s">
        <v>35</v>
      </c>
      <c r="L357">
        <v>155</v>
      </c>
      <c r="M357" t="s">
        <v>36</v>
      </c>
    </row>
    <row r="358" spans="1:13" x14ac:dyDescent="0.25">
      <c r="A358" t="s">
        <v>396</v>
      </c>
      <c r="B358" t="s">
        <v>26</v>
      </c>
      <c r="C358" t="s">
        <v>22</v>
      </c>
      <c r="D358" t="s">
        <v>34</v>
      </c>
      <c r="E358">
        <v>175</v>
      </c>
      <c r="F358">
        <v>27</v>
      </c>
      <c r="G358">
        <v>1.95</v>
      </c>
      <c r="H358" s="1">
        <v>46203</v>
      </c>
      <c r="I358" s="1">
        <v>46096</v>
      </c>
      <c r="J358">
        <v>341.25</v>
      </c>
      <c r="K358" t="s">
        <v>35</v>
      </c>
      <c r="L358">
        <v>84</v>
      </c>
      <c r="M358" t="s">
        <v>36</v>
      </c>
    </row>
    <row r="359" spans="1:13" x14ac:dyDescent="0.25">
      <c r="A359" t="s">
        <v>397</v>
      </c>
      <c r="B359" t="s">
        <v>23</v>
      </c>
      <c r="C359" t="s">
        <v>24</v>
      </c>
      <c r="D359" t="s">
        <v>38</v>
      </c>
      <c r="E359">
        <v>94</v>
      </c>
      <c r="F359">
        <v>55</v>
      </c>
      <c r="G359">
        <v>1.94</v>
      </c>
      <c r="H359" s="1">
        <v>46317</v>
      </c>
      <c r="I359" s="1">
        <v>46087</v>
      </c>
      <c r="J359">
        <v>182.35999999999999</v>
      </c>
      <c r="K359" t="s">
        <v>35</v>
      </c>
      <c r="L359">
        <v>198</v>
      </c>
      <c r="M359" t="s">
        <v>36</v>
      </c>
    </row>
    <row r="360" spans="1:13" x14ac:dyDescent="0.25">
      <c r="A360" t="s">
        <v>398</v>
      </c>
      <c r="B360" t="s">
        <v>21</v>
      </c>
      <c r="C360" t="s">
        <v>22</v>
      </c>
      <c r="D360" t="s">
        <v>49</v>
      </c>
      <c r="E360">
        <v>14</v>
      </c>
      <c r="F360">
        <v>76</v>
      </c>
      <c r="G360">
        <v>1.74</v>
      </c>
      <c r="H360" s="1">
        <v>46174</v>
      </c>
      <c r="I360" s="1">
        <v>45951</v>
      </c>
      <c r="J360">
        <v>24.36</v>
      </c>
      <c r="K360" t="s">
        <v>44</v>
      </c>
      <c r="L360">
        <v>55</v>
      </c>
      <c r="M360" t="s">
        <v>36</v>
      </c>
    </row>
    <row r="361" spans="1:13" x14ac:dyDescent="0.25">
      <c r="A361" t="s">
        <v>399</v>
      </c>
      <c r="B361" t="s">
        <v>21</v>
      </c>
      <c r="C361" t="s">
        <v>22</v>
      </c>
      <c r="D361" t="s">
        <v>40</v>
      </c>
      <c r="E361">
        <v>193</v>
      </c>
      <c r="F361">
        <v>23</v>
      </c>
      <c r="G361">
        <v>0.81</v>
      </c>
      <c r="H361" s="1">
        <v>46319</v>
      </c>
      <c r="I361" s="1">
        <v>46093</v>
      </c>
      <c r="J361">
        <v>156.33000000000001</v>
      </c>
      <c r="K361" t="s">
        <v>35</v>
      </c>
      <c r="L361">
        <v>200</v>
      </c>
      <c r="M361" t="s">
        <v>36</v>
      </c>
    </row>
    <row r="362" spans="1:13" x14ac:dyDescent="0.25">
      <c r="A362" t="s">
        <v>400</v>
      </c>
      <c r="B362" t="s">
        <v>25</v>
      </c>
      <c r="C362" t="s">
        <v>15</v>
      </c>
      <c r="D362" t="s">
        <v>49</v>
      </c>
      <c r="E362">
        <v>74</v>
      </c>
      <c r="F362">
        <v>50</v>
      </c>
      <c r="G362">
        <v>1.1599999999999999</v>
      </c>
      <c r="H362" s="1">
        <v>46178</v>
      </c>
      <c r="I362" s="1">
        <v>46080</v>
      </c>
      <c r="J362">
        <v>85.839999999999989</v>
      </c>
      <c r="K362" t="s">
        <v>35</v>
      </c>
      <c r="L362">
        <v>59</v>
      </c>
      <c r="M362" t="s">
        <v>36</v>
      </c>
    </row>
    <row r="363" spans="1:13" x14ac:dyDescent="0.25">
      <c r="A363" t="s">
        <v>401</v>
      </c>
      <c r="B363" t="s">
        <v>23</v>
      </c>
      <c r="C363" t="s">
        <v>24</v>
      </c>
      <c r="D363" t="s">
        <v>40</v>
      </c>
      <c r="E363">
        <v>70</v>
      </c>
      <c r="F363">
        <v>61</v>
      </c>
      <c r="G363">
        <v>1.43</v>
      </c>
      <c r="H363" s="1">
        <v>46278</v>
      </c>
      <c r="I363" s="1">
        <v>46045</v>
      </c>
      <c r="J363">
        <v>100.1</v>
      </c>
      <c r="K363" t="s">
        <v>35</v>
      </c>
      <c r="L363">
        <v>159</v>
      </c>
      <c r="M363" t="s">
        <v>36</v>
      </c>
    </row>
    <row r="364" spans="1:13" x14ac:dyDescent="0.25">
      <c r="A364" t="s">
        <v>402</v>
      </c>
      <c r="B364" t="s">
        <v>19</v>
      </c>
      <c r="C364" t="s">
        <v>20</v>
      </c>
      <c r="D364" t="s">
        <v>49</v>
      </c>
      <c r="E364">
        <v>79</v>
      </c>
      <c r="F364">
        <v>24</v>
      </c>
      <c r="G364">
        <v>1.04</v>
      </c>
      <c r="H364" s="1">
        <v>46279</v>
      </c>
      <c r="I364" s="1">
        <v>45981</v>
      </c>
      <c r="J364">
        <v>82.16</v>
      </c>
      <c r="K364" t="s">
        <v>35</v>
      </c>
      <c r="L364">
        <v>160</v>
      </c>
      <c r="M364" t="s">
        <v>36</v>
      </c>
    </row>
    <row r="365" spans="1:13" x14ac:dyDescent="0.25">
      <c r="A365" t="s">
        <v>403</v>
      </c>
      <c r="B365" t="s">
        <v>19</v>
      </c>
      <c r="C365" t="s">
        <v>20</v>
      </c>
      <c r="D365" t="s">
        <v>49</v>
      </c>
      <c r="E365">
        <v>46</v>
      </c>
      <c r="F365">
        <v>58</v>
      </c>
      <c r="G365">
        <v>1.2</v>
      </c>
      <c r="H365" s="1">
        <v>46406</v>
      </c>
      <c r="I365" s="1">
        <v>45940</v>
      </c>
      <c r="J365">
        <v>55.199999999999996</v>
      </c>
      <c r="K365" t="s">
        <v>44</v>
      </c>
      <c r="L365">
        <v>287</v>
      </c>
      <c r="M365" t="s">
        <v>36</v>
      </c>
    </row>
    <row r="366" spans="1:13" x14ac:dyDescent="0.25">
      <c r="A366" t="s">
        <v>404</v>
      </c>
      <c r="B366" t="s">
        <v>14</v>
      </c>
      <c r="C366" t="s">
        <v>15</v>
      </c>
      <c r="D366" t="s">
        <v>49</v>
      </c>
      <c r="E366">
        <v>2</v>
      </c>
      <c r="F366">
        <v>30</v>
      </c>
      <c r="G366">
        <v>1.92</v>
      </c>
      <c r="H366" s="1">
        <v>46439</v>
      </c>
      <c r="I366" s="1">
        <v>46081</v>
      </c>
      <c r="J366">
        <v>3.84</v>
      </c>
      <c r="K366" t="s">
        <v>44</v>
      </c>
      <c r="L366">
        <v>320</v>
      </c>
      <c r="M366" t="s">
        <v>36</v>
      </c>
    </row>
    <row r="367" spans="1:13" x14ac:dyDescent="0.25">
      <c r="A367" t="s">
        <v>405</v>
      </c>
      <c r="B367" t="s">
        <v>17</v>
      </c>
      <c r="C367" t="s">
        <v>18</v>
      </c>
      <c r="D367" t="s">
        <v>49</v>
      </c>
      <c r="E367">
        <v>195</v>
      </c>
      <c r="F367">
        <v>22</v>
      </c>
      <c r="G367">
        <v>1.42</v>
      </c>
      <c r="H367" s="1">
        <v>46249</v>
      </c>
      <c r="I367" s="1">
        <v>46013</v>
      </c>
      <c r="J367">
        <v>276.89999999999998</v>
      </c>
      <c r="K367" t="s">
        <v>35</v>
      </c>
      <c r="L367">
        <v>130</v>
      </c>
      <c r="M367" t="s">
        <v>36</v>
      </c>
    </row>
    <row r="368" spans="1:13" x14ac:dyDescent="0.25">
      <c r="A368" t="s">
        <v>406</v>
      </c>
      <c r="B368" t="s">
        <v>23</v>
      </c>
      <c r="C368" t="s">
        <v>24</v>
      </c>
      <c r="D368" t="s">
        <v>40</v>
      </c>
      <c r="E368">
        <v>94</v>
      </c>
      <c r="F368">
        <v>42</v>
      </c>
      <c r="G368">
        <v>1.49</v>
      </c>
      <c r="H368" s="1">
        <v>46379</v>
      </c>
      <c r="I368" s="1">
        <v>45946</v>
      </c>
      <c r="J368">
        <v>140.06</v>
      </c>
      <c r="K368" t="s">
        <v>35</v>
      </c>
      <c r="L368">
        <v>260</v>
      </c>
      <c r="M368" t="s">
        <v>36</v>
      </c>
    </row>
    <row r="369" spans="1:13" x14ac:dyDescent="0.25">
      <c r="A369" t="s">
        <v>407</v>
      </c>
      <c r="B369" t="s">
        <v>14</v>
      </c>
      <c r="C369" t="s">
        <v>15</v>
      </c>
      <c r="D369" t="s">
        <v>40</v>
      </c>
      <c r="E369">
        <v>124</v>
      </c>
      <c r="F369">
        <v>70</v>
      </c>
      <c r="G369">
        <v>1.89</v>
      </c>
      <c r="H369" s="1">
        <v>46289</v>
      </c>
      <c r="I369" s="1">
        <v>46062</v>
      </c>
      <c r="J369">
        <v>234.35999999999999</v>
      </c>
      <c r="K369" t="s">
        <v>35</v>
      </c>
      <c r="L369">
        <v>170</v>
      </c>
      <c r="M369" t="s">
        <v>36</v>
      </c>
    </row>
    <row r="370" spans="1:13" x14ac:dyDescent="0.25">
      <c r="A370" t="s">
        <v>408</v>
      </c>
      <c r="B370" t="s">
        <v>17</v>
      </c>
      <c r="C370" t="s">
        <v>18</v>
      </c>
      <c r="D370" t="s">
        <v>49</v>
      </c>
      <c r="E370">
        <v>130</v>
      </c>
      <c r="F370">
        <v>20</v>
      </c>
      <c r="G370">
        <v>1.53</v>
      </c>
      <c r="H370" s="1">
        <v>46171</v>
      </c>
      <c r="I370" s="1">
        <v>46022</v>
      </c>
      <c r="J370">
        <v>198.9</v>
      </c>
      <c r="K370" t="s">
        <v>35</v>
      </c>
      <c r="L370">
        <v>52</v>
      </c>
      <c r="M370" t="s">
        <v>36</v>
      </c>
    </row>
    <row r="371" spans="1:13" x14ac:dyDescent="0.25">
      <c r="A371" t="s">
        <v>409</v>
      </c>
      <c r="B371" t="s">
        <v>21</v>
      </c>
      <c r="C371" t="s">
        <v>22</v>
      </c>
      <c r="D371" t="s">
        <v>34</v>
      </c>
      <c r="E371">
        <v>36</v>
      </c>
      <c r="F371">
        <v>82</v>
      </c>
      <c r="G371">
        <v>1.36</v>
      </c>
      <c r="H371" s="1">
        <v>46292</v>
      </c>
      <c r="I371" s="1">
        <v>45966</v>
      </c>
      <c r="J371">
        <v>48.96</v>
      </c>
      <c r="K371" t="s">
        <v>44</v>
      </c>
      <c r="L371">
        <v>173</v>
      </c>
      <c r="M371" t="s">
        <v>36</v>
      </c>
    </row>
    <row r="372" spans="1:13" x14ac:dyDescent="0.25">
      <c r="A372" t="s">
        <v>410</v>
      </c>
      <c r="B372" t="s">
        <v>27</v>
      </c>
      <c r="C372" t="s">
        <v>28</v>
      </c>
      <c r="D372" t="s">
        <v>40</v>
      </c>
      <c r="E372">
        <v>87</v>
      </c>
      <c r="F372">
        <v>86</v>
      </c>
      <c r="G372">
        <v>0.9</v>
      </c>
      <c r="H372" s="1">
        <v>46442</v>
      </c>
      <c r="I372" s="1">
        <v>46106</v>
      </c>
      <c r="J372">
        <v>78.3</v>
      </c>
      <c r="K372" t="s">
        <v>35</v>
      </c>
      <c r="L372">
        <v>323</v>
      </c>
      <c r="M372" t="s">
        <v>36</v>
      </c>
    </row>
    <row r="373" spans="1:13" x14ac:dyDescent="0.25">
      <c r="A373" t="s">
        <v>411</v>
      </c>
      <c r="B373" t="s">
        <v>14</v>
      </c>
      <c r="C373" t="s">
        <v>15</v>
      </c>
      <c r="D373" t="s">
        <v>34</v>
      </c>
      <c r="E373">
        <v>108</v>
      </c>
      <c r="F373">
        <v>71</v>
      </c>
      <c r="G373">
        <v>1.24</v>
      </c>
      <c r="H373" s="1">
        <v>46314</v>
      </c>
      <c r="I373" s="1">
        <v>46037</v>
      </c>
      <c r="J373">
        <v>133.91999999999999</v>
      </c>
      <c r="K373" t="s">
        <v>35</v>
      </c>
      <c r="L373">
        <v>195</v>
      </c>
      <c r="M373" t="s">
        <v>36</v>
      </c>
    </row>
    <row r="374" spans="1:13" x14ac:dyDescent="0.25">
      <c r="A374" t="s">
        <v>412</v>
      </c>
      <c r="B374" t="s">
        <v>16</v>
      </c>
      <c r="C374" t="s">
        <v>13</v>
      </c>
      <c r="D374" t="s">
        <v>38</v>
      </c>
      <c r="E374">
        <v>128</v>
      </c>
      <c r="F374">
        <v>60</v>
      </c>
      <c r="G374">
        <v>0.52</v>
      </c>
      <c r="H374" s="1">
        <v>46364</v>
      </c>
      <c r="I374" s="1">
        <v>46070</v>
      </c>
      <c r="J374">
        <v>66.56</v>
      </c>
      <c r="K374" t="s">
        <v>35</v>
      </c>
      <c r="L374">
        <v>245</v>
      </c>
      <c r="M374" t="s">
        <v>36</v>
      </c>
    </row>
    <row r="375" spans="1:13" x14ac:dyDescent="0.25">
      <c r="A375" t="s">
        <v>413</v>
      </c>
      <c r="B375" t="s">
        <v>25</v>
      </c>
      <c r="C375" t="s">
        <v>15</v>
      </c>
      <c r="D375" t="s">
        <v>40</v>
      </c>
      <c r="E375">
        <v>0</v>
      </c>
      <c r="F375">
        <v>73</v>
      </c>
      <c r="G375">
        <v>1.34</v>
      </c>
      <c r="H375" s="1">
        <v>46403</v>
      </c>
      <c r="I375" s="1">
        <v>46050</v>
      </c>
      <c r="J375">
        <v>0</v>
      </c>
      <c r="K375" t="s">
        <v>728</v>
      </c>
      <c r="L375">
        <v>284</v>
      </c>
      <c r="M375" t="s">
        <v>36</v>
      </c>
    </row>
    <row r="376" spans="1:13" x14ac:dyDescent="0.25">
      <c r="A376" t="s">
        <v>414</v>
      </c>
      <c r="B376" t="s">
        <v>16</v>
      </c>
      <c r="C376" t="s">
        <v>13</v>
      </c>
      <c r="D376" t="s">
        <v>49</v>
      </c>
      <c r="E376">
        <v>96</v>
      </c>
      <c r="F376">
        <v>77</v>
      </c>
      <c r="G376">
        <v>0.69</v>
      </c>
      <c r="H376" s="1">
        <v>46281</v>
      </c>
      <c r="I376" s="1">
        <v>46089</v>
      </c>
      <c r="J376">
        <v>66.239999999999995</v>
      </c>
      <c r="K376" t="s">
        <v>35</v>
      </c>
      <c r="L376">
        <v>162</v>
      </c>
      <c r="M376" t="s">
        <v>36</v>
      </c>
    </row>
    <row r="377" spans="1:13" x14ac:dyDescent="0.25">
      <c r="A377" t="s">
        <v>415</v>
      </c>
      <c r="B377" t="s">
        <v>17</v>
      </c>
      <c r="C377" t="s">
        <v>18</v>
      </c>
      <c r="D377" t="s">
        <v>34</v>
      </c>
      <c r="E377">
        <v>36</v>
      </c>
      <c r="F377">
        <v>59</v>
      </c>
      <c r="G377">
        <v>1.3</v>
      </c>
      <c r="H377" s="1">
        <v>46435</v>
      </c>
      <c r="I377" s="1">
        <v>46070</v>
      </c>
      <c r="J377">
        <v>46.800000000000004</v>
      </c>
      <c r="K377" t="s">
        <v>44</v>
      </c>
      <c r="L377">
        <v>316</v>
      </c>
      <c r="M377" t="s">
        <v>36</v>
      </c>
    </row>
    <row r="378" spans="1:13" x14ac:dyDescent="0.25">
      <c r="A378" t="s">
        <v>416</v>
      </c>
      <c r="B378" t="s">
        <v>16</v>
      </c>
      <c r="C378" t="s">
        <v>13</v>
      </c>
      <c r="D378" t="s">
        <v>49</v>
      </c>
      <c r="E378">
        <v>147</v>
      </c>
      <c r="F378">
        <v>87</v>
      </c>
      <c r="G378">
        <v>0.59</v>
      </c>
      <c r="H378" s="1">
        <v>46264</v>
      </c>
      <c r="I378" s="1">
        <v>46094</v>
      </c>
      <c r="J378">
        <v>86.72999999999999</v>
      </c>
      <c r="K378" t="s">
        <v>35</v>
      </c>
      <c r="L378">
        <v>145</v>
      </c>
      <c r="M378" t="s">
        <v>36</v>
      </c>
    </row>
    <row r="379" spans="1:13" x14ac:dyDescent="0.25">
      <c r="A379" t="s">
        <v>417</v>
      </c>
      <c r="B379" t="s">
        <v>16</v>
      </c>
      <c r="C379" t="s">
        <v>13</v>
      </c>
      <c r="D379" t="s">
        <v>49</v>
      </c>
      <c r="E379">
        <v>153</v>
      </c>
      <c r="F379">
        <v>47</v>
      </c>
      <c r="G379">
        <v>0.59</v>
      </c>
      <c r="H379" s="1">
        <v>46345</v>
      </c>
      <c r="I379" s="1">
        <v>46045</v>
      </c>
      <c r="J379">
        <v>90.27</v>
      </c>
      <c r="K379" t="s">
        <v>35</v>
      </c>
      <c r="L379">
        <v>226</v>
      </c>
      <c r="M379" t="s">
        <v>36</v>
      </c>
    </row>
    <row r="380" spans="1:13" x14ac:dyDescent="0.25">
      <c r="A380" t="s">
        <v>418</v>
      </c>
      <c r="B380" t="s">
        <v>12</v>
      </c>
      <c r="C380" t="s">
        <v>13</v>
      </c>
      <c r="D380" t="s">
        <v>34</v>
      </c>
      <c r="E380">
        <v>180</v>
      </c>
      <c r="F380">
        <v>87</v>
      </c>
      <c r="G380">
        <v>1.32</v>
      </c>
      <c r="H380" s="1">
        <v>46413</v>
      </c>
      <c r="I380" s="1">
        <v>46001</v>
      </c>
      <c r="J380">
        <v>237.60000000000002</v>
      </c>
      <c r="K380" t="s">
        <v>35</v>
      </c>
      <c r="L380">
        <v>294</v>
      </c>
      <c r="M380" t="s">
        <v>36</v>
      </c>
    </row>
    <row r="381" spans="1:13" x14ac:dyDescent="0.25">
      <c r="A381" t="s">
        <v>419</v>
      </c>
      <c r="B381" t="s">
        <v>21</v>
      </c>
      <c r="C381" t="s">
        <v>22</v>
      </c>
      <c r="D381" t="s">
        <v>49</v>
      </c>
      <c r="E381">
        <v>174</v>
      </c>
      <c r="F381">
        <v>79</v>
      </c>
      <c r="G381">
        <v>0.77</v>
      </c>
      <c r="H381" s="1">
        <v>46476</v>
      </c>
      <c r="I381" s="1">
        <v>45975</v>
      </c>
      <c r="J381">
        <v>133.97999999999999</v>
      </c>
      <c r="K381" t="s">
        <v>35</v>
      </c>
      <c r="L381">
        <v>357</v>
      </c>
      <c r="M381" t="s">
        <v>36</v>
      </c>
    </row>
    <row r="382" spans="1:13" x14ac:dyDescent="0.25">
      <c r="A382" t="s">
        <v>420</v>
      </c>
      <c r="B382" t="s">
        <v>25</v>
      </c>
      <c r="C382" t="s">
        <v>15</v>
      </c>
      <c r="D382" t="s">
        <v>49</v>
      </c>
      <c r="E382">
        <v>172</v>
      </c>
      <c r="F382">
        <v>96</v>
      </c>
      <c r="G382">
        <v>0.95</v>
      </c>
      <c r="H382" s="1">
        <v>46263</v>
      </c>
      <c r="I382" s="1">
        <v>46080</v>
      </c>
      <c r="J382">
        <v>163.4</v>
      </c>
      <c r="K382" t="s">
        <v>35</v>
      </c>
      <c r="L382">
        <v>144</v>
      </c>
      <c r="M382" t="s">
        <v>36</v>
      </c>
    </row>
    <row r="383" spans="1:13" x14ac:dyDescent="0.25">
      <c r="A383" t="s">
        <v>421</v>
      </c>
      <c r="B383" t="s">
        <v>21</v>
      </c>
      <c r="C383" t="s">
        <v>22</v>
      </c>
      <c r="D383" t="s">
        <v>49</v>
      </c>
      <c r="E383">
        <v>183</v>
      </c>
      <c r="F383">
        <v>39</v>
      </c>
      <c r="G383">
        <v>1.74</v>
      </c>
      <c r="H383" s="1">
        <v>46389</v>
      </c>
      <c r="I383" s="1">
        <v>46038</v>
      </c>
      <c r="J383">
        <v>318.42</v>
      </c>
      <c r="K383" t="s">
        <v>35</v>
      </c>
      <c r="L383">
        <v>270</v>
      </c>
      <c r="M383" t="s">
        <v>36</v>
      </c>
    </row>
    <row r="384" spans="1:13" x14ac:dyDescent="0.25">
      <c r="A384" t="s">
        <v>422</v>
      </c>
      <c r="B384" t="s">
        <v>12</v>
      </c>
      <c r="C384" t="s">
        <v>13</v>
      </c>
      <c r="D384" t="s">
        <v>34</v>
      </c>
      <c r="E384">
        <v>196</v>
      </c>
      <c r="F384">
        <v>69</v>
      </c>
      <c r="G384">
        <v>1.33</v>
      </c>
      <c r="H384" s="1">
        <v>46477</v>
      </c>
      <c r="I384" s="1">
        <v>45980</v>
      </c>
      <c r="J384">
        <v>260.68</v>
      </c>
      <c r="K384" t="s">
        <v>35</v>
      </c>
      <c r="L384">
        <v>358</v>
      </c>
      <c r="M384" t="s">
        <v>36</v>
      </c>
    </row>
    <row r="385" spans="1:13" x14ac:dyDescent="0.25">
      <c r="A385" t="s">
        <v>423</v>
      </c>
      <c r="B385" t="s">
        <v>23</v>
      </c>
      <c r="C385" t="s">
        <v>24</v>
      </c>
      <c r="D385" t="s">
        <v>38</v>
      </c>
      <c r="E385">
        <v>115</v>
      </c>
      <c r="F385">
        <v>100</v>
      </c>
      <c r="G385">
        <v>1</v>
      </c>
      <c r="H385" s="1">
        <v>46315</v>
      </c>
      <c r="I385" s="1">
        <v>45954</v>
      </c>
      <c r="J385">
        <v>115</v>
      </c>
      <c r="K385" t="s">
        <v>35</v>
      </c>
      <c r="L385">
        <v>196</v>
      </c>
      <c r="M385" t="s">
        <v>36</v>
      </c>
    </row>
    <row r="386" spans="1:13" x14ac:dyDescent="0.25">
      <c r="A386" t="s">
        <v>424</v>
      </c>
      <c r="B386" t="s">
        <v>16</v>
      </c>
      <c r="C386" t="s">
        <v>13</v>
      </c>
      <c r="D386" t="s">
        <v>34</v>
      </c>
      <c r="E386">
        <v>132</v>
      </c>
      <c r="F386">
        <v>29</v>
      </c>
      <c r="G386">
        <v>0.81</v>
      </c>
      <c r="H386" s="1">
        <v>46305</v>
      </c>
      <c r="I386" s="1">
        <v>45978</v>
      </c>
      <c r="J386">
        <v>106.92</v>
      </c>
      <c r="K386" t="s">
        <v>35</v>
      </c>
      <c r="L386">
        <v>186</v>
      </c>
      <c r="M386" t="s">
        <v>36</v>
      </c>
    </row>
    <row r="387" spans="1:13" x14ac:dyDescent="0.25">
      <c r="A387" t="s">
        <v>425</v>
      </c>
      <c r="B387" t="s">
        <v>21</v>
      </c>
      <c r="C387" t="s">
        <v>22</v>
      </c>
      <c r="D387" t="s">
        <v>34</v>
      </c>
      <c r="E387">
        <v>110</v>
      </c>
      <c r="F387">
        <v>40</v>
      </c>
      <c r="G387">
        <v>0.56999999999999995</v>
      </c>
      <c r="H387" s="1">
        <v>46327</v>
      </c>
      <c r="I387" s="1">
        <v>45999</v>
      </c>
      <c r="J387">
        <v>62.699999999999996</v>
      </c>
      <c r="K387" t="s">
        <v>35</v>
      </c>
      <c r="L387">
        <v>208</v>
      </c>
      <c r="M387" t="s">
        <v>36</v>
      </c>
    </row>
    <row r="388" spans="1:13" x14ac:dyDescent="0.25">
      <c r="A388" t="s">
        <v>426</v>
      </c>
      <c r="B388" t="s">
        <v>12</v>
      </c>
      <c r="C388" t="s">
        <v>13</v>
      </c>
      <c r="D388" t="s">
        <v>34</v>
      </c>
      <c r="E388">
        <v>148</v>
      </c>
      <c r="F388">
        <v>65</v>
      </c>
      <c r="G388">
        <v>0.55000000000000004</v>
      </c>
      <c r="H388" s="1">
        <v>46308</v>
      </c>
      <c r="I388" s="1">
        <v>46105</v>
      </c>
      <c r="J388">
        <v>81.400000000000006</v>
      </c>
      <c r="K388" t="s">
        <v>35</v>
      </c>
      <c r="L388">
        <v>189</v>
      </c>
      <c r="M388" t="s">
        <v>36</v>
      </c>
    </row>
    <row r="389" spans="1:13" x14ac:dyDescent="0.25">
      <c r="A389" t="s">
        <v>427</v>
      </c>
      <c r="B389" t="s">
        <v>17</v>
      </c>
      <c r="C389" t="s">
        <v>18</v>
      </c>
      <c r="D389" t="s">
        <v>49</v>
      </c>
      <c r="E389">
        <v>138</v>
      </c>
      <c r="F389">
        <v>89</v>
      </c>
      <c r="G389">
        <v>1.08</v>
      </c>
      <c r="H389" s="1">
        <v>46203</v>
      </c>
      <c r="I389" s="1">
        <v>46076</v>
      </c>
      <c r="J389">
        <v>149.04000000000002</v>
      </c>
      <c r="K389" t="s">
        <v>35</v>
      </c>
      <c r="L389">
        <v>84</v>
      </c>
      <c r="M389" t="s">
        <v>36</v>
      </c>
    </row>
    <row r="390" spans="1:13" x14ac:dyDescent="0.25">
      <c r="A390" t="s">
        <v>428</v>
      </c>
      <c r="B390" t="s">
        <v>27</v>
      </c>
      <c r="C390" t="s">
        <v>28</v>
      </c>
      <c r="D390" t="s">
        <v>38</v>
      </c>
      <c r="E390">
        <v>142</v>
      </c>
      <c r="F390">
        <v>77</v>
      </c>
      <c r="G390">
        <v>1.52</v>
      </c>
      <c r="H390" s="1">
        <v>46436</v>
      </c>
      <c r="I390" s="1">
        <v>46028</v>
      </c>
      <c r="J390">
        <v>215.84</v>
      </c>
      <c r="K390" t="s">
        <v>35</v>
      </c>
      <c r="L390">
        <v>317</v>
      </c>
      <c r="M390" t="s">
        <v>36</v>
      </c>
    </row>
    <row r="391" spans="1:13" x14ac:dyDescent="0.25">
      <c r="A391" t="s">
        <v>429</v>
      </c>
      <c r="B391" t="s">
        <v>14</v>
      </c>
      <c r="C391" t="s">
        <v>15</v>
      </c>
      <c r="D391" t="s">
        <v>40</v>
      </c>
      <c r="E391">
        <v>85</v>
      </c>
      <c r="F391">
        <v>30</v>
      </c>
      <c r="G391">
        <v>1.55</v>
      </c>
      <c r="H391" s="1">
        <v>46171</v>
      </c>
      <c r="I391" s="1">
        <v>46091</v>
      </c>
      <c r="J391">
        <v>131.75</v>
      </c>
      <c r="K391" t="s">
        <v>35</v>
      </c>
      <c r="L391">
        <v>52</v>
      </c>
      <c r="M391" t="s">
        <v>36</v>
      </c>
    </row>
    <row r="392" spans="1:13" x14ac:dyDescent="0.25">
      <c r="A392" t="s">
        <v>430</v>
      </c>
      <c r="B392" t="s">
        <v>14</v>
      </c>
      <c r="C392" t="s">
        <v>15</v>
      </c>
      <c r="D392" t="s">
        <v>40</v>
      </c>
      <c r="E392">
        <v>17</v>
      </c>
      <c r="F392">
        <v>87</v>
      </c>
      <c r="G392">
        <v>1.73</v>
      </c>
      <c r="H392" s="1">
        <v>46297</v>
      </c>
      <c r="I392" s="1">
        <v>46032</v>
      </c>
      <c r="J392">
        <v>29.41</v>
      </c>
      <c r="K392" t="s">
        <v>44</v>
      </c>
      <c r="L392">
        <v>178</v>
      </c>
      <c r="M392" t="s">
        <v>36</v>
      </c>
    </row>
    <row r="393" spans="1:13" x14ac:dyDescent="0.25">
      <c r="A393" t="s">
        <v>431</v>
      </c>
      <c r="B393" t="s">
        <v>16</v>
      </c>
      <c r="C393" t="s">
        <v>13</v>
      </c>
      <c r="D393" t="s">
        <v>38</v>
      </c>
      <c r="E393">
        <v>22</v>
      </c>
      <c r="F393">
        <v>85</v>
      </c>
      <c r="G393">
        <v>0.96</v>
      </c>
      <c r="H393" s="1">
        <v>46268</v>
      </c>
      <c r="I393" s="1">
        <v>45987</v>
      </c>
      <c r="J393">
        <v>21.119999999999997</v>
      </c>
      <c r="K393" t="s">
        <v>44</v>
      </c>
      <c r="L393">
        <v>149</v>
      </c>
      <c r="M393" t="s">
        <v>36</v>
      </c>
    </row>
    <row r="394" spans="1:13" x14ac:dyDescent="0.25">
      <c r="A394" t="s">
        <v>432</v>
      </c>
      <c r="B394" t="s">
        <v>27</v>
      </c>
      <c r="C394" t="s">
        <v>28</v>
      </c>
      <c r="D394" t="s">
        <v>38</v>
      </c>
      <c r="E394">
        <v>11</v>
      </c>
      <c r="F394">
        <v>78</v>
      </c>
      <c r="G394">
        <v>0.64</v>
      </c>
      <c r="H394" s="1">
        <v>46268</v>
      </c>
      <c r="I394" s="1">
        <v>45966</v>
      </c>
      <c r="J394">
        <v>7.04</v>
      </c>
      <c r="K394" t="s">
        <v>44</v>
      </c>
      <c r="L394">
        <v>149</v>
      </c>
      <c r="M394" t="s">
        <v>36</v>
      </c>
    </row>
    <row r="395" spans="1:13" x14ac:dyDescent="0.25">
      <c r="A395" t="s">
        <v>433</v>
      </c>
      <c r="B395" t="s">
        <v>14</v>
      </c>
      <c r="C395" t="s">
        <v>15</v>
      </c>
      <c r="D395" t="s">
        <v>40</v>
      </c>
      <c r="E395">
        <v>13</v>
      </c>
      <c r="F395">
        <v>58</v>
      </c>
      <c r="G395">
        <v>0.81</v>
      </c>
      <c r="H395" s="1">
        <v>46265</v>
      </c>
      <c r="I395" s="1">
        <v>46107</v>
      </c>
      <c r="J395">
        <v>10.530000000000001</v>
      </c>
      <c r="K395" t="s">
        <v>44</v>
      </c>
      <c r="L395">
        <v>146</v>
      </c>
      <c r="M395" t="s">
        <v>36</v>
      </c>
    </row>
    <row r="396" spans="1:13" x14ac:dyDescent="0.25">
      <c r="A396" t="s">
        <v>434</v>
      </c>
      <c r="B396" t="s">
        <v>12</v>
      </c>
      <c r="C396" t="s">
        <v>13</v>
      </c>
      <c r="D396" t="s">
        <v>38</v>
      </c>
      <c r="E396">
        <v>13</v>
      </c>
      <c r="F396">
        <v>76</v>
      </c>
      <c r="G396">
        <v>1.04</v>
      </c>
      <c r="H396" s="1">
        <v>46253</v>
      </c>
      <c r="I396" s="1">
        <v>45957</v>
      </c>
      <c r="J396">
        <v>13.52</v>
      </c>
      <c r="K396" t="s">
        <v>44</v>
      </c>
      <c r="L396">
        <v>134</v>
      </c>
      <c r="M396" t="s">
        <v>36</v>
      </c>
    </row>
    <row r="397" spans="1:13" x14ac:dyDescent="0.25">
      <c r="A397" t="s">
        <v>435</v>
      </c>
      <c r="B397" t="s">
        <v>14</v>
      </c>
      <c r="C397" t="s">
        <v>15</v>
      </c>
      <c r="D397" t="s">
        <v>34</v>
      </c>
      <c r="E397">
        <v>0</v>
      </c>
      <c r="F397">
        <v>68</v>
      </c>
      <c r="G397">
        <v>0.52</v>
      </c>
      <c r="H397" s="1">
        <v>46211</v>
      </c>
      <c r="I397" s="1">
        <v>46031</v>
      </c>
      <c r="J397">
        <v>0</v>
      </c>
      <c r="K397" t="s">
        <v>728</v>
      </c>
      <c r="L397">
        <v>92</v>
      </c>
      <c r="M397" t="s">
        <v>36</v>
      </c>
    </row>
    <row r="398" spans="1:13" x14ac:dyDescent="0.25">
      <c r="A398" t="s">
        <v>436</v>
      </c>
      <c r="B398" t="s">
        <v>21</v>
      </c>
      <c r="C398" t="s">
        <v>22</v>
      </c>
      <c r="D398" t="s">
        <v>38</v>
      </c>
      <c r="E398">
        <v>160</v>
      </c>
      <c r="F398">
        <v>89</v>
      </c>
      <c r="G398">
        <v>0.72</v>
      </c>
      <c r="H398" s="1">
        <v>46330</v>
      </c>
      <c r="I398" s="1">
        <v>46031</v>
      </c>
      <c r="J398">
        <v>115.19999999999999</v>
      </c>
      <c r="K398" t="s">
        <v>35</v>
      </c>
      <c r="L398">
        <v>211</v>
      </c>
      <c r="M398" t="s">
        <v>36</v>
      </c>
    </row>
    <row r="399" spans="1:13" x14ac:dyDescent="0.25">
      <c r="A399" t="s">
        <v>437</v>
      </c>
      <c r="B399" t="s">
        <v>25</v>
      </c>
      <c r="C399" t="s">
        <v>15</v>
      </c>
      <c r="D399" t="s">
        <v>34</v>
      </c>
      <c r="E399">
        <v>9</v>
      </c>
      <c r="F399">
        <v>28</v>
      </c>
      <c r="G399">
        <v>1.51</v>
      </c>
      <c r="H399" s="1">
        <v>46221</v>
      </c>
      <c r="I399" s="1">
        <v>46052</v>
      </c>
      <c r="J399">
        <v>13.59</v>
      </c>
      <c r="K399" t="s">
        <v>44</v>
      </c>
      <c r="L399">
        <v>102</v>
      </c>
      <c r="M399" t="s">
        <v>36</v>
      </c>
    </row>
    <row r="400" spans="1:13" x14ac:dyDescent="0.25">
      <c r="A400" t="s">
        <v>438</v>
      </c>
      <c r="B400" t="s">
        <v>26</v>
      </c>
      <c r="C400" t="s">
        <v>22</v>
      </c>
      <c r="D400" t="s">
        <v>49</v>
      </c>
      <c r="E400">
        <v>184</v>
      </c>
      <c r="F400">
        <v>56</v>
      </c>
      <c r="G400">
        <v>0.54</v>
      </c>
      <c r="H400" s="1">
        <v>46447</v>
      </c>
      <c r="I400" s="1">
        <v>46091</v>
      </c>
      <c r="J400">
        <v>99.360000000000014</v>
      </c>
      <c r="K400" t="s">
        <v>35</v>
      </c>
      <c r="L400">
        <v>328</v>
      </c>
      <c r="M400" t="s">
        <v>36</v>
      </c>
    </row>
    <row r="401" spans="1:13" x14ac:dyDescent="0.25">
      <c r="A401" t="s">
        <v>439</v>
      </c>
      <c r="B401" t="s">
        <v>17</v>
      </c>
      <c r="C401" t="s">
        <v>18</v>
      </c>
      <c r="D401" t="s">
        <v>40</v>
      </c>
      <c r="E401">
        <v>169</v>
      </c>
      <c r="F401">
        <v>30</v>
      </c>
      <c r="G401">
        <v>1.46</v>
      </c>
      <c r="H401" s="1">
        <v>46311</v>
      </c>
      <c r="I401" s="1">
        <v>46003</v>
      </c>
      <c r="J401">
        <v>246.73999999999998</v>
      </c>
      <c r="K401" t="s">
        <v>35</v>
      </c>
      <c r="L401">
        <v>192</v>
      </c>
      <c r="M401" t="s">
        <v>36</v>
      </c>
    </row>
    <row r="402" spans="1:13" x14ac:dyDescent="0.25">
      <c r="A402" t="s">
        <v>440</v>
      </c>
      <c r="B402" t="s">
        <v>27</v>
      </c>
      <c r="C402" t="s">
        <v>28</v>
      </c>
      <c r="D402" t="s">
        <v>49</v>
      </c>
      <c r="E402">
        <v>3</v>
      </c>
      <c r="F402">
        <v>58</v>
      </c>
      <c r="G402">
        <v>0.78</v>
      </c>
      <c r="H402" s="1">
        <v>46196</v>
      </c>
      <c r="I402" s="1">
        <v>46060</v>
      </c>
      <c r="J402">
        <v>2.34</v>
      </c>
      <c r="K402" t="s">
        <v>44</v>
      </c>
      <c r="L402">
        <v>77</v>
      </c>
      <c r="M402" t="s">
        <v>36</v>
      </c>
    </row>
    <row r="403" spans="1:13" x14ac:dyDescent="0.25">
      <c r="A403" t="s">
        <v>441</v>
      </c>
      <c r="B403" t="s">
        <v>26</v>
      </c>
      <c r="C403" t="s">
        <v>22</v>
      </c>
      <c r="D403" t="s">
        <v>49</v>
      </c>
      <c r="E403">
        <v>31</v>
      </c>
      <c r="F403">
        <v>37</v>
      </c>
      <c r="G403">
        <v>0.68</v>
      </c>
      <c r="H403" s="1">
        <v>46192</v>
      </c>
      <c r="I403" s="1">
        <v>45988</v>
      </c>
      <c r="J403">
        <v>21.080000000000002</v>
      </c>
      <c r="K403" t="s">
        <v>44</v>
      </c>
      <c r="L403">
        <v>73</v>
      </c>
      <c r="M403" t="s">
        <v>36</v>
      </c>
    </row>
    <row r="404" spans="1:13" x14ac:dyDescent="0.25">
      <c r="A404" t="s">
        <v>442</v>
      </c>
      <c r="B404" t="s">
        <v>21</v>
      </c>
      <c r="C404" t="s">
        <v>22</v>
      </c>
      <c r="D404" t="s">
        <v>49</v>
      </c>
      <c r="E404">
        <v>28</v>
      </c>
      <c r="F404">
        <v>28</v>
      </c>
      <c r="G404">
        <v>0.54</v>
      </c>
      <c r="H404" s="1">
        <v>46215</v>
      </c>
      <c r="I404" s="1">
        <v>46015</v>
      </c>
      <c r="J404">
        <v>15.120000000000001</v>
      </c>
      <c r="K404" t="s">
        <v>35</v>
      </c>
      <c r="L404">
        <v>96</v>
      </c>
      <c r="M404" t="s">
        <v>36</v>
      </c>
    </row>
    <row r="405" spans="1:13" x14ac:dyDescent="0.25">
      <c r="A405" t="s">
        <v>443</v>
      </c>
      <c r="B405" t="s">
        <v>25</v>
      </c>
      <c r="C405" t="s">
        <v>15</v>
      </c>
      <c r="D405" t="s">
        <v>49</v>
      </c>
      <c r="E405">
        <v>2</v>
      </c>
      <c r="F405">
        <v>60</v>
      </c>
      <c r="G405">
        <v>0.55000000000000004</v>
      </c>
      <c r="H405" s="1">
        <v>46196</v>
      </c>
      <c r="I405" s="1">
        <v>46067</v>
      </c>
      <c r="J405">
        <v>1.1000000000000001</v>
      </c>
      <c r="K405" t="s">
        <v>44</v>
      </c>
      <c r="L405">
        <v>77</v>
      </c>
      <c r="M405" t="s">
        <v>36</v>
      </c>
    </row>
    <row r="406" spans="1:13" x14ac:dyDescent="0.25">
      <c r="A406" t="s">
        <v>444</v>
      </c>
      <c r="B406" t="s">
        <v>12</v>
      </c>
      <c r="C406" t="s">
        <v>13</v>
      </c>
      <c r="D406" t="s">
        <v>38</v>
      </c>
      <c r="E406">
        <v>66</v>
      </c>
      <c r="F406">
        <v>98</v>
      </c>
      <c r="G406">
        <v>1.8</v>
      </c>
      <c r="H406" s="1">
        <v>46377</v>
      </c>
      <c r="I406" s="1">
        <v>46114</v>
      </c>
      <c r="J406">
        <v>118.8</v>
      </c>
      <c r="K406" t="s">
        <v>44</v>
      </c>
      <c r="L406">
        <v>258</v>
      </c>
      <c r="M406" t="s">
        <v>36</v>
      </c>
    </row>
    <row r="407" spans="1:13" x14ac:dyDescent="0.25">
      <c r="A407" t="s">
        <v>445</v>
      </c>
      <c r="B407" t="s">
        <v>16</v>
      </c>
      <c r="C407" t="s">
        <v>13</v>
      </c>
      <c r="D407" t="s">
        <v>49</v>
      </c>
      <c r="E407">
        <v>199</v>
      </c>
      <c r="F407">
        <v>33</v>
      </c>
      <c r="G407">
        <v>1.27</v>
      </c>
      <c r="H407" s="1">
        <v>46288</v>
      </c>
      <c r="I407" s="1">
        <v>46110</v>
      </c>
      <c r="J407">
        <v>252.73</v>
      </c>
      <c r="K407" t="s">
        <v>35</v>
      </c>
      <c r="L407">
        <v>169</v>
      </c>
      <c r="M407" t="s">
        <v>36</v>
      </c>
    </row>
    <row r="408" spans="1:13" x14ac:dyDescent="0.25">
      <c r="A408" t="s">
        <v>446</v>
      </c>
      <c r="B408" t="s">
        <v>19</v>
      </c>
      <c r="C408" t="s">
        <v>20</v>
      </c>
      <c r="D408" t="s">
        <v>40</v>
      </c>
      <c r="E408">
        <v>161</v>
      </c>
      <c r="F408">
        <v>93</v>
      </c>
      <c r="G408">
        <v>1.36</v>
      </c>
      <c r="H408" s="1">
        <v>46270</v>
      </c>
      <c r="I408" s="1">
        <v>45952</v>
      </c>
      <c r="J408">
        <v>218.96</v>
      </c>
      <c r="K408" t="s">
        <v>35</v>
      </c>
      <c r="L408">
        <v>151</v>
      </c>
      <c r="M408" t="s">
        <v>36</v>
      </c>
    </row>
    <row r="409" spans="1:13" x14ac:dyDescent="0.25">
      <c r="A409" t="s">
        <v>447</v>
      </c>
      <c r="B409" t="s">
        <v>17</v>
      </c>
      <c r="C409" t="s">
        <v>18</v>
      </c>
      <c r="D409" t="s">
        <v>34</v>
      </c>
      <c r="E409">
        <v>9</v>
      </c>
      <c r="F409">
        <v>63</v>
      </c>
      <c r="G409">
        <v>0.55000000000000004</v>
      </c>
      <c r="H409" s="1">
        <v>46219</v>
      </c>
      <c r="I409" s="1">
        <v>46084</v>
      </c>
      <c r="J409">
        <v>4.95</v>
      </c>
      <c r="K409" t="s">
        <v>44</v>
      </c>
      <c r="L409">
        <v>100</v>
      </c>
      <c r="M409" t="s">
        <v>36</v>
      </c>
    </row>
    <row r="410" spans="1:13" x14ac:dyDescent="0.25">
      <c r="A410" t="s">
        <v>448</v>
      </c>
      <c r="B410" t="s">
        <v>27</v>
      </c>
      <c r="C410" t="s">
        <v>28</v>
      </c>
      <c r="D410" t="s">
        <v>34</v>
      </c>
      <c r="E410">
        <v>85</v>
      </c>
      <c r="F410">
        <v>62</v>
      </c>
      <c r="G410">
        <v>0.88</v>
      </c>
      <c r="H410" s="1">
        <v>46346</v>
      </c>
      <c r="I410" s="1">
        <v>45991</v>
      </c>
      <c r="J410">
        <v>74.8</v>
      </c>
      <c r="K410" t="s">
        <v>35</v>
      </c>
      <c r="L410">
        <v>227</v>
      </c>
      <c r="M410" t="s">
        <v>36</v>
      </c>
    </row>
    <row r="411" spans="1:13" x14ac:dyDescent="0.25">
      <c r="A411" t="s">
        <v>449</v>
      </c>
      <c r="B411" t="s">
        <v>17</v>
      </c>
      <c r="C411" t="s">
        <v>18</v>
      </c>
      <c r="D411" t="s">
        <v>34</v>
      </c>
      <c r="E411">
        <v>50</v>
      </c>
      <c r="F411">
        <v>39</v>
      </c>
      <c r="G411">
        <v>1.38</v>
      </c>
      <c r="H411" s="1">
        <v>46152</v>
      </c>
      <c r="I411" s="1">
        <v>46117</v>
      </c>
      <c r="J411">
        <v>69</v>
      </c>
      <c r="K411" t="s">
        <v>35</v>
      </c>
      <c r="L411">
        <v>33</v>
      </c>
      <c r="M411" t="s">
        <v>36</v>
      </c>
    </row>
    <row r="412" spans="1:13" x14ac:dyDescent="0.25">
      <c r="A412" t="s">
        <v>450</v>
      </c>
      <c r="B412" t="s">
        <v>14</v>
      </c>
      <c r="C412" t="s">
        <v>15</v>
      </c>
      <c r="D412" t="s">
        <v>38</v>
      </c>
      <c r="E412">
        <v>199</v>
      </c>
      <c r="F412">
        <v>26</v>
      </c>
      <c r="G412">
        <v>1.7</v>
      </c>
      <c r="H412" s="1">
        <v>46433</v>
      </c>
      <c r="I412" s="1">
        <v>46007</v>
      </c>
      <c r="J412">
        <v>338.3</v>
      </c>
      <c r="K412" t="s">
        <v>35</v>
      </c>
      <c r="L412">
        <v>314</v>
      </c>
      <c r="M412" t="s">
        <v>36</v>
      </c>
    </row>
    <row r="413" spans="1:13" x14ac:dyDescent="0.25">
      <c r="A413" t="s">
        <v>451</v>
      </c>
      <c r="B413" t="s">
        <v>19</v>
      </c>
      <c r="C413" t="s">
        <v>20</v>
      </c>
      <c r="D413" t="s">
        <v>34</v>
      </c>
      <c r="E413">
        <v>191</v>
      </c>
      <c r="F413">
        <v>79</v>
      </c>
      <c r="G413">
        <v>1.94</v>
      </c>
      <c r="H413" s="1">
        <v>46451</v>
      </c>
      <c r="I413" s="1">
        <v>46044</v>
      </c>
      <c r="J413">
        <v>370.53999999999996</v>
      </c>
      <c r="K413" t="s">
        <v>35</v>
      </c>
      <c r="L413">
        <v>332</v>
      </c>
      <c r="M413" t="s">
        <v>36</v>
      </c>
    </row>
    <row r="414" spans="1:13" x14ac:dyDescent="0.25">
      <c r="A414" t="s">
        <v>452</v>
      </c>
      <c r="B414" t="s">
        <v>14</v>
      </c>
      <c r="C414" t="s">
        <v>15</v>
      </c>
      <c r="D414" t="s">
        <v>49</v>
      </c>
      <c r="E414">
        <v>198</v>
      </c>
      <c r="F414">
        <v>57</v>
      </c>
      <c r="G414">
        <v>1.24</v>
      </c>
      <c r="H414" s="1">
        <v>46322</v>
      </c>
      <c r="I414" s="1">
        <v>46074</v>
      </c>
      <c r="J414">
        <v>245.52</v>
      </c>
      <c r="K414" t="s">
        <v>35</v>
      </c>
      <c r="L414">
        <v>203</v>
      </c>
      <c r="M414" t="s">
        <v>36</v>
      </c>
    </row>
    <row r="415" spans="1:13" x14ac:dyDescent="0.25">
      <c r="A415" t="s">
        <v>453</v>
      </c>
      <c r="B415" t="s">
        <v>23</v>
      </c>
      <c r="C415" t="s">
        <v>24</v>
      </c>
      <c r="D415" t="s">
        <v>40</v>
      </c>
      <c r="E415">
        <v>95</v>
      </c>
      <c r="F415">
        <v>39</v>
      </c>
      <c r="G415">
        <v>1.61</v>
      </c>
      <c r="H415" s="1">
        <v>46272</v>
      </c>
      <c r="I415" s="1">
        <v>46113</v>
      </c>
      <c r="J415">
        <v>152.95000000000002</v>
      </c>
      <c r="K415" t="s">
        <v>35</v>
      </c>
      <c r="L415">
        <v>153</v>
      </c>
      <c r="M415" t="s">
        <v>36</v>
      </c>
    </row>
    <row r="416" spans="1:13" x14ac:dyDescent="0.25">
      <c r="A416" t="s">
        <v>454</v>
      </c>
      <c r="B416" t="s">
        <v>14</v>
      </c>
      <c r="C416" t="s">
        <v>15</v>
      </c>
      <c r="D416" t="s">
        <v>34</v>
      </c>
      <c r="E416">
        <v>91</v>
      </c>
      <c r="F416">
        <v>94</v>
      </c>
      <c r="G416">
        <v>1.77</v>
      </c>
      <c r="H416" s="1">
        <v>46399</v>
      </c>
      <c r="I416" s="1">
        <v>46015</v>
      </c>
      <c r="J416">
        <v>161.07</v>
      </c>
      <c r="K416" t="s">
        <v>44</v>
      </c>
      <c r="L416">
        <v>280</v>
      </c>
      <c r="M416" t="s">
        <v>36</v>
      </c>
    </row>
    <row r="417" spans="1:13" x14ac:dyDescent="0.25">
      <c r="A417" t="s">
        <v>455</v>
      </c>
      <c r="B417" t="s">
        <v>26</v>
      </c>
      <c r="C417" t="s">
        <v>22</v>
      </c>
      <c r="D417" t="s">
        <v>40</v>
      </c>
      <c r="E417">
        <v>95</v>
      </c>
      <c r="F417">
        <v>81</v>
      </c>
      <c r="G417">
        <v>1.81</v>
      </c>
      <c r="H417" s="1">
        <v>46200</v>
      </c>
      <c r="I417" s="1">
        <v>46073</v>
      </c>
      <c r="J417">
        <v>171.95000000000002</v>
      </c>
      <c r="K417" t="s">
        <v>35</v>
      </c>
      <c r="L417">
        <v>81</v>
      </c>
      <c r="M417" t="s">
        <v>36</v>
      </c>
    </row>
    <row r="418" spans="1:13" x14ac:dyDescent="0.25">
      <c r="A418" t="s">
        <v>456</v>
      </c>
      <c r="B418" t="s">
        <v>17</v>
      </c>
      <c r="C418" t="s">
        <v>18</v>
      </c>
      <c r="D418" t="s">
        <v>40</v>
      </c>
      <c r="E418">
        <v>120</v>
      </c>
      <c r="F418">
        <v>23</v>
      </c>
      <c r="G418">
        <v>0.93</v>
      </c>
      <c r="H418" s="1">
        <v>46248</v>
      </c>
      <c r="I418" s="1">
        <v>46010</v>
      </c>
      <c r="J418">
        <v>111.60000000000001</v>
      </c>
      <c r="K418" t="s">
        <v>35</v>
      </c>
      <c r="L418">
        <v>129</v>
      </c>
      <c r="M418" t="s">
        <v>36</v>
      </c>
    </row>
    <row r="419" spans="1:13" x14ac:dyDescent="0.25">
      <c r="A419" t="s">
        <v>457</v>
      </c>
      <c r="B419" t="s">
        <v>16</v>
      </c>
      <c r="C419" t="s">
        <v>13</v>
      </c>
      <c r="D419" t="s">
        <v>34</v>
      </c>
      <c r="E419">
        <v>81</v>
      </c>
      <c r="F419">
        <v>30</v>
      </c>
      <c r="G419">
        <v>1.1499999999999999</v>
      </c>
      <c r="H419" s="1">
        <v>46232</v>
      </c>
      <c r="I419" s="1">
        <v>45951</v>
      </c>
      <c r="J419">
        <v>93.149999999999991</v>
      </c>
      <c r="K419" t="s">
        <v>35</v>
      </c>
      <c r="L419">
        <v>113</v>
      </c>
      <c r="M419" t="s">
        <v>36</v>
      </c>
    </row>
    <row r="420" spans="1:13" x14ac:dyDescent="0.25">
      <c r="A420" t="s">
        <v>458</v>
      </c>
      <c r="B420" t="s">
        <v>23</v>
      </c>
      <c r="C420" t="s">
        <v>24</v>
      </c>
      <c r="D420" t="s">
        <v>38</v>
      </c>
      <c r="E420">
        <v>12</v>
      </c>
      <c r="F420">
        <v>68</v>
      </c>
      <c r="G420">
        <v>1.07</v>
      </c>
      <c r="H420" s="1">
        <v>46386</v>
      </c>
      <c r="I420" s="1">
        <v>46072</v>
      </c>
      <c r="J420">
        <v>12.84</v>
      </c>
      <c r="K420" t="s">
        <v>44</v>
      </c>
      <c r="L420">
        <v>267</v>
      </c>
      <c r="M420" t="s">
        <v>36</v>
      </c>
    </row>
    <row r="421" spans="1:13" x14ac:dyDescent="0.25">
      <c r="A421" t="s">
        <v>459</v>
      </c>
      <c r="B421" t="s">
        <v>25</v>
      </c>
      <c r="C421" t="s">
        <v>15</v>
      </c>
      <c r="D421" t="s">
        <v>49</v>
      </c>
      <c r="E421">
        <v>171</v>
      </c>
      <c r="F421">
        <v>23</v>
      </c>
      <c r="G421">
        <v>1.53</v>
      </c>
      <c r="H421" s="1">
        <v>46251</v>
      </c>
      <c r="I421" s="1">
        <v>45959</v>
      </c>
      <c r="J421">
        <v>261.63</v>
      </c>
      <c r="K421" t="s">
        <v>35</v>
      </c>
      <c r="L421">
        <v>132</v>
      </c>
      <c r="M421" t="s">
        <v>36</v>
      </c>
    </row>
    <row r="422" spans="1:13" x14ac:dyDescent="0.25">
      <c r="A422" t="s">
        <v>460</v>
      </c>
      <c r="B422" t="s">
        <v>27</v>
      </c>
      <c r="C422" t="s">
        <v>28</v>
      </c>
      <c r="D422" t="s">
        <v>38</v>
      </c>
      <c r="E422">
        <v>109</v>
      </c>
      <c r="F422">
        <v>57</v>
      </c>
      <c r="G422">
        <v>0.81</v>
      </c>
      <c r="H422" s="1">
        <v>46349</v>
      </c>
      <c r="I422" s="1">
        <v>46000</v>
      </c>
      <c r="J422">
        <v>88.29</v>
      </c>
      <c r="K422" t="s">
        <v>35</v>
      </c>
      <c r="L422">
        <v>230</v>
      </c>
      <c r="M422" t="s">
        <v>36</v>
      </c>
    </row>
    <row r="423" spans="1:13" x14ac:dyDescent="0.25">
      <c r="A423" t="s">
        <v>461</v>
      </c>
      <c r="B423" t="s">
        <v>23</v>
      </c>
      <c r="C423" t="s">
        <v>24</v>
      </c>
      <c r="D423" t="s">
        <v>38</v>
      </c>
      <c r="E423">
        <v>97</v>
      </c>
      <c r="F423">
        <v>59</v>
      </c>
      <c r="G423">
        <v>1.0900000000000001</v>
      </c>
      <c r="H423" s="1">
        <v>46174</v>
      </c>
      <c r="I423" s="1">
        <v>46074</v>
      </c>
      <c r="J423">
        <v>105.73</v>
      </c>
      <c r="K423" t="s">
        <v>35</v>
      </c>
      <c r="L423">
        <v>55</v>
      </c>
      <c r="M423" t="s">
        <v>36</v>
      </c>
    </row>
    <row r="424" spans="1:13" x14ac:dyDescent="0.25">
      <c r="A424" t="s">
        <v>462</v>
      </c>
      <c r="B424" t="s">
        <v>16</v>
      </c>
      <c r="C424" t="s">
        <v>13</v>
      </c>
      <c r="D424" t="s">
        <v>49</v>
      </c>
      <c r="E424">
        <v>81</v>
      </c>
      <c r="F424">
        <v>57</v>
      </c>
      <c r="G424">
        <v>1.42</v>
      </c>
      <c r="H424" s="1">
        <v>46181</v>
      </c>
      <c r="I424" s="1">
        <v>46026</v>
      </c>
      <c r="J424">
        <v>115.02</v>
      </c>
      <c r="K424" t="s">
        <v>35</v>
      </c>
      <c r="L424">
        <v>62</v>
      </c>
      <c r="M424" t="s">
        <v>36</v>
      </c>
    </row>
    <row r="425" spans="1:13" x14ac:dyDescent="0.25">
      <c r="A425" t="s">
        <v>463</v>
      </c>
      <c r="B425" t="s">
        <v>21</v>
      </c>
      <c r="C425" t="s">
        <v>22</v>
      </c>
      <c r="D425" t="s">
        <v>40</v>
      </c>
      <c r="E425">
        <v>118</v>
      </c>
      <c r="F425">
        <v>72</v>
      </c>
      <c r="G425">
        <v>1.86</v>
      </c>
      <c r="H425" s="1">
        <v>46149</v>
      </c>
      <c r="I425" s="1">
        <v>46118</v>
      </c>
      <c r="J425">
        <v>219.48000000000002</v>
      </c>
      <c r="K425" t="s">
        <v>35</v>
      </c>
      <c r="L425">
        <v>30</v>
      </c>
      <c r="M425" t="s">
        <v>482</v>
      </c>
    </row>
    <row r="426" spans="1:13" x14ac:dyDescent="0.25">
      <c r="A426" t="s">
        <v>464</v>
      </c>
      <c r="B426" t="s">
        <v>26</v>
      </c>
      <c r="C426" t="s">
        <v>22</v>
      </c>
      <c r="D426" t="s">
        <v>40</v>
      </c>
      <c r="E426">
        <v>3</v>
      </c>
      <c r="F426">
        <v>35</v>
      </c>
      <c r="G426">
        <v>1.1299999999999999</v>
      </c>
      <c r="H426" s="1">
        <v>46402</v>
      </c>
      <c r="I426" s="1">
        <v>46035</v>
      </c>
      <c r="J426">
        <v>3.3899999999999997</v>
      </c>
      <c r="K426" t="s">
        <v>44</v>
      </c>
      <c r="L426">
        <v>283</v>
      </c>
      <c r="M426" t="s">
        <v>36</v>
      </c>
    </row>
    <row r="427" spans="1:13" x14ac:dyDescent="0.25">
      <c r="A427" t="s">
        <v>465</v>
      </c>
      <c r="B427" t="s">
        <v>21</v>
      </c>
      <c r="C427" t="s">
        <v>22</v>
      </c>
      <c r="D427" t="s">
        <v>34</v>
      </c>
      <c r="E427">
        <v>60</v>
      </c>
      <c r="F427">
        <v>75</v>
      </c>
      <c r="G427">
        <v>0.71</v>
      </c>
      <c r="H427" s="1">
        <v>46152</v>
      </c>
      <c r="I427" s="1">
        <v>45989</v>
      </c>
      <c r="J427">
        <v>42.599999999999994</v>
      </c>
      <c r="K427" t="s">
        <v>44</v>
      </c>
      <c r="L427">
        <v>33</v>
      </c>
      <c r="M427" t="s">
        <v>36</v>
      </c>
    </row>
    <row r="428" spans="1:13" x14ac:dyDescent="0.25">
      <c r="A428" t="s">
        <v>466</v>
      </c>
      <c r="B428" t="s">
        <v>14</v>
      </c>
      <c r="C428" t="s">
        <v>15</v>
      </c>
      <c r="D428" t="s">
        <v>38</v>
      </c>
      <c r="E428">
        <v>45</v>
      </c>
      <c r="F428">
        <v>96</v>
      </c>
      <c r="G428">
        <v>0.95</v>
      </c>
      <c r="H428" s="1">
        <v>46306</v>
      </c>
      <c r="I428" s="1">
        <v>45949</v>
      </c>
      <c r="J428">
        <v>42.75</v>
      </c>
      <c r="K428" t="s">
        <v>44</v>
      </c>
      <c r="L428">
        <v>187</v>
      </c>
      <c r="M428" t="s">
        <v>36</v>
      </c>
    </row>
    <row r="429" spans="1:13" x14ac:dyDescent="0.25">
      <c r="A429" t="s">
        <v>467</v>
      </c>
      <c r="B429" t="s">
        <v>19</v>
      </c>
      <c r="C429" t="s">
        <v>20</v>
      </c>
      <c r="D429" t="s">
        <v>34</v>
      </c>
      <c r="E429">
        <v>138</v>
      </c>
      <c r="F429">
        <v>75</v>
      </c>
      <c r="G429">
        <v>1.96</v>
      </c>
      <c r="H429" s="1">
        <v>46198</v>
      </c>
      <c r="I429" s="1">
        <v>46088</v>
      </c>
      <c r="J429">
        <v>270.48</v>
      </c>
      <c r="K429" t="s">
        <v>35</v>
      </c>
      <c r="L429">
        <v>79</v>
      </c>
      <c r="M429" t="s">
        <v>36</v>
      </c>
    </row>
    <row r="430" spans="1:13" x14ac:dyDescent="0.25">
      <c r="A430" t="s">
        <v>468</v>
      </c>
      <c r="B430" t="s">
        <v>16</v>
      </c>
      <c r="C430" t="s">
        <v>13</v>
      </c>
      <c r="D430" t="s">
        <v>34</v>
      </c>
      <c r="E430">
        <v>195</v>
      </c>
      <c r="F430">
        <v>88</v>
      </c>
      <c r="G430">
        <v>1.74</v>
      </c>
      <c r="H430" s="1">
        <v>46320</v>
      </c>
      <c r="I430" s="1">
        <v>46061</v>
      </c>
      <c r="J430">
        <v>339.3</v>
      </c>
      <c r="K430" t="s">
        <v>35</v>
      </c>
      <c r="L430">
        <v>201</v>
      </c>
      <c r="M430" t="s">
        <v>36</v>
      </c>
    </row>
    <row r="431" spans="1:13" x14ac:dyDescent="0.25">
      <c r="A431" t="s">
        <v>469</v>
      </c>
      <c r="B431" t="s">
        <v>21</v>
      </c>
      <c r="C431" t="s">
        <v>22</v>
      </c>
      <c r="D431" t="s">
        <v>34</v>
      </c>
      <c r="E431">
        <v>120</v>
      </c>
      <c r="F431">
        <v>55</v>
      </c>
      <c r="G431">
        <v>1.64</v>
      </c>
      <c r="H431" s="1">
        <v>46256</v>
      </c>
      <c r="I431" s="1">
        <v>46074</v>
      </c>
      <c r="J431">
        <v>196.79999999999998</v>
      </c>
      <c r="K431" t="s">
        <v>35</v>
      </c>
      <c r="L431">
        <v>137</v>
      </c>
      <c r="M431" t="s">
        <v>36</v>
      </c>
    </row>
    <row r="432" spans="1:13" x14ac:dyDescent="0.25">
      <c r="A432" t="s">
        <v>470</v>
      </c>
      <c r="B432" t="s">
        <v>19</v>
      </c>
      <c r="C432" t="s">
        <v>20</v>
      </c>
      <c r="D432" t="s">
        <v>49</v>
      </c>
      <c r="E432">
        <v>69</v>
      </c>
      <c r="F432">
        <v>70</v>
      </c>
      <c r="G432">
        <v>1.69</v>
      </c>
      <c r="H432" s="1">
        <v>46237</v>
      </c>
      <c r="I432" s="1">
        <v>45973</v>
      </c>
      <c r="J432">
        <v>116.61</v>
      </c>
      <c r="K432" t="s">
        <v>44</v>
      </c>
      <c r="L432">
        <v>118</v>
      </c>
      <c r="M432" t="s">
        <v>36</v>
      </c>
    </row>
    <row r="433" spans="1:13" x14ac:dyDescent="0.25">
      <c r="A433" t="s">
        <v>471</v>
      </c>
      <c r="B433" t="s">
        <v>14</v>
      </c>
      <c r="C433" t="s">
        <v>15</v>
      </c>
      <c r="D433" t="s">
        <v>49</v>
      </c>
      <c r="E433">
        <v>18</v>
      </c>
      <c r="F433">
        <v>54</v>
      </c>
      <c r="G433">
        <v>1.6</v>
      </c>
      <c r="H433" s="1">
        <v>46466</v>
      </c>
      <c r="I433" s="1">
        <v>45958</v>
      </c>
      <c r="J433">
        <v>28.8</v>
      </c>
      <c r="K433" t="s">
        <v>44</v>
      </c>
      <c r="L433">
        <v>347</v>
      </c>
      <c r="M433" t="s">
        <v>36</v>
      </c>
    </row>
    <row r="434" spans="1:13" x14ac:dyDescent="0.25">
      <c r="A434" t="s">
        <v>472</v>
      </c>
      <c r="B434" t="s">
        <v>16</v>
      </c>
      <c r="C434" t="s">
        <v>13</v>
      </c>
      <c r="D434" t="s">
        <v>38</v>
      </c>
      <c r="E434">
        <v>102</v>
      </c>
      <c r="F434">
        <v>31</v>
      </c>
      <c r="G434">
        <v>1.32</v>
      </c>
      <c r="H434" s="1">
        <v>46187</v>
      </c>
      <c r="I434" s="1">
        <v>46082</v>
      </c>
      <c r="J434">
        <v>134.64000000000001</v>
      </c>
      <c r="K434" t="s">
        <v>35</v>
      </c>
      <c r="L434">
        <v>68</v>
      </c>
      <c r="M434" t="s">
        <v>36</v>
      </c>
    </row>
    <row r="435" spans="1:13" x14ac:dyDescent="0.25">
      <c r="A435" t="s">
        <v>473</v>
      </c>
      <c r="B435" t="s">
        <v>27</v>
      </c>
      <c r="C435" t="s">
        <v>28</v>
      </c>
      <c r="D435" t="s">
        <v>40</v>
      </c>
      <c r="E435">
        <v>24</v>
      </c>
      <c r="F435">
        <v>31</v>
      </c>
      <c r="G435">
        <v>0.93</v>
      </c>
      <c r="H435" s="1">
        <v>46406</v>
      </c>
      <c r="I435" s="1">
        <v>46016</v>
      </c>
      <c r="J435">
        <v>22.32</v>
      </c>
      <c r="K435" t="s">
        <v>44</v>
      </c>
      <c r="L435">
        <v>287</v>
      </c>
      <c r="M435" t="s">
        <v>36</v>
      </c>
    </row>
    <row r="436" spans="1:13" x14ac:dyDescent="0.25">
      <c r="A436" t="s">
        <v>474</v>
      </c>
      <c r="B436" t="s">
        <v>19</v>
      </c>
      <c r="C436" t="s">
        <v>20</v>
      </c>
      <c r="D436" t="s">
        <v>38</v>
      </c>
      <c r="E436">
        <v>103</v>
      </c>
      <c r="F436">
        <v>54</v>
      </c>
      <c r="G436">
        <v>0.8</v>
      </c>
      <c r="H436" s="1">
        <v>46417</v>
      </c>
      <c r="I436" s="1">
        <v>46095</v>
      </c>
      <c r="J436">
        <v>82.4</v>
      </c>
      <c r="K436" t="s">
        <v>35</v>
      </c>
      <c r="L436">
        <v>298</v>
      </c>
      <c r="M436" t="s">
        <v>36</v>
      </c>
    </row>
    <row r="437" spans="1:13" x14ac:dyDescent="0.25">
      <c r="A437" t="s">
        <v>475</v>
      </c>
      <c r="B437" t="s">
        <v>26</v>
      </c>
      <c r="C437" t="s">
        <v>22</v>
      </c>
      <c r="D437" t="s">
        <v>38</v>
      </c>
      <c r="E437">
        <v>30</v>
      </c>
      <c r="F437">
        <v>30</v>
      </c>
      <c r="G437">
        <v>1.94</v>
      </c>
      <c r="H437" s="1">
        <v>46178</v>
      </c>
      <c r="I437" s="1">
        <v>46082</v>
      </c>
      <c r="J437">
        <v>58.199999999999996</v>
      </c>
      <c r="K437" t="s">
        <v>35</v>
      </c>
      <c r="L437">
        <v>59</v>
      </c>
      <c r="M437" t="s">
        <v>36</v>
      </c>
    </row>
    <row r="438" spans="1:13" x14ac:dyDescent="0.25">
      <c r="A438" t="s">
        <v>476</v>
      </c>
      <c r="B438" t="s">
        <v>14</v>
      </c>
      <c r="C438" t="s">
        <v>15</v>
      </c>
      <c r="D438" t="s">
        <v>34</v>
      </c>
      <c r="E438">
        <v>47</v>
      </c>
      <c r="F438">
        <v>39</v>
      </c>
      <c r="G438">
        <v>1.54</v>
      </c>
      <c r="H438" s="1">
        <v>46398</v>
      </c>
      <c r="I438" s="1">
        <v>46034</v>
      </c>
      <c r="J438">
        <v>72.38</v>
      </c>
      <c r="K438" t="s">
        <v>35</v>
      </c>
      <c r="L438">
        <v>279</v>
      </c>
      <c r="M438" t="s">
        <v>36</v>
      </c>
    </row>
    <row r="439" spans="1:13" x14ac:dyDescent="0.25">
      <c r="A439" t="s">
        <v>477</v>
      </c>
      <c r="B439" t="s">
        <v>16</v>
      </c>
      <c r="C439" t="s">
        <v>13</v>
      </c>
      <c r="D439" t="s">
        <v>40</v>
      </c>
      <c r="E439">
        <v>197</v>
      </c>
      <c r="F439">
        <v>74</v>
      </c>
      <c r="G439">
        <v>1.47</v>
      </c>
      <c r="H439" s="1">
        <v>46469</v>
      </c>
      <c r="I439" s="1">
        <v>45988</v>
      </c>
      <c r="J439">
        <v>289.58999999999997</v>
      </c>
      <c r="K439" t="s">
        <v>35</v>
      </c>
      <c r="L439">
        <v>350</v>
      </c>
      <c r="M439" t="s">
        <v>36</v>
      </c>
    </row>
    <row r="440" spans="1:13" x14ac:dyDescent="0.25">
      <c r="A440" t="s">
        <v>478</v>
      </c>
      <c r="B440" t="s">
        <v>25</v>
      </c>
      <c r="C440" t="s">
        <v>15</v>
      </c>
      <c r="D440" t="s">
        <v>34</v>
      </c>
      <c r="E440">
        <v>96</v>
      </c>
      <c r="F440">
        <v>86</v>
      </c>
      <c r="G440">
        <v>1.07</v>
      </c>
      <c r="H440" s="1">
        <v>46229</v>
      </c>
      <c r="I440" s="1">
        <v>45948</v>
      </c>
      <c r="J440">
        <v>102.72</v>
      </c>
      <c r="K440" t="s">
        <v>35</v>
      </c>
      <c r="L440">
        <v>110</v>
      </c>
      <c r="M440" t="s">
        <v>36</v>
      </c>
    </row>
    <row r="441" spans="1:13" x14ac:dyDescent="0.25">
      <c r="A441" t="s">
        <v>479</v>
      </c>
      <c r="B441" t="s">
        <v>14</v>
      </c>
      <c r="C441" t="s">
        <v>15</v>
      </c>
      <c r="D441" t="s">
        <v>49</v>
      </c>
      <c r="E441">
        <v>179</v>
      </c>
      <c r="F441">
        <v>73</v>
      </c>
      <c r="G441">
        <v>1.94</v>
      </c>
      <c r="H441" s="1">
        <v>46371</v>
      </c>
      <c r="I441" s="1">
        <v>45967</v>
      </c>
      <c r="J441">
        <v>347.26</v>
      </c>
      <c r="K441" t="s">
        <v>35</v>
      </c>
      <c r="L441">
        <v>252</v>
      </c>
      <c r="M441" t="s">
        <v>36</v>
      </c>
    </row>
    <row r="442" spans="1:13" x14ac:dyDescent="0.25">
      <c r="A442" t="s">
        <v>480</v>
      </c>
      <c r="B442" t="s">
        <v>19</v>
      </c>
      <c r="C442" t="s">
        <v>20</v>
      </c>
      <c r="D442" t="s">
        <v>34</v>
      </c>
      <c r="E442">
        <v>46</v>
      </c>
      <c r="F442">
        <v>52</v>
      </c>
      <c r="G442">
        <v>0.92</v>
      </c>
      <c r="H442" s="1">
        <v>46275</v>
      </c>
      <c r="I442" s="1">
        <v>45959</v>
      </c>
      <c r="J442">
        <v>42.32</v>
      </c>
      <c r="K442" t="s">
        <v>44</v>
      </c>
      <c r="L442">
        <v>156</v>
      </c>
      <c r="M442" t="s">
        <v>36</v>
      </c>
    </row>
    <row r="443" spans="1:13" x14ac:dyDescent="0.25">
      <c r="A443" t="s">
        <v>481</v>
      </c>
      <c r="B443" t="s">
        <v>12</v>
      </c>
      <c r="C443" t="s">
        <v>13</v>
      </c>
      <c r="D443" t="s">
        <v>49</v>
      </c>
      <c r="E443">
        <v>172</v>
      </c>
      <c r="F443">
        <v>57</v>
      </c>
      <c r="G443">
        <v>0.83</v>
      </c>
      <c r="H443" s="1">
        <v>46307</v>
      </c>
      <c r="I443" s="1">
        <v>46022</v>
      </c>
      <c r="J443">
        <v>142.76</v>
      </c>
      <c r="K443" t="s">
        <v>35</v>
      </c>
      <c r="L443">
        <v>188</v>
      </c>
      <c r="M443" t="s">
        <v>36</v>
      </c>
    </row>
    <row r="444" spans="1:13" x14ac:dyDescent="0.25">
      <c r="A444" t="s">
        <v>483</v>
      </c>
      <c r="B444" t="s">
        <v>21</v>
      </c>
      <c r="C444" t="s">
        <v>22</v>
      </c>
      <c r="D444" t="s">
        <v>49</v>
      </c>
      <c r="E444">
        <v>194</v>
      </c>
      <c r="F444">
        <v>57</v>
      </c>
      <c r="G444">
        <v>1.45</v>
      </c>
      <c r="H444" s="1">
        <v>46441</v>
      </c>
      <c r="I444" s="1">
        <v>45959</v>
      </c>
      <c r="J444">
        <v>281.3</v>
      </c>
      <c r="K444" t="s">
        <v>35</v>
      </c>
      <c r="L444">
        <v>322</v>
      </c>
      <c r="M444" t="s">
        <v>36</v>
      </c>
    </row>
    <row r="445" spans="1:13" x14ac:dyDescent="0.25">
      <c r="A445" t="s">
        <v>484</v>
      </c>
      <c r="B445" t="s">
        <v>14</v>
      </c>
      <c r="C445" t="s">
        <v>15</v>
      </c>
      <c r="D445" t="s">
        <v>40</v>
      </c>
      <c r="E445">
        <v>71</v>
      </c>
      <c r="F445">
        <v>34</v>
      </c>
      <c r="G445">
        <v>1.96</v>
      </c>
      <c r="H445" s="1">
        <v>46396</v>
      </c>
      <c r="I445" s="1">
        <v>46079</v>
      </c>
      <c r="J445">
        <v>139.16</v>
      </c>
      <c r="K445" t="s">
        <v>35</v>
      </c>
      <c r="L445">
        <v>277</v>
      </c>
      <c r="M445" t="s">
        <v>36</v>
      </c>
    </row>
    <row r="446" spans="1:13" x14ac:dyDescent="0.25">
      <c r="A446" t="s">
        <v>485</v>
      </c>
      <c r="B446" t="s">
        <v>16</v>
      </c>
      <c r="C446" t="s">
        <v>13</v>
      </c>
      <c r="D446" t="s">
        <v>34</v>
      </c>
      <c r="E446">
        <v>32</v>
      </c>
      <c r="F446">
        <v>65</v>
      </c>
      <c r="G446">
        <v>1.1000000000000001</v>
      </c>
      <c r="H446" s="1">
        <v>46474</v>
      </c>
      <c r="I446" s="1">
        <v>46000</v>
      </c>
      <c r="J446">
        <v>35.200000000000003</v>
      </c>
      <c r="K446" t="s">
        <v>44</v>
      </c>
      <c r="L446">
        <v>355</v>
      </c>
      <c r="M446" t="s">
        <v>36</v>
      </c>
    </row>
    <row r="447" spans="1:13" x14ac:dyDescent="0.25">
      <c r="A447" t="s">
        <v>486</v>
      </c>
      <c r="B447" t="s">
        <v>17</v>
      </c>
      <c r="C447" t="s">
        <v>18</v>
      </c>
      <c r="D447" t="s">
        <v>40</v>
      </c>
      <c r="E447">
        <v>36</v>
      </c>
      <c r="F447">
        <v>58</v>
      </c>
      <c r="G447">
        <v>0.57999999999999996</v>
      </c>
      <c r="H447" s="1">
        <v>46381</v>
      </c>
      <c r="I447" s="1">
        <v>45962</v>
      </c>
      <c r="J447">
        <v>20.88</v>
      </c>
      <c r="K447" t="s">
        <v>44</v>
      </c>
      <c r="L447">
        <v>262</v>
      </c>
      <c r="M447" t="s">
        <v>36</v>
      </c>
    </row>
    <row r="448" spans="1:13" x14ac:dyDescent="0.25">
      <c r="A448" t="s">
        <v>487</v>
      </c>
      <c r="B448" t="s">
        <v>21</v>
      </c>
      <c r="C448" t="s">
        <v>22</v>
      </c>
      <c r="D448" t="s">
        <v>38</v>
      </c>
      <c r="E448">
        <v>27</v>
      </c>
      <c r="F448">
        <v>57</v>
      </c>
      <c r="G448">
        <v>1.92</v>
      </c>
      <c r="H448" s="1">
        <v>46313</v>
      </c>
      <c r="I448" s="1">
        <v>46069</v>
      </c>
      <c r="J448">
        <v>51.839999999999996</v>
      </c>
      <c r="K448" t="s">
        <v>44</v>
      </c>
      <c r="L448">
        <v>194</v>
      </c>
      <c r="M448" t="s">
        <v>36</v>
      </c>
    </row>
    <row r="449" spans="1:13" x14ac:dyDescent="0.25">
      <c r="A449" t="s">
        <v>488</v>
      </c>
      <c r="B449" t="s">
        <v>27</v>
      </c>
      <c r="C449" t="s">
        <v>28</v>
      </c>
      <c r="D449" t="s">
        <v>38</v>
      </c>
      <c r="E449">
        <v>89</v>
      </c>
      <c r="F449">
        <v>98</v>
      </c>
      <c r="G449">
        <v>0.9</v>
      </c>
      <c r="H449" s="1">
        <v>46274</v>
      </c>
      <c r="I449" s="1">
        <v>45989</v>
      </c>
      <c r="J449">
        <v>80.100000000000009</v>
      </c>
      <c r="K449" t="s">
        <v>44</v>
      </c>
      <c r="L449">
        <v>155</v>
      </c>
      <c r="M449" t="s">
        <v>36</v>
      </c>
    </row>
    <row r="450" spans="1:13" x14ac:dyDescent="0.25">
      <c r="A450" t="s">
        <v>489</v>
      </c>
      <c r="B450" t="s">
        <v>19</v>
      </c>
      <c r="C450" t="s">
        <v>20</v>
      </c>
      <c r="D450" t="s">
        <v>49</v>
      </c>
      <c r="E450">
        <v>44</v>
      </c>
      <c r="F450">
        <v>82</v>
      </c>
      <c r="G450">
        <v>1.31</v>
      </c>
      <c r="H450" s="1">
        <v>46227</v>
      </c>
      <c r="I450" s="1">
        <v>46068</v>
      </c>
      <c r="J450">
        <v>57.64</v>
      </c>
      <c r="K450" t="s">
        <v>44</v>
      </c>
      <c r="L450">
        <v>108</v>
      </c>
      <c r="M450" t="s">
        <v>36</v>
      </c>
    </row>
    <row r="451" spans="1:13" x14ac:dyDescent="0.25">
      <c r="A451" t="s">
        <v>490</v>
      </c>
      <c r="B451" t="s">
        <v>26</v>
      </c>
      <c r="C451" t="s">
        <v>22</v>
      </c>
      <c r="D451" t="s">
        <v>49</v>
      </c>
      <c r="E451">
        <v>78</v>
      </c>
      <c r="F451">
        <v>81</v>
      </c>
      <c r="G451">
        <v>1.02</v>
      </c>
      <c r="H451" s="1">
        <v>46225</v>
      </c>
      <c r="I451" s="1">
        <v>46049</v>
      </c>
      <c r="J451">
        <v>79.56</v>
      </c>
      <c r="K451" t="s">
        <v>44</v>
      </c>
      <c r="L451">
        <v>106</v>
      </c>
      <c r="M451" t="s">
        <v>36</v>
      </c>
    </row>
    <row r="452" spans="1:13" x14ac:dyDescent="0.25">
      <c r="A452" t="s">
        <v>491</v>
      </c>
      <c r="B452" t="s">
        <v>17</v>
      </c>
      <c r="C452" t="s">
        <v>18</v>
      </c>
      <c r="D452" t="s">
        <v>40</v>
      </c>
      <c r="E452">
        <v>199</v>
      </c>
      <c r="F452">
        <v>84</v>
      </c>
      <c r="G452">
        <v>1.73</v>
      </c>
      <c r="H452" s="1">
        <v>46184</v>
      </c>
      <c r="I452" s="1">
        <v>45940</v>
      </c>
      <c r="J452">
        <v>344.27</v>
      </c>
      <c r="K452" t="s">
        <v>35</v>
      </c>
      <c r="L452">
        <v>65</v>
      </c>
      <c r="M452" t="s">
        <v>36</v>
      </c>
    </row>
    <row r="453" spans="1:13" x14ac:dyDescent="0.25">
      <c r="A453" t="s">
        <v>492</v>
      </c>
      <c r="B453" t="s">
        <v>21</v>
      </c>
      <c r="C453" t="s">
        <v>22</v>
      </c>
      <c r="D453" t="s">
        <v>49</v>
      </c>
      <c r="E453">
        <v>13</v>
      </c>
      <c r="F453">
        <v>92</v>
      </c>
      <c r="G453">
        <v>1.91</v>
      </c>
      <c r="H453" s="1">
        <v>46465</v>
      </c>
      <c r="I453" s="1">
        <v>46068</v>
      </c>
      <c r="J453">
        <v>24.83</v>
      </c>
      <c r="K453" t="s">
        <v>44</v>
      </c>
      <c r="L453">
        <v>346</v>
      </c>
      <c r="M453" t="s">
        <v>36</v>
      </c>
    </row>
    <row r="454" spans="1:13" x14ac:dyDescent="0.25">
      <c r="A454" t="s">
        <v>493</v>
      </c>
      <c r="B454" t="s">
        <v>25</v>
      </c>
      <c r="C454" t="s">
        <v>15</v>
      </c>
      <c r="D454" t="s">
        <v>38</v>
      </c>
      <c r="E454">
        <v>146</v>
      </c>
      <c r="F454">
        <v>42</v>
      </c>
      <c r="G454">
        <v>1.53</v>
      </c>
      <c r="H454" s="1">
        <v>46472</v>
      </c>
      <c r="I454" s="1">
        <v>45991</v>
      </c>
      <c r="J454">
        <v>223.38</v>
      </c>
      <c r="K454" t="s">
        <v>35</v>
      </c>
      <c r="L454">
        <v>353</v>
      </c>
      <c r="M454" t="s">
        <v>36</v>
      </c>
    </row>
    <row r="455" spans="1:13" x14ac:dyDescent="0.25">
      <c r="A455" t="s">
        <v>494</v>
      </c>
      <c r="B455" t="s">
        <v>25</v>
      </c>
      <c r="C455" t="s">
        <v>15</v>
      </c>
      <c r="D455" t="s">
        <v>34</v>
      </c>
      <c r="E455">
        <v>181</v>
      </c>
      <c r="F455">
        <v>29</v>
      </c>
      <c r="G455">
        <v>1.22</v>
      </c>
      <c r="H455" s="1">
        <v>46361</v>
      </c>
      <c r="I455" s="1">
        <v>46030</v>
      </c>
      <c r="J455">
        <v>220.82</v>
      </c>
      <c r="K455" t="s">
        <v>35</v>
      </c>
      <c r="L455">
        <v>242</v>
      </c>
      <c r="M455" t="s">
        <v>36</v>
      </c>
    </row>
    <row r="456" spans="1:13" x14ac:dyDescent="0.25">
      <c r="A456" t="s">
        <v>495</v>
      </c>
      <c r="B456" t="s">
        <v>23</v>
      </c>
      <c r="C456" t="s">
        <v>24</v>
      </c>
      <c r="D456" t="s">
        <v>40</v>
      </c>
      <c r="E456">
        <v>188</v>
      </c>
      <c r="F456">
        <v>58</v>
      </c>
      <c r="G456">
        <v>1.91</v>
      </c>
      <c r="H456" s="1">
        <v>46235</v>
      </c>
      <c r="I456" s="1">
        <v>46115</v>
      </c>
      <c r="J456">
        <v>359.08</v>
      </c>
      <c r="K456" t="s">
        <v>35</v>
      </c>
      <c r="L456">
        <v>116</v>
      </c>
      <c r="M456" t="s">
        <v>36</v>
      </c>
    </row>
    <row r="457" spans="1:13" x14ac:dyDescent="0.25">
      <c r="A457" t="s">
        <v>496</v>
      </c>
      <c r="B457" t="s">
        <v>19</v>
      </c>
      <c r="C457" t="s">
        <v>20</v>
      </c>
      <c r="D457" t="s">
        <v>34</v>
      </c>
      <c r="E457">
        <v>4</v>
      </c>
      <c r="F457">
        <v>83</v>
      </c>
      <c r="G457">
        <v>0.95</v>
      </c>
      <c r="H457" s="1">
        <v>46160</v>
      </c>
      <c r="I457" s="1">
        <v>46000</v>
      </c>
      <c r="J457">
        <v>3.8</v>
      </c>
      <c r="K457" t="s">
        <v>44</v>
      </c>
      <c r="L457">
        <v>41</v>
      </c>
      <c r="M457" t="s">
        <v>36</v>
      </c>
    </row>
    <row r="458" spans="1:13" x14ac:dyDescent="0.25">
      <c r="A458" t="s">
        <v>497</v>
      </c>
      <c r="B458" t="s">
        <v>16</v>
      </c>
      <c r="C458" t="s">
        <v>13</v>
      </c>
      <c r="D458" t="s">
        <v>38</v>
      </c>
      <c r="E458">
        <v>74</v>
      </c>
      <c r="F458">
        <v>60</v>
      </c>
      <c r="G458">
        <v>0.57999999999999996</v>
      </c>
      <c r="H458" s="1">
        <v>46475</v>
      </c>
      <c r="I458" s="1">
        <v>45980</v>
      </c>
      <c r="J458">
        <v>42.919999999999995</v>
      </c>
      <c r="K458" t="s">
        <v>35</v>
      </c>
      <c r="L458">
        <v>356</v>
      </c>
      <c r="M458" t="s">
        <v>36</v>
      </c>
    </row>
    <row r="459" spans="1:13" x14ac:dyDescent="0.25">
      <c r="A459" t="s">
        <v>498</v>
      </c>
      <c r="B459" t="s">
        <v>19</v>
      </c>
      <c r="C459" t="s">
        <v>20</v>
      </c>
      <c r="D459" t="s">
        <v>34</v>
      </c>
      <c r="E459">
        <v>71</v>
      </c>
      <c r="F459">
        <v>95</v>
      </c>
      <c r="G459">
        <v>1.41</v>
      </c>
      <c r="H459" s="1">
        <v>46340</v>
      </c>
      <c r="I459" s="1">
        <v>45990</v>
      </c>
      <c r="J459">
        <v>100.11</v>
      </c>
      <c r="K459" t="s">
        <v>44</v>
      </c>
      <c r="L459">
        <v>221</v>
      </c>
      <c r="M459" t="s">
        <v>36</v>
      </c>
    </row>
    <row r="460" spans="1:13" x14ac:dyDescent="0.25">
      <c r="A460" t="s">
        <v>499</v>
      </c>
      <c r="B460" t="s">
        <v>19</v>
      </c>
      <c r="C460" t="s">
        <v>20</v>
      </c>
      <c r="D460" t="s">
        <v>34</v>
      </c>
      <c r="E460">
        <v>84</v>
      </c>
      <c r="F460">
        <v>61</v>
      </c>
      <c r="G460">
        <v>1.29</v>
      </c>
      <c r="H460" s="1">
        <v>46241</v>
      </c>
      <c r="I460" s="1">
        <v>46069</v>
      </c>
      <c r="J460">
        <v>108.36</v>
      </c>
      <c r="K460" t="s">
        <v>35</v>
      </c>
      <c r="L460">
        <v>122</v>
      </c>
      <c r="M460" t="s">
        <v>36</v>
      </c>
    </row>
    <row r="461" spans="1:13" x14ac:dyDescent="0.25">
      <c r="A461" t="s">
        <v>500</v>
      </c>
      <c r="B461" t="s">
        <v>25</v>
      </c>
      <c r="C461" t="s">
        <v>15</v>
      </c>
      <c r="D461" t="s">
        <v>34</v>
      </c>
      <c r="E461">
        <v>13</v>
      </c>
      <c r="F461">
        <v>76</v>
      </c>
      <c r="G461">
        <v>1.45</v>
      </c>
      <c r="H461" s="1">
        <v>46308</v>
      </c>
      <c r="I461" s="1">
        <v>45954</v>
      </c>
      <c r="J461">
        <v>18.849999999999998</v>
      </c>
      <c r="K461" t="s">
        <v>44</v>
      </c>
      <c r="L461">
        <v>189</v>
      </c>
      <c r="M461" t="s">
        <v>36</v>
      </c>
    </row>
    <row r="462" spans="1:13" x14ac:dyDescent="0.25">
      <c r="A462" t="s">
        <v>501</v>
      </c>
      <c r="B462" t="s">
        <v>17</v>
      </c>
      <c r="C462" t="s">
        <v>18</v>
      </c>
      <c r="D462" t="s">
        <v>40</v>
      </c>
      <c r="E462">
        <v>149</v>
      </c>
      <c r="F462">
        <v>87</v>
      </c>
      <c r="G462">
        <v>1.99</v>
      </c>
      <c r="H462" s="1">
        <v>46406</v>
      </c>
      <c r="I462" s="1">
        <v>46098</v>
      </c>
      <c r="J462">
        <v>296.51</v>
      </c>
      <c r="K462" t="s">
        <v>35</v>
      </c>
      <c r="L462">
        <v>287</v>
      </c>
      <c r="M462" t="s">
        <v>36</v>
      </c>
    </row>
    <row r="463" spans="1:13" x14ac:dyDescent="0.25">
      <c r="A463" t="s">
        <v>502</v>
      </c>
      <c r="B463" t="s">
        <v>16</v>
      </c>
      <c r="C463" t="s">
        <v>13</v>
      </c>
      <c r="D463" t="s">
        <v>34</v>
      </c>
      <c r="E463">
        <v>158</v>
      </c>
      <c r="F463">
        <v>75</v>
      </c>
      <c r="G463">
        <v>0.79</v>
      </c>
      <c r="H463" s="1">
        <v>46403</v>
      </c>
      <c r="I463" s="1">
        <v>46007</v>
      </c>
      <c r="J463">
        <v>124.82000000000001</v>
      </c>
      <c r="K463" t="s">
        <v>35</v>
      </c>
      <c r="L463">
        <v>284</v>
      </c>
      <c r="M463" t="s">
        <v>36</v>
      </c>
    </row>
    <row r="464" spans="1:13" x14ac:dyDescent="0.25">
      <c r="A464" t="s">
        <v>503</v>
      </c>
      <c r="B464" t="s">
        <v>14</v>
      </c>
      <c r="C464" t="s">
        <v>15</v>
      </c>
      <c r="D464" t="s">
        <v>34</v>
      </c>
      <c r="E464">
        <v>125</v>
      </c>
      <c r="F464">
        <v>70</v>
      </c>
      <c r="G464">
        <v>0.78</v>
      </c>
      <c r="H464" s="1">
        <v>46171</v>
      </c>
      <c r="I464" s="1">
        <v>46094</v>
      </c>
      <c r="J464">
        <v>97.5</v>
      </c>
      <c r="K464" t="s">
        <v>35</v>
      </c>
      <c r="L464">
        <v>52</v>
      </c>
      <c r="M464" t="s">
        <v>36</v>
      </c>
    </row>
    <row r="465" spans="1:13" x14ac:dyDescent="0.25">
      <c r="A465" t="s">
        <v>504</v>
      </c>
      <c r="B465" t="s">
        <v>21</v>
      </c>
      <c r="C465" t="s">
        <v>22</v>
      </c>
      <c r="D465" t="s">
        <v>38</v>
      </c>
      <c r="E465">
        <v>170</v>
      </c>
      <c r="F465">
        <v>60</v>
      </c>
      <c r="G465">
        <v>1.39</v>
      </c>
      <c r="H465" s="1">
        <v>46181</v>
      </c>
      <c r="I465" s="1">
        <v>46104</v>
      </c>
      <c r="J465">
        <v>236.29999999999998</v>
      </c>
      <c r="K465" t="s">
        <v>35</v>
      </c>
      <c r="L465">
        <v>62</v>
      </c>
      <c r="M465" t="s">
        <v>36</v>
      </c>
    </row>
    <row r="466" spans="1:13" x14ac:dyDescent="0.25">
      <c r="A466" t="s">
        <v>505</v>
      </c>
      <c r="B466" t="s">
        <v>27</v>
      </c>
      <c r="C466" t="s">
        <v>28</v>
      </c>
      <c r="D466" t="s">
        <v>38</v>
      </c>
      <c r="E466">
        <v>14</v>
      </c>
      <c r="F466">
        <v>38</v>
      </c>
      <c r="G466">
        <v>0.64</v>
      </c>
      <c r="H466" s="1">
        <v>46246</v>
      </c>
      <c r="I466" s="1">
        <v>46084</v>
      </c>
      <c r="J466">
        <v>8.9600000000000009</v>
      </c>
      <c r="K466" t="s">
        <v>44</v>
      </c>
      <c r="L466">
        <v>127</v>
      </c>
      <c r="M466" t="s">
        <v>36</v>
      </c>
    </row>
    <row r="467" spans="1:13" x14ac:dyDescent="0.25">
      <c r="A467" t="s">
        <v>506</v>
      </c>
      <c r="B467" t="s">
        <v>14</v>
      </c>
      <c r="C467" t="s">
        <v>15</v>
      </c>
      <c r="D467" t="s">
        <v>34</v>
      </c>
      <c r="E467">
        <v>35</v>
      </c>
      <c r="F467">
        <v>84</v>
      </c>
      <c r="G467">
        <v>0.54</v>
      </c>
      <c r="H467" s="1">
        <v>46174</v>
      </c>
      <c r="I467" s="1">
        <v>46034</v>
      </c>
      <c r="J467">
        <v>18.900000000000002</v>
      </c>
      <c r="K467" t="s">
        <v>44</v>
      </c>
      <c r="L467">
        <v>55</v>
      </c>
      <c r="M467" t="s">
        <v>36</v>
      </c>
    </row>
    <row r="468" spans="1:13" x14ac:dyDescent="0.25">
      <c r="A468" t="s">
        <v>507</v>
      </c>
      <c r="B468" t="s">
        <v>17</v>
      </c>
      <c r="C468" t="s">
        <v>18</v>
      </c>
      <c r="D468" t="s">
        <v>40</v>
      </c>
      <c r="E468">
        <v>90</v>
      </c>
      <c r="F468">
        <v>44</v>
      </c>
      <c r="G468">
        <v>1.53</v>
      </c>
      <c r="H468" s="1">
        <v>46406</v>
      </c>
      <c r="I468" s="1">
        <v>45965</v>
      </c>
      <c r="J468">
        <v>137.69999999999999</v>
      </c>
      <c r="K468" t="s">
        <v>35</v>
      </c>
      <c r="L468">
        <v>287</v>
      </c>
      <c r="M468" t="s">
        <v>36</v>
      </c>
    </row>
    <row r="469" spans="1:13" x14ac:dyDescent="0.25">
      <c r="A469" t="s">
        <v>508</v>
      </c>
      <c r="B469" t="s">
        <v>14</v>
      </c>
      <c r="C469" t="s">
        <v>15</v>
      </c>
      <c r="D469" t="s">
        <v>49</v>
      </c>
      <c r="E469">
        <v>136</v>
      </c>
      <c r="F469">
        <v>30</v>
      </c>
      <c r="G469">
        <v>0.74</v>
      </c>
      <c r="H469" s="1">
        <v>46473</v>
      </c>
      <c r="I469" s="1">
        <v>45960</v>
      </c>
      <c r="J469">
        <v>100.64</v>
      </c>
      <c r="K469" t="s">
        <v>35</v>
      </c>
      <c r="L469">
        <v>354</v>
      </c>
      <c r="M469" t="s">
        <v>36</v>
      </c>
    </row>
    <row r="470" spans="1:13" x14ac:dyDescent="0.25">
      <c r="A470" t="s">
        <v>509</v>
      </c>
      <c r="B470" t="s">
        <v>14</v>
      </c>
      <c r="C470" t="s">
        <v>15</v>
      </c>
      <c r="D470" t="s">
        <v>49</v>
      </c>
      <c r="E470">
        <v>197</v>
      </c>
      <c r="F470">
        <v>33</v>
      </c>
      <c r="G470">
        <v>1.86</v>
      </c>
      <c r="H470" s="1">
        <v>46448</v>
      </c>
      <c r="I470" s="1">
        <v>46022</v>
      </c>
      <c r="J470">
        <v>366.42</v>
      </c>
      <c r="K470" t="s">
        <v>35</v>
      </c>
      <c r="L470">
        <v>329</v>
      </c>
      <c r="M470" t="s">
        <v>36</v>
      </c>
    </row>
    <row r="471" spans="1:13" x14ac:dyDescent="0.25">
      <c r="A471" t="s">
        <v>510</v>
      </c>
      <c r="B471" t="s">
        <v>14</v>
      </c>
      <c r="C471" t="s">
        <v>15</v>
      </c>
      <c r="D471" t="s">
        <v>34</v>
      </c>
      <c r="E471">
        <v>93</v>
      </c>
      <c r="F471">
        <v>39</v>
      </c>
      <c r="G471">
        <v>0.99</v>
      </c>
      <c r="H471" s="1">
        <v>46358</v>
      </c>
      <c r="I471" s="1">
        <v>46080</v>
      </c>
      <c r="J471">
        <v>92.07</v>
      </c>
      <c r="K471" t="s">
        <v>35</v>
      </c>
      <c r="L471">
        <v>239</v>
      </c>
      <c r="M471" t="s">
        <v>36</v>
      </c>
    </row>
    <row r="472" spans="1:13" x14ac:dyDescent="0.25">
      <c r="A472" t="s">
        <v>511</v>
      </c>
      <c r="B472" t="s">
        <v>12</v>
      </c>
      <c r="C472" t="s">
        <v>13</v>
      </c>
      <c r="D472" t="s">
        <v>34</v>
      </c>
      <c r="E472">
        <v>147</v>
      </c>
      <c r="F472">
        <v>79</v>
      </c>
      <c r="G472">
        <v>1.98</v>
      </c>
      <c r="H472" s="1">
        <v>46383</v>
      </c>
      <c r="I472" s="1">
        <v>46102</v>
      </c>
      <c r="J472">
        <v>291.06</v>
      </c>
      <c r="K472" t="s">
        <v>35</v>
      </c>
      <c r="L472">
        <v>264</v>
      </c>
      <c r="M472" t="s">
        <v>36</v>
      </c>
    </row>
    <row r="473" spans="1:13" x14ac:dyDescent="0.25">
      <c r="A473" t="s">
        <v>512</v>
      </c>
      <c r="B473" t="s">
        <v>12</v>
      </c>
      <c r="C473" t="s">
        <v>13</v>
      </c>
      <c r="D473" t="s">
        <v>49</v>
      </c>
      <c r="E473">
        <v>40</v>
      </c>
      <c r="F473">
        <v>28</v>
      </c>
      <c r="G473">
        <v>1.67</v>
      </c>
      <c r="H473" s="1">
        <v>46238</v>
      </c>
      <c r="I473" s="1">
        <v>46105</v>
      </c>
      <c r="J473">
        <v>66.8</v>
      </c>
      <c r="K473" t="s">
        <v>35</v>
      </c>
      <c r="L473">
        <v>119</v>
      </c>
      <c r="M473" t="s">
        <v>36</v>
      </c>
    </row>
    <row r="474" spans="1:13" x14ac:dyDescent="0.25">
      <c r="A474" t="s">
        <v>513</v>
      </c>
      <c r="B474" t="s">
        <v>17</v>
      </c>
      <c r="C474" t="s">
        <v>18</v>
      </c>
      <c r="D474" t="s">
        <v>49</v>
      </c>
      <c r="E474">
        <v>42</v>
      </c>
      <c r="F474">
        <v>62</v>
      </c>
      <c r="G474">
        <v>0.95</v>
      </c>
      <c r="H474" s="1">
        <v>46444</v>
      </c>
      <c r="I474" s="1">
        <v>45945</v>
      </c>
      <c r="J474">
        <v>39.9</v>
      </c>
      <c r="K474" t="s">
        <v>44</v>
      </c>
      <c r="L474">
        <v>325</v>
      </c>
      <c r="M474" t="s">
        <v>36</v>
      </c>
    </row>
    <row r="475" spans="1:13" x14ac:dyDescent="0.25">
      <c r="A475" t="s">
        <v>514</v>
      </c>
      <c r="B475" t="s">
        <v>19</v>
      </c>
      <c r="C475" t="s">
        <v>20</v>
      </c>
      <c r="D475" t="s">
        <v>34</v>
      </c>
      <c r="E475">
        <v>199</v>
      </c>
      <c r="F475">
        <v>57</v>
      </c>
      <c r="G475">
        <v>0.5</v>
      </c>
      <c r="H475" s="1">
        <v>46173</v>
      </c>
      <c r="I475" s="1">
        <v>46100</v>
      </c>
      <c r="J475">
        <v>99.5</v>
      </c>
      <c r="K475" t="s">
        <v>35</v>
      </c>
      <c r="L475">
        <v>54</v>
      </c>
      <c r="M475" t="s">
        <v>36</v>
      </c>
    </row>
    <row r="476" spans="1:13" x14ac:dyDescent="0.25">
      <c r="A476" t="s">
        <v>515</v>
      </c>
      <c r="B476" t="s">
        <v>27</v>
      </c>
      <c r="C476" t="s">
        <v>28</v>
      </c>
      <c r="D476" t="s">
        <v>38</v>
      </c>
      <c r="E476">
        <v>191</v>
      </c>
      <c r="F476">
        <v>37</v>
      </c>
      <c r="G476">
        <v>1.45</v>
      </c>
      <c r="H476" s="1">
        <v>46191</v>
      </c>
      <c r="I476" s="1">
        <v>46039</v>
      </c>
      <c r="J476">
        <v>276.95</v>
      </c>
      <c r="K476" t="s">
        <v>35</v>
      </c>
      <c r="L476">
        <v>72</v>
      </c>
      <c r="M476" t="s">
        <v>36</v>
      </c>
    </row>
    <row r="477" spans="1:13" x14ac:dyDescent="0.25">
      <c r="A477" t="s">
        <v>516</v>
      </c>
      <c r="B477" t="s">
        <v>19</v>
      </c>
      <c r="C477" t="s">
        <v>20</v>
      </c>
      <c r="D477" t="s">
        <v>40</v>
      </c>
      <c r="E477">
        <v>180</v>
      </c>
      <c r="F477">
        <v>67</v>
      </c>
      <c r="G477">
        <v>1.1000000000000001</v>
      </c>
      <c r="H477" s="1">
        <v>46461</v>
      </c>
      <c r="I477" s="1">
        <v>45968</v>
      </c>
      <c r="J477">
        <v>198.00000000000003</v>
      </c>
      <c r="K477" t="s">
        <v>35</v>
      </c>
      <c r="L477">
        <v>342</v>
      </c>
      <c r="M477" t="s">
        <v>36</v>
      </c>
    </row>
    <row r="478" spans="1:13" x14ac:dyDescent="0.25">
      <c r="A478" t="s">
        <v>517</v>
      </c>
      <c r="B478" t="s">
        <v>16</v>
      </c>
      <c r="C478" t="s">
        <v>13</v>
      </c>
      <c r="D478" t="s">
        <v>40</v>
      </c>
      <c r="E478">
        <v>22</v>
      </c>
      <c r="F478">
        <v>80</v>
      </c>
      <c r="G478">
        <v>1.04</v>
      </c>
      <c r="H478" s="1">
        <v>46246</v>
      </c>
      <c r="I478" s="1">
        <v>46094</v>
      </c>
      <c r="J478">
        <v>22.880000000000003</v>
      </c>
      <c r="K478" t="s">
        <v>44</v>
      </c>
      <c r="L478">
        <v>127</v>
      </c>
      <c r="M478" t="s">
        <v>36</v>
      </c>
    </row>
    <row r="479" spans="1:13" x14ac:dyDescent="0.25">
      <c r="A479" t="s">
        <v>518</v>
      </c>
      <c r="B479" t="s">
        <v>27</v>
      </c>
      <c r="C479" t="s">
        <v>28</v>
      </c>
      <c r="D479" t="s">
        <v>34</v>
      </c>
      <c r="E479">
        <v>118</v>
      </c>
      <c r="F479">
        <v>55</v>
      </c>
      <c r="G479">
        <v>1.7</v>
      </c>
      <c r="H479" s="1">
        <v>46448</v>
      </c>
      <c r="I479" s="1">
        <v>46093</v>
      </c>
      <c r="J479">
        <v>200.6</v>
      </c>
      <c r="K479" t="s">
        <v>35</v>
      </c>
      <c r="L479">
        <v>329</v>
      </c>
      <c r="M479" t="s">
        <v>36</v>
      </c>
    </row>
    <row r="480" spans="1:13" x14ac:dyDescent="0.25">
      <c r="A480" t="s">
        <v>519</v>
      </c>
      <c r="B480" t="s">
        <v>26</v>
      </c>
      <c r="C480" t="s">
        <v>22</v>
      </c>
      <c r="D480" t="s">
        <v>38</v>
      </c>
      <c r="E480">
        <v>163</v>
      </c>
      <c r="F480">
        <v>98</v>
      </c>
      <c r="G480">
        <v>1.83</v>
      </c>
      <c r="H480" s="1">
        <v>46370</v>
      </c>
      <c r="I480" s="1">
        <v>46008</v>
      </c>
      <c r="J480">
        <v>298.29000000000002</v>
      </c>
      <c r="K480" t="s">
        <v>35</v>
      </c>
      <c r="L480">
        <v>251</v>
      </c>
      <c r="M480" t="s">
        <v>36</v>
      </c>
    </row>
    <row r="481" spans="1:13" x14ac:dyDescent="0.25">
      <c r="A481" t="s">
        <v>520</v>
      </c>
      <c r="B481" t="s">
        <v>17</v>
      </c>
      <c r="C481" t="s">
        <v>18</v>
      </c>
      <c r="D481" t="s">
        <v>49</v>
      </c>
      <c r="E481">
        <v>184</v>
      </c>
      <c r="F481">
        <v>24</v>
      </c>
      <c r="G481">
        <v>1.23</v>
      </c>
      <c r="H481" s="1">
        <v>46209</v>
      </c>
      <c r="I481" s="1">
        <v>45987</v>
      </c>
      <c r="J481">
        <v>226.32</v>
      </c>
      <c r="K481" t="s">
        <v>35</v>
      </c>
      <c r="L481">
        <v>90</v>
      </c>
      <c r="M481" t="s">
        <v>36</v>
      </c>
    </row>
    <row r="482" spans="1:13" x14ac:dyDescent="0.25">
      <c r="A482" t="s">
        <v>521</v>
      </c>
      <c r="B482" t="s">
        <v>25</v>
      </c>
      <c r="C482" t="s">
        <v>15</v>
      </c>
      <c r="D482" t="s">
        <v>38</v>
      </c>
      <c r="E482">
        <v>118</v>
      </c>
      <c r="F482">
        <v>99</v>
      </c>
      <c r="G482">
        <v>0.89</v>
      </c>
      <c r="H482" s="1">
        <v>46215</v>
      </c>
      <c r="I482" s="1">
        <v>46053</v>
      </c>
      <c r="J482">
        <v>105.02</v>
      </c>
      <c r="K482" t="s">
        <v>35</v>
      </c>
      <c r="L482">
        <v>96</v>
      </c>
      <c r="M482" t="s">
        <v>36</v>
      </c>
    </row>
    <row r="483" spans="1:13" x14ac:dyDescent="0.25">
      <c r="A483" t="s">
        <v>522</v>
      </c>
      <c r="B483" t="s">
        <v>26</v>
      </c>
      <c r="C483" t="s">
        <v>22</v>
      </c>
      <c r="D483" t="s">
        <v>34</v>
      </c>
      <c r="E483">
        <v>35</v>
      </c>
      <c r="F483">
        <v>92</v>
      </c>
      <c r="G483">
        <v>1.44</v>
      </c>
      <c r="H483" s="1">
        <v>46205</v>
      </c>
      <c r="I483" s="1">
        <v>46083</v>
      </c>
      <c r="J483">
        <v>50.4</v>
      </c>
      <c r="K483" t="s">
        <v>44</v>
      </c>
      <c r="L483">
        <v>86</v>
      </c>
      <c r="M483" t="s">
        <v>36</v>
      </c>
    </row>
    <row r="484" spans="1:13" x14ac:dyDescent="0.25">
      <c r="A484" t="s">
        <v>523</v>
      </c>
      <c r="B484" t="s">
        <v>21</v>
      </c>
      <c r="C484" t="s">
        <v>22</v>
      </c>
      <c r="D484" t="s">
        <v>38</v>
      </c>
      <c r="E484">
        <v>93</v>
      </c>
      <c r="F484">
        <v>69</v>
      </c>
      <c r="G484">
        <v>0.95</v>
      </c>
      <c r="H484" s="1">
        <v>46334</v>
      </c>
      <c r="I484" s="1">
        <v>45991</v>
      </c>
      <c r="J484">
        <v>88.35</v>
      </c>
      <c r="K484" t="s">
        <v>35</v>
      </c>
      <c r="L484">
        <v>215</v>
      </c>
      <c r="M484" t="s">
        <v>36</v>
      </c>
    </row>
    <row r="485" spans="1:13" x14ac:dyDescent="0.25">
      <c r="A485" t="s">
        <v>524</v>
      </c>
      <c r="B485" t="s">
        <v>16</v>
      </c>
      <c r="C485" t="s">
        <v>13</v>
      </c>
      <c r="D485" t="s">
        <v>40</v>
      </c>
      <c r="E485">
        <v>197</v>
      </c>
      <c r="F485">
        <v>68</v>
      </c>
      <c r="G485">
        <v>0.67</v>
      </c>
      <c r="H485" s="1">
        <v>46151</v>
      </c>
      <c r="I485" s="1">
        <v>46037</v>
      </c>
      <c r="J485">
        <v>131.99</v>
      </c>
      <c r="K485" t="s">
        <v>35</v>
      </c>
      <c r="L485">
        <v>32</v>
      </c>
      <c r="M485" t="s">
        <v>36</v>
      </c>
    </row>
    <row r="486" spans="1:13" x14ac:dyDescent="0.25">
      <c r="A486" t="s">
        <v>525</v>
      </c>
      <c r="B486" t="s">
        <v>19</v>
      </c>
      <c r="C486" t="s">
        <v>20</v>
      </c>
      <c r="D486" t="s">
        <v>38</v>
      </c>
      <c r="E486">
        <v>102</v>
      </c>
      <c r="F486">
        <v>67</v>
      </c>
      <c r="G486">
        <v>0.56000000000000005</v>
      </c>
      <c r="H486" s="1">
        <v>46308</v>
      </c>
      <c r="I486" s="1">
        <v>46006</v>
      </c>
      <c r="J486">
        <v>57.120000000000005</v>
      </c>
      <c r="K486" t="s">
        <v>35</v>
      </c>
      <c r="L486">
        <v>189</v>
      </c>
      <c r="M486" t="s">
        <v>36</v>
      </c>
    </row>
    <row r="487" spans="1:13" x14ac:dyDescent="0.25">
      <c r="A487" t="s">
        <v>526</v>
      </c>
      <c r="B487" t="s">
        <v>17</v>
      </c>
      <c r="C487" t="s">
        <v>18</v>
      </c>
      <c r="D487" t="s">
        <v>49</v>
      </c>
      <c r="E487">
        <v>148</v>
      </c>
      <c r="F487">
        <v>96</v>
      </c>
      <c r="G487">
        <v>1.35</v>
      </c>
      <c r="H487" s="1">
        <v>46279</v>
      </c>
      <c r="I487" s="1">
        <v>46100</v>
      </c>
      <c r="J487">
        <v>199.8</v>
      </c>
      <c r="K487" t="s">
        <v>35</v>
      </c>
      <c r="L487">
        <v>160</v>
      </c>
      <c r="M487" t="s">
        <v>36</v>
      </c>
    </row>
    <row r="488" spans="1:13" x14ac:dyDescent="0.25">
      <c r="A488" t="s">
        <v>527</v>
      </c>
      <c r="B488" t="s">
        <v>27</v>
      </c>
      <c r="C488" t="s">
        <v>28</v>
      </c>
      <c r="D488" t="s">
        <v>34</v>
      </c>
      <c r="E488">
        <v>142</v>
      </c>
      <c r="F488">
        <v>56</v>
      </c>
      <c r="G488">
        <v>1.35</v>
      </c>
      <c r="H488" s="1">
        <v>46327</v>
      </c>
      <c r="I488" s="1">
        <v>46043</v>
      </c>
      <c r="J488">
        <v>191.70000000000002</v>
      </c>
      <c r="K488" t="s">
        <v>35</v>
      </c>
      <c r="L488">
        <v>208</v>
      </c>
      <c r="M488" t="s">
        <v>36</v>
      </c>
    </row>
    <row r="489" spans="1:13" x14ac:dyDescent="0.25">
      <c r="A489" t="s">
        <v>528</v>
      </c>
      <c r="B489" t="s">
        <v>17</v>
      </c>
      <c r="C489" t="s">
        <v>18</v>
      </c>
      <c r="D489" t="s">
        <v>34</v>
      </c>
      <c r="E489">
        <v>59</v>
      </c>
      <c r="F489">
        <v>64</v>
      </c>
      <c r="G489">
        <v>0.62</v>
      </c>
      <c r="H489" s="1">
        <v>46444</v>
      </c>
      <c r="I489" s="1">
        <v>46116</v>
      </c>
      <c r="J489">
        <v>36.58</v>
      </c>
      <c r="K489" t="s">
        <v>44</v>
      </c>
      <c r="L489">
        <v>325</v>
      </c>
      <c r="M489" t="s">
        <v>36</v>
      </c>
    </row>
    <row r="490" spans="1:13" x14ac:dyDescent="0.25">
      <c r="A490" t="s">
        <v>529</v>
      </c>
      <c r="B490" t="s">
        <v>23</v>
      </c>
      <c r="C490" t="s">
        <v>24</v>
      </c>
      <c r="D490" t="s">
        <v>49</v>
      </c>
      <c r="E490">
        <v>157</v>
      </c>
      <c r="F490">
        <v>68</v>
      </c>
      <c r="G490">
        <v>1.18</v>
      </c>
      <c r="H490" s="1">
        <v>46471</v>
      </c>
      <c r="I490" s="1">
        <v>45976</v>
      </c>
      <c r="J490">
        <v>185.26</v>
      </c>
      <c r="K490" t="s">
        <v>35</v>
      </c>
      <c r="L490">
        <v>352</v>
      </c>
      <c r="M490" t="s">
        <v>36</v>
      </c>
    </row>
    <row r="491" spans="1:13" x14ac:dyDescent="0.25">
      <c r="A491" t="s">
        <v>530</v>
      </c>
      <c r="B491" t="s">
        <v>23</v>
      </c>
      <c r="C491" t="s">
        <v>24</v>
      </c>
      <c r="D491" t="s">
        <v>34</v>
      </c>
      <c r="E491">
        <v>147</v>
      </c>
      <c r="F491">
        <v>43</v>
      </c>
      <c r="G491">
        <v>1.56</v>
      </c>
      <c r="H491" s="1">
        <v>46220</v>
      </c>
      <c r="I491" s="1">
        <v>45992</v>
      </c>
      <c r="J491">
        <v>229.32000000000002</v>
      </c>
      <c r="K491" t="s">
        <v>35</v>
      </c>
      <c r="L491">
        <v>101</v>
      </c>
      <c r="M491" t="s">
        <v>36</v>
      </c>
    </row>
    <row r="492" spans="1:13" x14ac:dyDescent="0.25">
      <c r="A492" t="s">
        <v>531</v>
      </c>
      <c r="B492" t="s">
        <v>26</v>
      </c>
      <c r="C492" t="s">
        <v>22</v>
      </c>
      <c r="D492" t="s">
        <v>49</v>
      </c>
      <c r="E492">
        <v>90</v>
      </c>
      <c r="F492">
        <v>63</v>
      </c>
      <c r="G492">
        <v>1.06</v>
      </c>
      <c r="H492" s="1">
        <v>46251</v>
      </c>
      <c r="I492" s="1">
        <v>46110</v>
      </c>
      <c r="J492">
        <v>95.4</v>
      </c>
      <c r="K492" t="s">
        <v>35</v>
      </c>
      <c r="L492">
        <v>132</v>
      </c>
      <c r="M492" t="s">
        <v>36</v>
      </c>
    </row>
    <row r="493" spans="1:13" x14ac:dyDescent="0.25">
      <c r="A493" t="s">
        <v>532</v>
      </c>
      <c r="B493" t="s">
        <v>26</v>
      </c>
      <c r="C493" t="s">
        <v>22</v>
      </c>
      <c r="D493" t="s">
        <v>49</v>
      </c>
      <c r="E493">
        <v>153</v>
      </c>
      <c r="F493">
        <v>46</v>
      </c>
      <c r="G493">
        <v>0.79</v>
      </c>
      <c r="H493" s="1">
        <v>46240</v>
      </c>
      <c r="I493" s="1">
        <v>46102</v>
      </c>
      <c r="J493">
        <v>120.87</v>
      </c>
      <c r="K493" t="s">
        <v>35</v>
      </c>
      <c r="L493">
        <v>121</v>
      </c>
      <c r="M493" t="s">
        <v>36</v>
      </c>
    </row>
    <row r="494" spans="1:13" x14ac:dyDescent="0.25">
      <c r="A494" t="s">
        <v>533</v>
      </c>
      <c r="B494" t="s">
        <v>25</v>
      </c>
      <c r="C494" t="s">
        <v>15</v>
      </c>
      <c r="D494" t="s">
        <v>34</v>
      </c>
      <c r="E494">
        <v>101</v>
      </c>
      <c r="F494">
        <v>99</v>
      </c>
      <c r="G494">
        <v>1.07</v>
      </c>
      <c r="H494" s="1">
        <v>46266</v>
      </c>
      <c r="I494" s="1">
        <v>46042</v>
      </c>
      <c r="J494">
        <v>108.07000000000001</v>
      </c>
      <c r="K494" t="s">
        <v>35</v>
      </c>
      <c r="L494">
        <v>147</v>
      </c>
      <c r="M494" t="s">
        <v>36</v>
      </c>
    </row>
    <row r="495" spans="1:13" x14ac:dyDescent="0.25">
      <c r="A495" t="s">
        <v>534</v>
      </c>
      <c r="B495" t="s">
        <v>25</v>
      </c>
      <c r="C495" t="s">
        <v>15</v>
      </c>
      <c r="D495" t="s">
        <v>38</v>
      </c>
      <c r="E495">
        <v>163</v>
      </c>
      <c r="F495">
        <v>58</v>
      </c>
      <c r="G495">
        <v>1.06</v>
      </c>
      <c r="H495" s="1">
        <v>46380</v>
      </c>
      <c r="I495" s="1">
        <v>46036</v>
      </c>
      <c r="J495">
        <v>172.78</v>
      </c>
      <c r="K495" t="s">
        <v>35</v>
      </c>
      <c r="L495">
        <v>261</v>
      </c>
      <c r="M495" t="s">
        <v>36</v>
      </c>
    </row>
    <row r="496" spans="1:13" x14ac:dyDescent="0.25">
      <c r="A496" t="s">
        <v>535</v>
      </c>
      <c r="B496" t="s">
        <v>17</v>
      </c>
      <c r="C496" t="s">
        <v>18</v>
      </c>
      <c r="D496" t="s">
        <v>40</v>
      </c>
      <c r="E496">
        <v>48</v>
      </c>
      <c r="F496">
        <v>89</v>
      </c>
      <c r="G496">
        <v>1.62</v>
      </c>
      <c r="H496" s="1">
        <v>46313</v>
      </c>
      <c r="I496" s="1">
        <v>46063</v>
      </c>
      <c r="J496">
        <v>77.760000000000005</v>
      </c>
      <c r="K496" t="s">
        <v>44</v>
      </c>
      <c r="L496">
        <v>194</v>
      </c>
      <c r="M496" t="s">
        <v>36</v>
      </c>
    </row>
    <row r="497" spans="1:13" x14ac:dyDescent="0.25">
      <c r="A497" t="s">
        <v>536</v>
      </c>
      <c r="B497" t="s">
        <v>23</v>
      </c>
      <c r="C497" t="s">
        <v>24</v>
      </c>
      <c r="D497" t="s">
        <v>34</v>
      </c>
      <c r="E497">
        <v>177</v>
      </c>
      <c r="F497">
        <v>25</v>
      </c>
      <c r="G497">
        <v>1.01</v>
      </c>
      <c r="H497" s="1">
        <v>46259</v>
      </c>
      <c r="I497" s="1">
        <v>46045</v>
      </c>
      <c r="J497">
        <v>178.77</v>
      </c>
      <c r="K497" t="s">
        <v>35</v>
      </c>
      <c r="L497">
        <v>140</v>
      </c>
      <c r="M497" t="s">
        <v>36</v>
      </c>
    </row>
    <row r="498" spans="1:13" x14ac:dyDescent="0.25">
      <c r="A498" t="s">
        <v>537</v>
      </c>
      <c r="B498" t="s">
        <v>23</v>
      </c>
      <c r="C498" t="s">
        <v>24</v>
      </c>
      <c r="D498" t="s">
        <v>49</v>
      </c>
      <c r="E498">
        <v>81</v>
      </c>
      <c r="F498">
        <v>70</v>
      </c>
      <c r="G498">
        <v>1.35</v>
      </c>
      <c r="H498" s="1">
        <v>46394</v>
      </c>
      <c r="I498" s="1">
        <v>45969</v>
      </c>
      <c r="J498">
        <v>109.35000000000001</v>
      </c>
      <c r="K498" t="s">
        <v>35</v>
      </c>
      <c r="L498">
        <v>275</v>
      </c>
      <c r="M498" t="s">
        <v>36</v>
      </c>
    </row>
    <row r="499" spans="1:13" x14ac:dyDescent="0.25">
      <c r="A499" t="s">
        <v>538</v>
      </c>
      <c r="B499" t="s">
        <v>26</v>
      </c>
      <c r="C499" t="s">
        <v>22</v>
      </c>
      <c r="D499" t="s">
        <v>49</v>
      </c>
      <c r="E499">
        <v>120</v>
      </c>
      <c r="F499">
        <v>72</v>
      </c>
      <c r="G499">
        <v>1.89</v>
      </c>
      <c r="H499" s="1">
        <v>46251</v>
      </c>
      <c r="I499" s="1">
        <v>46097</v>
      </c>
      <c r="J499">
        <v>226.79999999999998</v>
      </c>
      <c r="K499" t="s">
        <v>35</v>
      </c>
      <c r="L499">
        <v>132</v>
      </c>
      <c r="M499" t="s">
        <v>36</v>
      </c>
    </row>
    <row r="500" spans="1:13" x14ac:dyDescent="0.25">
      <c r="A500" t="s">
        <v>539</v>
      </c>
      <c r="B500" t="s">
        <v>14</v>
      </c>
      <c r="C500" t="s">
        <v>15</v>
      </c>
      <c r="D500" t="s">
        <v>40</v>
      </c>
      <c r="E500">
        <v>48</v>
      </c>
      <c r="F500">
        <v>71</v>
      </c>
      <c r="G500">
        <v>1.92</v>
      </c>
      <c r="H500" s="1">
        <v>46323</v>
      </c>
      <c r="I500" s="1">
        <v>46014</v>
      </c>
      <c r="J500">
        <v>92.16</v>
      </c>
      <c r="K500" t="s">
        <v>44</v>
      </c>
      <c r="L500">
        <v>204</v>
      </c>
      <c r="M500" t="s">
        <v>36</v>
      </c>
    </row>
    <row r="501" spans="1:13" x14ac:dyDescent="0.25">
      <c r="A501" t="s">
        <v>540</v>
      </c>
      <c r="B501" t="s">
        <v>26</v>
      </c>
      <c r="C501" t="s">
        <v>22</v>
      </c>
      <c r="D501" t="s">
        <v>40</v>
      </c>
      <c r="E501">
        <v>163</v>
      </c>
      <c r="F501">
        <v>42</v>
      </c>
      <c r="G501">
        <v>0.98</v>
      </c>
      <c r="H501" s="1">
        <v>46175</v>
      </c>
      <c r="I501" s="1">
        <v>46009</v>
      </c>
      <c r="J501">
        <v>159.74</v>
      </c>
      <c r="K501" t="s">
        <v>35</v>
      </c>
      <c r="L501">
        <v>56</v>
      </c>
      <c r="M501" t="s">
        <v>36</v>
      </c>
    </row>
    <row r="502" spans="1:13" x14ac:dyDescent="0.25">
      <c r="A502" t="s">
        <v>541</v>
      </c>
      <c r="B502" t="s">
        <v>17</v>
      </c>
      <c r="C502" t="s">
        <v>18</v>
      </c>
      <c r="D502" t="s">
        <v>34</v>
      </c>
      <c r="E502">
        <v>121</v>
      </c>
      <c r="F502">
        <v>52</v>
      </c>
      <c r="G502">
        <v>1.81</v>
      </c>
      <c r="H502" s="1">
        <v>46272</v>
      </c>
      <c r="I502" s="1">
        <v>46032</v>
      </c>
      <c r="J502">
        <v>219.01000000000002</v>
      </c>
      <c r="K502" t="s">
        <v>35</v>
      </c>
      <c r="L502">
        <v>153</v>
      </c>
      <c r="M502" t="s">
        <v>36</v>
      </c>
    </row>
    <row r="503" spans="1:13" x14ac:dyDescent="0.25">
      <c r="A503" t="s">
        <v>542</v>
      </c>
      <c r="B503" t="s">
        <v>25</v>
      </c>
      <c r="C503" t="s">
        <v>15</v>
      </c>
      <c r="D503" t="s">
        <v>49</v>
      </c>
      <c r="E503">
        <v>48</v>
      </c>
      <c r="F503">
        <v>49</v>
      </c>
      <c r="G503">
        <v>1.64</v>
      </c>
      <c r="H503" s="1">
        <v>46429</v>
      </c>
      <c r="I503" s="1">
        <v>45981</v>
      </c>
      <c r="J503">
        <v>78.72</v>
      </c>
      <c r="K503" t="s">
        <v>44</v>
      </c>
      <c r="L503">
        <v>310</v>
      </c>
      <c r="M503" t="s">
        <v>36</v>
      </c>
    </row>
    <row r="504" spans="1:13" x14ac:dyDescent="0.25">
      <c r="A504" t="s">
        <v>543</v>
      </c>
      <c r="B504" t="s">
        <v>26</v>
      </c>
      <c r="C504" t="s">
        <v>22</v>
      </c>
      <c r="D504" t="s">
        <v>38</v>
      </c>
      <c r="E504">
        <v>97</v>
      </c>
      <c r="F504">
        <v>82</v>
      </c>
      <c r="G504">
        <v>1.98</v>
      </c>
      <c r="H504" s="1">
        <v>46308</v>
      </c>
      <c r="I504" s="1">
        <v>45979</v>
      </c>
      <c r="J504">
        <v>192.06</v>
      </c>
      <c r="K504" t="s">
        <v>35</v>
      </c>
      <c r="L504">
        <v>189</v>
      </c>
      <c r="M504" t="s">
        <v>36</v>
      </c>
    </row>
    <row r="505" spans="1:13" x14ac:dyDescent="0.25">
      <c r="A505" t="s">
        <v>544</v>
      </c>
      <c r="B505" t="s">
        <v>25</v>
      </c>
      <c r="C505" t="s">
        <v>15</v>
      </c>
      <c r="D505" t="s">
        <v>49</v>
      </c>
      <c r="E505">
        <v>151</v>
      </c>
      <c r="F505">
        <v>24</v>
      </c>
      <c r="G505">
        <v>0.68</v>
      </c>
      <c r="H505" s="1">
        <v>46244</v>
      </c>
      <c r="I505" s="1">
        <v>46085</v>
      </c>
      <c r="J505">
        <v>102.68</v>
      </c>
      <c r="K505" t="s">
        <v>35</v>
      </c>
      <c r="L505">
        <v>125</v>
      </c>
      <c r="M505" t="s">
        <v>36</v>
      </c>
    </row>
    <row r="506" spans="1:13" x14ac:dyDescent="0.25">
      <c r="A506" t="s">
        <v>545</v>
      </c>
      <c r="B506" t="s">
        <v>16</v>
      </c>
      <c r="C506" t="s">
        <v>13</v>
      </c>
      <c r="D506" t="s">
        <v>38</v>
      </c>
      <c r="E506">
        <v>95</v>
      </c>
      <c r="F506">
        <v>41</v>
      </c>
      <c r="G506">
        <v>0.66</v>
      </c>
      <c r="H506" s="1">
        <v>46357</v>
      </c>
      <c r="I506" s="1">
        <v>46010</v>
      </c>
      <c r="J506">
        <v>62.7</v>
      </c>
      <c r="K506" t="s">
        <v>35</v>
      </c>
      <c r="L506">
        <v>238</v>
      </c>
      <c r="M506" t="s">
        <v>36</v>
      </c>
    </row>
    <row r="507" spans="1:13" x14ac:dyDescent="0.25">
      <c r="A507" t="s">
        <v>546</v>
      </c>
      <c r="B507" t="s">
        <v>19</v>
      </c>
      <c r="C507" t="s">
        <v>20</v>
      </c>
      <c r="D507" t="s">
        <v>38</v>
      </c>
      <c r="E507">
        <v>35</v>
      </c>
      <c r="F507">
        <v>55</v>
      </c>
      <c r="G507">
        <v>0.94</v>
      </c>
      <c r="H507" s="1">
        <v>46214</v>
      </c>
      <c r="I507" s="1">
        <v>45972</v>
      </c>
      <c r="J507">
        <v>32.9</v>
      </c>
      <c r="K507" t="s">
        <v>44</v>
      </c>
      <c r="L507">
        <v>95</v>
      </c>
      <c r="M507" t="s">
        <v>36</v>
      </c>
    </row>
    <row r="508" spans="1:13" x14ac:dyDescent="0.25">
      <c r="A508" t="s">
        <v>547</v>
      </c>
      <c r="B508" t="s">
        <v>14</v>
      </c>
      <c r="C508" t="s">
        <v>15</v>
      </c>
      <c r="D508" t="s">
        <v>49</v>
      </c>
      <c r="E508">
        <v>121</v>
      </c>
      <c r="F508">
        <v>75</v>
      </c>
      <c r="G508">
        <v>0.73</v>
      </c>
      <c r="H508" s="1">
        <v>46361</v>
      </c>
      <c r="I508" s="1">
        <v>46065</v>
      </c>
      <c r="J508">
        <v>88.33</v>
      </c>
      <c r="K508" t="s">
        <v>35</v>
      </c>
      <c r="L508">
        <v>242</v>
      </c>
      <c r="M508" t="s">
        <v>36</v>
      </c>
    </row>
    <row r="509" spans="1:13" x14ac:dyDescent="0.25">
      <c r="A509" t="s">
        <v>548</v>
      </c>
      <c r="B509" t="s">
        <v>16</v>
      </c>
      <c r="C509" t="s">
        <v>13</v>
      </c>
      <c r="D509" t="s">
        <v>34</v>
      </c>
      <c r="E509">
        <v>5</v>
      </c>
      <c r="F509">
        <v>94</v>
      </c>
      <c r="G509">
        <v>1.85</v>
      </c>
      <c r="H509" s="1">
        <v>46452</v>
      </c>
      <c r="I509" s="1">
        <v>45941</v>
      </c>
      <c r="J509">
        <v>9.25</v>
      </c>
      <c r="K509" t="s">
        <v>44</v>
      </c>
      <c r="L509">
        <v>333</v>
      </c>
      <c r="M509" t="s">
        <v>36</v>
      </c>
    </row>
    <row r="510" spans="1:13" x14ac:dyDescent="0.25">
      <c r="A510" t="s">
        <v>549</v>
      </c>
      <c r="B510" t="s">
        <v>17</v>
      </c>
      <c r="C510" t="s">
        <v>18</v>
      </c>
      <c r="D510" t="s">
        <v>49</v>
      </c>
      <c r="E510">
        <v>71</v>
      </c>
      <c r="F510">
        <v>66</v>
      </c>
      <c r="G510">
        <v>1.65</v>
      </c>
      <c r="H510" s="1">
        <v>46401</v>
      </c>
      <c r="I510" s="1">
        <v>46048</v>
      </c>
      <c r="J510">
        <v>117.14999999999999</v>
      </c>
      <c r="K510" t="s">
        <v>35</v>
      </c>
      <c r="L510">
        <v>282</v>
      </c>
      <c r="M510" t="s">
        <v>36</v>
      </c>
    </row>
    <row r="511" spans="1:13" x14ac:dyDescent="0.25">
      <c r="A511" t="s">
        <v>550</v>
      </c>
      <c r="B511" t="s">
        <v>12</v>
      </c>
      <c r="C511" t="s">
        <v>13</v>
      </c>
      <c r="D511" t="s">
        <v>34</v>
      </c>
      <c r="E511">
        <v>115</v>
      </c>
      <c r="F511">
        <v>66</v>
      </c>
      <c r="G511">
        <v>0.71</v>
      </c>
      <c r="H511" s="1">
        <v>46336</v>
      </c>
      <c r="I511" s="1">
        <v>46035</v>
      </c>
      <c r="J511">
        <v>81.649999999999991</v>
      </c>
      <c r="K511" t="s">
        <v>35</v>
      </c>
      <c r="L511">
        <v>217</v>
      </c>
      <c r="M511" t="s">
        <v>36</v>
      </c>
    </row>
    <row r="512" spans="1:13" x14ac:dyDescent="0.25">
      <c r="A512" t="s">
        <v>551</v>
      </c>
      <c r="B512" t="s">
        <v>27</v>
      </c>
      <c r="C512" t="s">
        <v>28</v>
      </c>
      <c r="D512" t="s">
        <v>38</v>
      </c>
      <c r="E512">
        <v>137</v>
      </c>
      <c r="F512">
        <v>85</v>
      </c>
      <c r="G512">
        <v>1.0900000000000001</v>
      </c>
      <c r="H512" s="1">
        <v>46479</v>
      </c>
      <c r="I512" s="1">
        <v>46015</v>
      </c>
      <c r="J512">
        <v>149.33000000000001</v>
      </c>
      <c r="K512" t="s">
        <v>35</v>
      </c>
      <c r="L512">
        <v>360</v>
      </c>
      <c r="M512" t="s">
        <v>36</v>
      </c>
    </row>
    <row r="513" spans="1:13" x14ac:dyDescent="0.25">
      <c r="A513" t="s">
        <v>552</v>
      </c>
      <c r="B513" t="s">
        <v>19</v>
      </c>
      <c r="C513" t="s">
        <v>20</v>
      </c>
      <c r="D513" t="s">
        <v>40</v>
      </c>
      <c r="E513">
        <v>183</v>
      </c>
      <c r="F513">
        <v>57</v>
      </c>
      <c r="G513">
        <v>1.1399999999999999</v>
      </c>
      <c r="H513" s="1">
        <v>46317</v>
      </c>
      <c r="I513" s="1">
        <v>46114</v>
      </c>
      <c r="J513">
        <v>208.61999999999998</v>
      </c>
      <c r="K513" t="s">
        <v>35</v>
      </c>
      <c r="L513">
        <v>198</v>
      </c>
      <c r="M513" t="s">
        <v>36</v>
      </c>
    </row>
    <row r="514" spans="1:13" x14ac:dyDescent="0.25">
      <c r="A514" t="s">
        <v>553</v>
      </c>
      <c r="B514" t="s">
        <v>12</v>
      </c>
      <c r="C514" t="s">
        <v>13</v>
      </c>
      <c r="D514" t="s">
        <v>38</v>
      </c>
      <c r="E514">
        <v>192</v>
      </c>
      <c r="F514">
        <v>45</v>
      </c>
      <c r="G514">
        <v>1.72</v>
      </c>
      <c r="H514" s="1">
        <v>46402</v>
      </c>
      <c r="I514" s="1">
        <v>46109</v>
      </c>
      <c r="J514">
        <v>330.24</v>
      </c>
      <c r="K514" t="s">
        <v>35</v>
      </c>
      <c r="L514">
        <v>283</v>
      </c>
      <c r="M514" t="s">
        <v>36</v>
      </c>
    </row>
    <row r="515" spans="1:13" x14ac:dyDescent="0.25">
      <c r="A515" t="s">
        <v>554</v>
      </c>
      <c r="B515" t="s">
        <v>14</v>
      </c>
      <c r="C515" t="s">
        <v>15</v>
      </c>
      <c r="D515" t="s">
        <v>40</v>
      </c>
      <c r="E515">
        <v>160</v>
      </c>
      <c r="F515">
        <v>86</v>
      </c>
      <c r="G515">
        <v>0.77</v>
      </c>
      <c r="H515" s="1">
        <v>46225</v>
      </c>
      <c r="I515" s="1">
        <v>45958</v>
      </c>
      <c r="J515">
        <v>123.2</v>
      </c>
      <c r="K515" t="s">
        <v>35</v>
      </c>
      <c r="L515">
        <v>106</v>
      </c>
      <c r="M515" t="s">
        <v>36</v>
      </c>
    </row>
    <row r="516" spans="1:13" x14ac:dyDescent="0.25">
      <c r="A516" t="s">
        <v>555</v>
      </c>
      <c r="B516" t="s">
        <v>19</v>
      </c>
      <c r="C516" t="s">
        <v>20</v>
      </c>
      <c r="D516" t="s">
        <v>34</v>
      </c>
      <c r="E516">
        <v>53</v>
      </c>
      <c r="F516">
        <v>75</v>
      </c>
      <c r="G516">
        <v>1.89</v>
      </c>
      <c r="H516" s="1">
        <v>46283</v>
      </c>
      <c r="I516" s="1">
        <v>45946</v>
      </c>
      <c r="J516">
        <v>100.17</v>
      </c>
      <c r="K516" t="s">
        <v>44</v>
      </c>
      <c r="L516">
        <v>164</v>
      </c>
      <c r="M516" t="s">
        <v>36</v>
      </c>
    </row>
    <row r="517" spans="1:13" x14ac:dyDescent="0.25">
      <c r="A517" t="s">
        <v>556</v>
      </c>
      <c r="B517" t="s">
        <v>17</v>
      </c>
      <c r="C517" t="s">
        <v>18</v>
      </c>
      <c r="D517" t="s">
        <v>38</v>
      </c>
      <c r="E517">
        <v>171</v>
      </c>
      <c r="F517">
        <v>40</v>
      </c>
      <c r="G517">
        <v>1.81</v>
      </c>
      <c r="H517" s="1">
        <v>46455</v>
      </c>
      <c r="I517" s="1">
        <v>46078</v>
      </c>
      <c r="J517">
        <v>309.51</v>
      </c>
      <c r="K517" t="s">
        <v>35</v>
      </c>
      <c r="L517">
        <v>336</v>
      </c>
      <c r="M517" t="s">
        <v>36</v>
      </c>
    </row>
    <row r="518" spans="1:13" x14ac:dyDescent="0.25">
      <c r="A518" t="s">
        <v>557</v>
      </c>
      <c r="B518" t="s">
        <v>17</v>
      </c>
      <c r="C518" t="s">
        <v>18</v>
      </c>
      <c r="D518" t="s">
        <v>49</v>
      </c>
      <c r="E518">
        <v>143</v>
      </c>
      <c r="F518">
        <v>78</v>
      </c>
      <c r="G518">
        <v>1.32</v>
      </c>
      <c r="H518" s="1">
        <v>46483</v>
      </c>
      <c r="I518" s="1">
        <v>45994</v>
      </c>
      <c r="J518">
        <v>188.76000000000002</v>
      </c>
      <c r="K518" t="s">
        <v>35</v>
      </c>
      <c r="L518">
        <v>364</v>
      </c>
      <c r="M518" t="s">
        <v>36</v>
      </c>
    </row>
    <row r="519" spans="1:13" x14ac:dyDescent="0.25">
      <c r="A519" t="s">
        <v>558</v>
      </c>
      <c r="B519" t="s">
        <v>12</v>
      </c>
      <c r="C519" t="s">
        <v>13</v>
      </c>
      <c r="D519" t="s">
        <v>38</v>
      </c>
      <c r="E519">
        <v>169</v>
      </c>
      <c r="F519">
        <v>42</v>
      </c>
      <c r="G519">
        <v>1.19</v>
      </c>
      <c r="H519" s="1">
        <v>46461</v>
      </c>
      <c r="I519" s="1">
        <v>45944</v>
      </c>
      <c r="J519">
        <v>201.10999999999999</v>
      </c>
      <c r="K519" t="s">
        <v>35</v>
      </c>
      <c r="L519">
        <v>342</v>
      </c>
      <c r="M519" t="s">
        <v>36</v>
      </c>
    </row>
    <row r="520" spans="1:13" x14ac:dyDescent="0.25">
      <c r="A520" t="s">
        <v>559</v>
      </c>
      <c r="B520" t="s">
        <v>12</v>
      </c>
      <c r="C520" t="s">
        <v>13</v>
      </c>
      <c r="D520" t="s">
        <v>40</v>
      </c>
      <c r="E520">
        <v>48</v>
      </c>
      <c r="F520">
        <v>45</v>
      </c>
      <c r="G520">
        <v>1.4</v>
      </c>
      <c r="H520" s="1">
        <v>46237</v>
      </c>
      <c r="I520" s="1">
        <v>46102</v>
      </c>
      <c r="J520">
        <v>67.199999999999989</v>
      </c>
      <c r="K520" t="s">
        <v>35</v>
      </c>
      <c r="L520">
        <v>118</v>
      </c>
      <c r="M520" t="s">
        <v>36</v>
      </c>
    </row>
    <row r="521" spans="1:13" x14ac:dyDescent="0.25">
      <c r="A521" t="s">
        <v>560</v>
      </c>
      <c r="B521" t="s">
        <v>21</v>
      </c>
      <c r="C521" t="s">
        <v>22</v>
      </c>
      <c r="D521" t="s">
        <v>34</v>
      </c>
      <c r="E521">
        <v>140</v>
      </c>
      <c r="F521">
        <v>45</v>
      </c>
      <c r="G521">
        <v>1.5</v>
      </c>
      <c r="H521" s="1">
        <v>46252</v>
      </c>
      <c r="I521" s="1">
        <v>45992</v>
      </c>
      <c r="J521">
        <v>210</v>
      </c>
      <c r="K521" t="s">
        <v>35</v>
      </c>
      <c r="L521">
        <v>133</v>
      </c>
      <c r="M521" t="s">
        <v>36</v>
      </c>
    </row>
    <row r="522" spans="1:13" x14ac:dyDescent="0.25">
      <c r="A522" t="s">
        <v>561</v>
      </c>
      <c r="B522" t="s">
        <v>25</v>
      </c>
      <c r="C522" t="s">
        <v>15</v>
      </c>
      <c r="D522" t="s">
        <v>38</v>
      </c>
      <c r="E522">
        <v>127</v>
      </c>
      <c r="F522">
        <v>44</v>
      </c>
      <c r="G522">
        <v>1.75</v>
      </c>
      <c r="H522" s="1">
        <v>46450</v>
      </c>
      <c r="I522" s="1">
        <v>46044</v>
      </c>
      <c r="J522">
        <v>222.25</v>
      </c>
      <c r="K522" t="s">
        <v>35</v>
      </c>
      <c r="L522">
        <v>331</v>
      </c>
      <c r="M522" t="s">
        <v>36</v>
      </c>
    </row>
    <row r="523" spans="1:13" x14ac:dyDescent="0.25">
      <c r="A523" t="s">
        <v>562</v>
      </c>
      <c r="B523" t="s">
        <v>16</v>
      </c>
      <c r="C523" t="s">
        <v>13</v>
      </c>
      <c r="D523" t="s">
        <v>49</v>
      </c>
      <c r="E523">
        <v>100</v>
      </c>
      <c r="F523">
        <v>39</v>
      </c>
      <c r="G523">
        <v>1.19</v>
      </c>
      <c r="H523" s="1">
        <v>46202</v>
      </c>
      <c r="I523" s="1">
        <v>46106</v>
      </c>
      <c r="J523">
        <v>119</v>
      </c>
      <c r="K523" t="s">
        <v>35</v>
      </c>
      <c r="L523">
        <v>83</v>
      </c>
      <c r="M523" t="s">
        <v>36</v>
      </c>
    </row>
    <row r="524" spans="1:13" x14ac:dyDescent="0.25">
      <c r="A524" t="s">
        <v>563</v>
      </c>
      <c r="B524" t="s">
        <v>14</v>
      </c>
      <c r="C524" t="s">
        <v>15</v>
      </c>
      <c r="D524" t="s">
        <v>49</v>
      </c>
      <c r="E524">
        <v>182</v>
      </c>
      <c r="F524">
        <v>67</v>
      </c>
      <c r="G524">
        <v>1.73</v>
      </c>
      <c r="H524" s="1">
        <v>46389</v>
      </c>
      <c r="I524" s="1">
        <v>45993</v>
      </c>
      <c r="J524">
        <v>314.86</v>
      </c>
      <c r="K524" t="s">
        <v>35</v>
      </c>
      <c r="L524">
        <v>270</v>
      </c>
      <c r="M524" t="s">
        <v>36</v>
      </c>
    </row>
    <row r="525" spans="1:13" x14ac:dyDescent="0.25">
      <c r="A525" t="s">
        <v>564</v>
      </c>
      <c r="B525" t="s">
        <v>21</v>
      </c>
      <c r="C525" t="s">
        <v>22</v>
      </c>
      <c r="D525" t="s">
        <v>34</v>
      </c>
      <c r="E525">
        <v>128</v>
      </c>
      <c r="F525">
        <v>91</v>
      </c>
      <c r="G525">
        <v>0.59</v>
      </c>
      <c r="H525" s="1">
        <v>46212</v>
      </c>
      <c r="I525" s="1">
        <v>46050</v>
      </c>
      <c r="J525">
        <v>75.52</v>
      </c>
      <c r="K525" t="s">
        <v>35</v>
      </c>
      <c r="L525">
        <v>93</v>
      </c>
      <c r="M525" t="s">
        <v>36</v>
      </c>
    </row>
    <row r="526" spans="1:13" x14ac:dyDescent="0.25">
      <c r="A526" t="s">
        <v>565</v>
      </c>
      <c r="B526" t="s">
        <v>17</v>
      </c>
      <c r="C526" t="s">
        <v>18</v>
      </c>
      <c r="D526" t="s">
        <v>38</v>
      </c>
      <c r="E526">
        <v>175</v>
      </c>
      <c r="F526">
        <v>48</v>
      </c>
      <c r="G526">
        <v>0.91</v>
      </c>
      <c r="H526" s="1">
        <v>46202</v>
      </c>
      <c r="I526" s="1">
        <v>46074</v>
      </c>
      <c r="J526">
        <v>159.25</v>
      </c>
      <c r="K526" t="s">
        <v>35</v>
      </c>
      <c r="L526">
        <v>83</v>
      </c>
      <c r="M526" t="s">
        <v>36</v>
      </c>
    </row>
    <row r="527" spans="1:13" x14ac:dyDescent="0.25">
      <c r="A527" t="s">
        <v>566</v>
      </c>
      <c r="B527" t="s">
        <v>27</v>
      </c>
      <c r="C527" t="s">
        <v>28</v>
      </c>
      <c r="D527" t="s">
        <v>34</v>
      </c>
      <c r="E527">
        <v>174</v>
      </c>
      <c r="F527">
        <v>86</v>
      </c>
      <c r="G527">
        <v>1.73</v>
      </c>
      <c r="H527" s="1">
        <v>46254</v>
      </c>
      <c r="I527" s="1">
        <v>46047</v>
      </c>
      <c r="J527">
        <v>301.02</v>
      </c>
      <c r="K527" t="s">
        <v>35</v>
      </c>
      <c r="L527">
        <v>135</v>
      </c>
      <c r="M527" t="s">
        <v>36</v>
      </c>
    </row>
    <row r="528" spans="1:13" x14ac:dyDescent="0.25">
      <c r="A528" t="s">
        <v>567</v>
      </c>
      <c r="B528" t="s">
        <v>27</v>
      </c>
      <c r="C528" t="s">
        <v>28</v>
      </c>
      <c r="D528" t="s">
        <v>40</v>
      </c>
      <c r="E528">
        <v>54</v>
      </c>
      <c r="F528">
        <v>56</v>
      </c>
      <c r="G528">
        <v>0.61</v>
      </c>
      <c r="H528" s="1">
        <v>46271</v>
      </c>
      <c r="I528" s="1">
        <v>46046</v>
      </c>
      <c r="J528">
        <v>32.94</v>
      </c>
      <c r="K528" t="s">
        <v>44</v>
      </c>
      <c r="L528">
        <v>152</v>
      </c>
      <c r="M528" t="s">
        <v>36</v>
      </c>
    </row>
    <row r="529" spans="1:13" x14ac:dyDescent="0.25">
      <c r="A529" t="s">
        <v>568</v>
      </c>
      <c r="B529" t="s">
        <v>16</v>
      </c>
      <c r="C529" t="s">
        <v>13</v>
      </c>
      <c r="D529" t="s">
        <v>34</v>
      </c>
      <c r="E529">
        <v>56</v>
      </c>
      <c r="F529">
        <v>56</v>
      </c>
      <c r="G529">
        <v>1.1399999999999999</v>
      </c>
      <c r="H529" s="1">
        <v>46400</v>
      </c>
      <c r="I529" s="1">
        <v>45991</v>
      </c>
      <c r="J529">
        <v>63.839999999999996</v>
      </c>
      <c r="K529" t="s">
        <v>35</v>
      </c>
      <c r="L529">
        <v>281</v>
      </c>
      <c r="M529" t="s">
        <v>36</v>
      </c>
    </row>
    <row r="530" spans="1:13" x14ac:dyDescent="0.25">
      <c r="A530" t="s">
        <v>569</v>
      </c>
      <c r="B530" t="s">
        <v>25</v>
      </c>
      <c r="C530" t="s">
        <v>15</v>
      </c>
      <c r="D530" t="s">
        <v>49</v>
      </c>
      <c r="E530">
        <v>154</v>
      </c>
      <c r="F530">
        <v>88</v>
      </c>
      <c r="G530">
        <v>0.61</v>
      </c>
      <c r="H530" s="1">
        <v>46339</v>
      </c>
      <c r="I530" s="1">
        <v>46074</v>
      </c>
      <c r="J530">
        <v>93.94</v>
      </c>
      <c r="K530" t="s">
        <v>35</v>
      </c>
      <c r="L530">
        <v>220</v>
      </c>
      <c r="M530" t="s">
        <v>36</v>
      </c>
    </row>
    <row r="531" spans="1:13" x14ac:dyDescent="0.25">
      <c r="A531" t="s">
        <v>570</v>
      </c>
      <c r="B531" t="s">
        <v>19</v>
      </c>
      <c r="C531" t="s">
        <v>20</v>
      </c>
      <c r="D531" t="s">
        <v>34</v>
      </c>
      <c r="E531">
        <v>75</v>
      </c>
      <c r="F531">
        <v>62</v>
      </c>
      <c r="G531">
        <v>0.87</v>
      </c>
      <c r="H531" s="1">
        <v>46235</v>
      </c>
      <c r="I531" s="1">
        <v>46091</v>
      </c>
      <c r="J531">
        <v>65.25</v>
      </c>
      <c r="K531" t="s">
        <v>35</v>
      </c>
      <c r="L531">
        <v>116</v>
      </c>
      <c r="M531" t="s">
        <v>36</v>
      </c>
    </row>
    <row r="532" spans="1:13" x14ac:dyDescent="0.25">
      <c r="A532" t="s">
        <v>571</v>
      </c>
      <c r="B532" t="s">
        <v>19</v>
      </c>
      <c r="C532" t="s">
        <v>20</v>
      </c>
      <c r="D532" t="s">
        <v>34</v>
      </c>
      <c r="E532">
        <v>141</v>
      </c>
      <c r="F532">
        <v>59</v>
      </c>
      <c r="G532">
        <v>0.66</v>
      </c>
      <c r="H532" s="1">
        <v>46436</v>
      </c>
      <c r="I532" s="1">
        <v>45963</v>
      </c>
      <c r="J532">
        <v>93.06</v>
      </c>
      <c r="K532" t="s">
        <v>35</v>
      </c>
      <c r="L532">
        <v>317</v>
      </c>
      <c r="M532" t="s">
        <v>36</v>
      </c>
    </row>
    <row r="533" spans="1:13" x14ac:dyDescent="0.25">
      <c r="A533" t="s">
        <v>572</v>
      </c>
      <c r="B533" t="s">
        <v>26</v>
      </c>
      <c r="C533" t="s">
        <v>22</v>
      </c>
      <c r="D533" t="s">
        <v>34</v>
      </c>
      <c r="E533">
        <v>145</v>
      </c>
      <c r="F533">
        <v>61</v>
      </c>
      <c r="G533">
        <v>1.91</v>
      </c>
      <c r="H533" s="1">
        <v>46153</v>
      </c>
      <c r="I533" s="1">
        <v>46086</v>
      </c>
      <c r="J533">
        <v>276.95</v>
      </c>
      <c r="K533" t="s">
        <v>35</v>
      </c>
      <c r="L533">
        <v>34</v>
      </c>
      <c r="M533" t="s">
        <v>36</v>
      </c>
    </row>
    <row r="534" spans="1:13" x14ac:dyDescent="0.25">
      <c r="A534" t="s">
        <v>573</v>
      </c>
      <c r="B534" t="s">
        <v>16</v>
      </c>
      <c r="C534" t="s">
        <v>13</v>
      </c>
      <c r="D534" t="s">
        <v>38</v>
      </c>
      <c r="E534">
        <v>44</v>
      </c>
      <c r="F534">
        <v>92</v>
      </c>
      <c r="G534">
        <v>1.22</v>
      </c>
      <c r="H534" s="1">
        <v>46176</v>
      </c>
      <c r="I534" s="1">
        <v>46023</v>
      </c>
      <c r="J534">
        <v>53.68</v>
      </c>
      <c r="K534" t="s">
        <v>44</v>
      </c>
      <c r="L534">
        <v>57</v>
      </c>
      <c r="M534" t="s">
        <v>36</v>
      </c>
    </row>
    <row r="535" spans="1:13" x14ac:dyDescent="0.25">
      <c r="A535" t="s">
        <v>574</v>
      </c>
      <c r="B535" t="s">
        <v>21</v>
      </c>
      <c r="C535" t="s">
        <v>22</v>
      </c>
      <c r="D535" t="s">
        <v>34</v>
      </c>
      <c r="E535">
        <v>150</v>
      </c>
      <c r="F535">
        <v>45</v>
      </c>
      <c r="G535">
        <v>1.19</v>
      </c>
      <c r="H535" s="1">
        <v>46229</v>
      </c>
      <c r="I535" s="1">
        <v>46001</v>
      </c>
      <c r="J535">
        <v>178.5</v>
      </c>
      <c r="K535" t="s">
        <v>35</v>
      </c>
      <c r="L535">
        <v>110</v>
      </c>
      <c r="M535" t="s">
        <v>36</v>
      </c>
    </row>
    <row r="536" spans="1:13" x14ac:dyDescent="0.25">
      <c r="A536" t="s">
        <v>575</v>
      </c>
      <c r="B536" t="s">
        <v>12</v>
      </c>
      <c r="C536" t="s">
        <v>13</v>
      </c>
      <c r="D536" t="s">
        <v>40</v>
      </c>
      <c r="E536">
        <v>74</v>
      </c>
      <c r="F536">
        <v>27</v>
      </c>
      <c r="G536">
        <v>1.28</v>
      </c>
      <c r="H536" s="1">
        <v>46297</v>
      </c>
      <c r="I536" s="1">
        <v>46016</v>
      </c>
      <c r="J536">
        <v>94.72</v>
      </c>
      <c r="K536" t="s">
        <v>35</v>
      </c>
      <c r="L536">
        <v>178</v>
      </c>
      <c r="M536" t="s">
        <v>36</v>
      </c>
    </row>
    <row r="537" spans="1:13" x14ac:dyDescent="0.25">
      <c r="A537" t="s">
        <v>576</v>
      </c>
      <c r="B537" t="s">
        <v>19</v>
      </c>
      <c r="C537" t="s">
        <v>20</v>
      </c>
      <c r="D537" t="s">
        <v>49</v>
      </c>
      <c r="E537">
        <v>1</v>
      </c>
      <c r="F537">
        <v>57</v>
      </c>
      <c r="G537">
        <v>1.68</v>
      </c>
      <c r="H537" s="1">
        <v>46416</v>
      </c>
      <c r="I537" s="1">
        <v>45945</v>
      </c>
      <c r="J537">
        <v>1.68</v>
      </c>
      <c r="K537" t="s">
        <v>44</v>
      </c>
      <c r="L537">
        <v>297</v>
      </c>
      <c r="M537" t="s">
        <v>36</v>
      </c>
    </row>
    <row r="538" spans="1:13" x14ac:dyDescent="0.25">
      <c r="A538" t="s">
        <v>577</v>
      </c>
      <c r="B538" t="s">
        <v>25</v>
      </c>
      <c r="C538" t="s">
        <v>15</v>
      </c>
      <c r="D538" t="s">
        <v>38</v>
      </c>
      <c r="E538">
        <v>61</v>
      </c>
      <c r="F538">
        <v>28</v>
      </c>
      <c r="G538">
        <v>0.56000000000000005</v>
      </c>
      <c r="H538" s="1">
        <v>46370</v>
      </c>
      <c r="I538" s="1">
        <v>46090</v>
      </c>
      <c r="J538">
        <v>34.160000000000004</v>
      </c>
      <c r="K538" t="s">
        <v>35</v>
      </c>
      <c r="L538">
        <v>251</v>
      </c>
      <c r="M538" t="s">
        <v>36</v>
      </c>
    </row>
    <row r="539" spans="1:13" x14ac:dyDescent="0.25">
      <c r="A539" t="s">
        <v>578</v>
      </c>
      <c r="B539" t="s">
        <v>16</v>
      </c>
      <c r="C539" t="s">
        <v>13</v>
      </c>
      <c r="D539" t="s">
        <v>38</v>
      </c>
      <c r="E539">
        <v>195</v>
      </c>
      <c r="F539">
        <v>59</v>
      </c>
      <c r="G539">
        <v>1.02</v>
      </c>
      <c r="H539" s="1">
        <v>46328</v>
      </c>
      <c r="I539" s="1">
        <v>46083</v>
      </c>
      <c r="J539">
        <v>198.9</v>
      </c>
      <c r="K539" t="s">
        <v>35</v>
      </c>
      <c r="L539">
        <v>209</v>
      </c>
      <c r="M539" t="s">
        <v>36</v>
      </c>
    </row>
    <row r="540" spans="1:13" x14ac:dyDescent="0.25">
      <c r="A540" t="s">
        <v>579</v>
      </c>
      <c r="B540" t="s">
        <v>27</v>
      </c>
      <c r="C540" t="s">
        <v>28</v>
      </c>
      <c r="D540" t="s">
        <v>38</v>
      </c>
      <c r="E540">
        <v>19</v>
      </c>
      <c r="F540">
        <v>85</v>
      </c>
      <c r="G540">
        <v>0.87</v>
      </c>
      <c r="H540" s="1">
        <v>46231</v>
      </c>
      <c r="I540" s="1">
        <v>45959</v>
      </c>
      <c r="J540">
        <v>16.53</v>
      </c>
      <c r="K540" t="s">
        <v>44</v>
      </c>
      <c r="L540">
        <v>112</v>
      </c>
      <c r="M540" t="s">
        <v>36</v>
      </c>
    </row>
    <row r="541" spans="1:13" x14ac:dyDescent="0.25">
      <c r="A541" t="s">
        <v>580</v>
      </c>
      <c r="B541" t="s">
        <v>26</v>
      </c>
      <c r="C541" t="s">
        <v>22</v>
      </c>
      <c r="D541" t="s">
        <v>38</v>
      </c>
      <c r="E541">
        <v>158</v>
      </c>
      <c r="F541">
        <v>73</v>
      </c>
      <c r="G541">
        <v>1.54</v>
      </c>
      <c r="H541" s="1">
        <v>46282</v>
      </c>
      <c r="I541" s="1">
        <v>46099</v>
      </c>
      <c r="J541">
        <v>243.32</v>
      </c>
      <c r="K541" t="s">
        <v>35</v>
      </c>
      <c r="L541">
        <v>163</v>
      </c>
      <c r="M541" t="s">
        <v>36</v>
      </c>
    </row>
    <row r="542" spans="1:13" x14ac:dyDescent="0.25">
      <c r="A542" t="s">
        <v>581</v>
      </c>
      <c r="B542" t="s">
        <v>14</v>
      </c>
      <c r="C542" t="s">
        <v>15</v>
      </c>
      <c r="D542" t="s">
        <v>40</v>
      </c>
      <c r="E542">
        <v>165</v>
      </c>
      <c r="F542">
        <v>63</v>
      </c>
      <c r="G542">
        <v>1.42</v>
      </c>
      <c r="H542" s="1">
        <v>46236</v>
      </c>
      <c r="I542" s="1">
        <v>45997</v>
      </c>
      <c r="J542">
        <v>234.29999999999998</v>
      </c>
      <c r="K542" t="s">
        <v>35</v>
      </c>
      <c r="L542">
        <v>117</v>
      </c>
      <c r="M542" t="s">
        <v>36</v>
      </c>
    </row>
    <row r="543" spans="1:13" x14ac:dyDescent="0.25">
      <c r="A543" t="s">
        <v>582</v>
      </c>
      <c r="B543" t="s">
        <v>19</v>
      </c>
      <c r="C543" t="s">
        <v>20</v>
      </c>
      <c r="D543" t="s">
        <v>49</v>
      </c>
      <c r="E543">
        <v>28</v>
      </c>
      <c r="F543">
        <v>75</v>
      </c>
      <c r="G543">
        <v>1.02</v>
      </c>
      <c r="H543" s="1">
        <v>46259</v>
      </c>
      <c r="I543" s="1">
        <v>46008</v>
      </c>
      <c r="J543">
        <v>28.560000000000002</v>
      </c>
      <c r="K543" t="s">
        <v>44</v>
      </c>
      <c r="L543">
        <v>140</v>
      </c>
      <c r="M543" t="s">
        <v>36</v>
      </c>
    </row>
    <row r="544" spans="1:13" x14ac:dyDescent="0.25">
      <c r="A544" t="s">
        <v>583</v>
      </c>
      <c r="B544" t="s">
        <v>25</v>
      </c>
      <c r="C544" t="s">
        <v>15</v>
      </c>
      <c r="D544" t="s">
        <v>38</v>
      </c>
      <c r="E544">
        <v>93</v>
      </c>
      <c r="F544">
        <v>62</v>
      </c>
      <c r="G544">
        <v>0.96</v>
      </c>
      <c r="H544" s="1">
        <v>46362</v>
      </c>
      <c r="I544" s="1">
        <v>45946</v>
      </c>
      <c r="J544">
        <v>89.28</v>
      </c>
      <c r="K544" t="s">
        <v>35</v>
      </c>
      <c r="L544">
        <v>243</v>
      </c>
      <c r="M544" t="s">
        <v>36</v>
      </c>
    </row>
    <row r="545" spans="1:13" x14ac:dyDescent="0.25">
      <c r="A545" t="s">
        <v>584</v>
      </c>
      <c r="B545" t="s">
        <v>21</v>
      </c>
      <c r="C545" t="s">
        <v>22</v>
      </c>
      <c r="D545" t="s">
        <v>49</v>
      </c>
      <c r="E545">
        <v>118</v>
      </c>
      <c r="F545">
        <v>41</v>
      </c>
      <c r="G545">
        <v>1.48</v>
      </c>
      <c r="H545" s="1">
        <v>46190</v>
      </c>
      <c r="I545" s="1">
        <v>45970</v>
      </c>
      <c r="J545">
        <v>174.64</v>
      </c>
      <c r="K545" t="s">
        <v>35</v>
      </c>
      <c r="L545">
        <v>71</v>
      </c>
      <c r="M545" t="s">
        <v>36</v>
      </c>
    </row>
    <row r="546" spans="1:13" x14ac:dyDescent="0.25">
      <c r="A546" t="s">
        <v>585</v>
      </c>
      <c r="B546" t="s">
        <v>16</v>
      </c>
      <c r="C546" t="s">
        <v>13</v>
      </c>
      <c r="D546" t="s">
        <v>34</v>
      </c>
      <c r="E546">
        <v>30</v>
      </c>
      <c r="F546">
        <v>55</v>
      </c>
      <c r="G546">
        <v>0.82</v>
      </c>
      <c r="H546" s="1">
        <v>46362</v>
      </c>
      <c r="I546" s="1">
        <v>46090</v>
      </c>
      <c r="J546">
        <v>24.599999999999998</v>
      </c>
      <c r="K546" t="s">
        <v>44</v>
      </c>
      <c r="L546">
        <v>243</v>
      </c>
      <c r="M546" t="s">
        <v>36</v>
      </c>
    </row>
    <row r="547" spans="1:13" x14ac:dyDescent="0.25">
      <c r="A547" t="s">
        <v>586</v>
      </c>
      <c r="B547" t="s">
        <v>27</v>
      </c>
      <c r="C547" t="s">
        <v>28</v>
      </c>
      <c r="D547" t="s">
        <v>38</v>
      </c>
      <c r="E547">
        <v>2</v>
      </c>
      <c r="F547">
        <v>34</v>
      </c>
      <c r="G547">
        <v>0.91</v>
      </c>
      <c r="H547" s="1">
        <v>46365</v>
      </c>
      <c r="I547" s="1">
        <v>46001</v>
      </c>
      <c r="J547">
        <v>1.82</v>
      </c>
      <c r="K547" t="s">
        <v>44</v>
      </c>
      <c r="L547">
        <v>246</v>
      </c>
      <c r="M547" t="s">
        <v>36</v>
      </c>
    </row>
    <row r="548" spans="1:13" x14ac:dyDescent="0.25">
      <c r="A548" t="s">
        <v>587</v>
      </c>
      <c r="B548" t="s">
        <v>16</v>
      </c>
      <c r="C548" t="s">
        <v>13</v>
      </c>
      <c r="D548" t="s">
        <v>38</v>
      </c>
      <c r="E548">
        <v>167</v>
      </c>
      <c r="F548">
        <v>64</v>
      </c>
      <c r="G548">
        <v>0.53</v>
      </c>
      <c r="H548" s="1">
        <v>46230</v>
      </c>
      <c r="I548" s="1">
        <v>46092</v>
      </c>
      <c r="J548">
        <v>88.51</v>
      </c>
      <c r="K548" t="s">
        <v>35</v>
      </c>
      <c r="L548">
        <v>111</v>
      </c>
      <c r="M548" t="s">
        <v>36</v>
      </c>
    </row>
    <row r="549" spans="1:13" x14ac:dyDescent="0.25">
      <c r="A549" t="s">
        <v>588</v>
      </c>
      <c r="B549" t="s">
        <v>21</v>
      </c>
      <c r="C549" t="s">
        <v>22</v>
      </c>
      <c r="D549" t="s">
        <v>49</v>
      </c>
      <c r="E549">
        <v>109</v>
      </c>
      <c r="F549">
        <v>52</v>
      </c>
      <c r="G549">
        <v>1.91</v>
      </c>
      <c r="H549" s="1">
        <v>46348</v>
      </c>
      <c r="I549" s="1">
        <v>46061</v>
      </c>
      <c r="J549">
        <v>208.19</v>
      </c>
      <c r="K549" t="s">
        <v>35</v>
      </c>
      <c r="L549">
        <v>229</v>
      </c>
      <c r="M549" t="s">
        <v>36</v>
      </c>
    </row>
    <row r="550" spans="1:13" x14ac:dyDescent="0.25">
      <c r="A550" t="s">
        <v>589</v>
      </c>
      <c r="B550" t="s">
        <v>27</v>
      </c>
      <c r="C550" t="s">
        <v>28</v>
      </c>
      <c r="D550" t="s">
        <v>38</v>
      </c>
      <c r="E550">
        <v>148</v>
      </c>
      <c r="F550">
        <v>96</v>
      </c>
      <c r="G550">
        <v>0.88</v>
      </c>
      <c r="H550" s="1">
        <v>46208</v>
      </c>
      <c r="I550" s="1">
        <v>45988</v>
      </c>
      <c r="J550">
        <v>130.24</v>
      </c>
      <c r="K550" t="s">
        <v>35</v>
      </c>
      <c r="L550">
        <v>89</v>
      </c>
      <c r="M550" t="s">
        <v>36</v>
      </c>
    </row>
    <row r="551" spans="1:13" x14ac:dyDescent="0.25">
      <c r="A551" t="s">
        <v>590</v>
      </c>
      <c r="B551" t="s">
        <v>27</v>
      </c>
      <c r="C551" t="s">
        <v>28</v>
      </c>
      <c r="D551" t="s">
        <v>40</v>
      </c>
      <c r="E551">
        <v>83</v>
      </c>
      <c r="F551">
        <v>100</v>
      </c>
      <c r="G551">
        <v>0.84</v>
      </c>
      <c r="H551" s="1">
        <v>46358</v>
      </c>
      <c r="I551" s="1">
        <v>46117</v>
      </c>
      <c r="J551">
        <v>69.72</v>
      </c>
      <c r="K551" t="s">
        <v>44</v>
      </c>
      <c r="L551">
        <v>239</v>
      </c>
      <c r="M551" t="s">
        <v>36</v>
      </c>
    </row>
    <row r="552" spans="1:13" x14ac:dyDescent="0.25">
      <c r="A552" t="s">
        <v>591</v>
      </c>
      <c r="B552" t="s">
        <v>19</v>
      </c>
      <c r="C552" t="s">
        <v>20</v>
      </c>
      <c r="D552" t="s">
        <v>49</v>
      </c>
      <c r="E552">
        <v>43</v>
      </c>
      <c r="F552">
        <v>49</v>
      </c>
      <c r="G552">
        <v>1.94</v>
      </c>
      <c r="H552" s="1">
        <v>46157</v>
      </c>
      <c r="I552" s="1">
        <v>46011</v>
      </c>
      <c r="J552">
        <v>83.42</v>
      </c>
      <c r="K552" t="s">
        <v>44</v>
      </c>
      <c r="L552">
        <v>38</v>
      </c>
      <c r="M552" t="s">
        <v>36</v>
      </c>
    </row>
    <row r="553" spans="1:13" x14ac:dyDescent="0.25">
      <c r="A553" t="s">
        <v>592</v>
      </c>
      <c r="B553" t="s">
        <v>16</v>
      </c>
      <c r="C553" t="s">
        <v>13</v>
      </c>
      <c r="D553" t="s">
        <v>49</v>
      </c>
      <c r="E553">
        <v>184</v>
      </c>
      <c r="F553">
        <v>79</v>
      </c>
      <c r="G553">
        <v>0.52</v>
      </c>
      <c r="H553" s="1">
        <v>46331</v>
      </c>
      <c r="I553" s="1">
        <v>46028</v>
      </c>
      <c r="J553">
        <v>95.68</v>
      </c>
      <c r="K553" t="s">
        <v>35</v>
      </c>
      <c r="L553">
        <v>212</v>
      </c>
      <c r="M553" t="s">
        <v>36</v>
      </c>
    </row>
    <row r="554" spans="1:13" x14ac:dyDescent="0.25">
      <c r="A554" t="s">
        <v>593</v>
      </c>
      <c r="B554" t="s">
        <v>21</v>
      </c>
      <c r="C554" t="s">
        <v>22</v>
      </c>
      <c r="D554" t="s">
        <v>49</v>
      </c>
      <c r="E554">
        <v>130</v>
      </c>
      <c r="F554">
        <v>72</v>
      </c>
      <c r="G554">
        <v>1.59</v>
      </c>
      <c r="H554" s="1">
        <v>46362</v>
      </c>
      <c r="I554" s="1">
        <v>46040</v>
      </c>
      <c r="J554">
        <v>206.70000000000002</v>
      </c>
      <c r="K554" t="s">
        <v>35</v>
      </c>
      <c r="L554">
        <v>243</v>
      </c>
      <c r="M554" t="s">
        <v>36</v>
      </c>
    </row>
    <row r="555" spans="1:13" x14ac:dyDescent="0.25">
      <c r="A555" t="s">
        <v>594</v>
      </c>
      <c r="B555" t="s">
        <v>23</v>
      </c>
      <c r="C555" t="s">
        <v>24</v>
      </c>
      <c r="D555" t="s">
        <v>40</v>
      </c>
      <c r="E555">
        <v>131</v>
      </c>
      <c r="F555">
        <v>50</v>
      </c>
      <c r="G555">
        <v>1.88</v>
      </c>
      <c r="H555" s="1">
        <v>46390</v>
      </c>
      <c r="I555" s="1">
        <v>46055</v>
      </c>
      <c r="J555">
        <v>246.27999999999997</v>
      </c>
      <c r="K555" t="s">
        <v>35</v>
      </c>
      <c r="L555">
        <v>271</v>
      </c>
      <c r="M555" t="s">
        <v>36</v>
      </c>
    </row>
    <row r="556" spans="1:13" x14ac:dyDescent="0.25">
      <c r="A556" t="s">
        <v>595</v>
      </c>
      <c r="B556" t="s">
        <v>25</v>
      </c>
      <c r="C556" t="s">
        <v>15</v>
      </c>
      <c r="D556" t="s">
        <v>38</v>
      </c>
      <c r="E556">
        <v>78</v>
      </c>
      <c r="F556">
        <v>93</v>
      </c>
      <c r="G556">
        <v>0.84</v>
      </c>
      <c r="H556" s="1">
        <v>46484</v>
      </c>
      <c r="I556" s="1">
        <v>46058</v>
      </c>
      <c r="J556">
        <v>65.52</v>
      </c>
      <c r="K556" t="s">
        <v>44</v>
      </c>
      <c r="L556">
        <v>365</v>
      </c>
      <c r="M556" t="s">
        <v>36</v>
      </c>
    </row>
    <row r="557" spans="1:13" x14ac:dyDescent="0.25">
      <c r="A557" t="s">
        <v>596</v>
      </c>
      <c r="B557" t="s">
        <v>26</v>
      </c>
      <c r="C557" t="s">
        <v>22</v>
      </c>
      <c r="D557" t="s">
        <v>49</v>
      </c>
      <c r="E557">
        <v>89</v>
      </c>
      <c r="F557">
        <v>37</v>
      </c>
      <c r="G557">
        <v>1.4</v>
      </c>
      <c r="H557" s="1">
        <v>46259</v>
      </c>
      <c r="I557" s="1">
        <v>45966</v>
      </c>
      <c r="J557">
        <v>124.6</v>
      </c>
      <c r="K557" t="s">
        <v>35</v>
      </c>
      <c r="L557">
        <v>140</v>
      </c>
      <c r="M557" t="s">
        <v>36</v>
      </c>
    </row>
    <row r="558" spans="1:13" x14ac:dyDescent="0.25">
      <c r="A558" t="s">
        <v>597</v>
      </c>
      <c r="B558" t="s">
        <v>21</v>
      </c>
      <c r="C558" t="s">
        <v>22</v>
      </c>
      <c r="D558" t="s">
        <v>38</v>
      </c>
      <c r="E558">
        <v>95</v>
      </c>
      <c r="F558">
        <v>95</v>
      </c>
      <c r="G558">
        <v>1.25</v>
      </c>
      <c r="H558" s="1">
        <v>46405</v>
      </c>
      <c r="I558" s="1">
        <v>46035</v>
      </c>
      <c r="J558">
        <v>118.75</v>
      </c>
      <c r="K558" t="s">
        <v>35</v>
      </c>
      <c r="L558">
        <v>286</v>
      </c>
      <c r="M558" t="s">
        <v>36</v>
      </c>
    </row>
    <row r="559" spans="1:13" x14ac:dyDescent="0.25">
      <c r="A559" t="s">
        <v>598</v>
      </c>
      <c r="B559" t="s">
        <v>23</v>
      </c>
      <c r="C559" t="s">
        <v>24</v>
      </c>
      <c r="D559" t="s">
        <v>40</v>
      </c>
      <c r="E559">
        <v>48</v>
      </c>
      <c r="F559">
        <v>78</v>
      </c>
      <c r="G559">
        <v>1.0900000000000001</v>
      </c>
      <c r="H559" s="1">
        <v>46175</v>
      </c>
      <c r="I559" s="1">
        <v>45982</v>
      </c>
      <c r="J559">
        <v>52.320000000000007</v>
      </c>
      <c r="K559" t="s">
        <v>44</v>
      </c>
      <c r="L559">
        <v>56</v>
      </c>
      <c r="M559" t="s">
        <v>36</v>
      </c>
    </row>
    <row r="560" spans="1:13" x14ac:dyDescent="0.25">
      <c r="A560" t="s">
        <v>599</v>
      </c>
      <c r="B560" t="s">
        <v>12</v>
      </c>
      <c r="C560" t="s">
        <v>13</v>
      </c>
      <c r="D560" t="s">
        <v>34</v>
      </c>
      <c r="E560">
        <v>23</v>
      </c>
      <c r="F560">
        <v>21</v>
      </c>
      <c r="G560">
        <v>0.72</v>
      </c>
      <c r="H560" s="1">
        <v>46388</v>
      </c>
      <c r="I560" s="1">
        <v>45971</v>
      </c>
      <c r="J560">
        <v>16.559999999999999</v>
      </c>
      <c r="K560" t="s">
        <v>35</v>
      </c>
      <c r="L560">
        <v>269</v>
      </c>
      <c r="M560" t="s">
        <v>36</v>
      </c>
    </row>
    <row r="561" spans="1:13" x14ac:dyDescent="0.25">
      <c r="A561" t="s">
        <v>600</v>
      </c>
      <c r="B561" t="s">
        <v>16</v>
      </c>
      <c r="C561" t="s">
        <v>13</v>
      </c>
      <c r="D561" t="s">
        <v>38</v>
      </c>
      <c r="E561">
        <v>174</v>
      </c>
      <c r="F561">
        <v>76</v>
      </c>
      <c r="G561">
        <v>1.21</v>
      </c>
      <c r="H561" s="1">
        <v>46202</v>
      </c>
      <c r="I561" s="1">
        <v>45997</v>
      </c>
      <c r="J561">
        <v>210.54</v>
      </c>
      <c r="K561" t="s">
        <v>35</v>
      </c>
      <c r="L561">
        <v>83</v>
      </c>
      <c r="M561" t="s">
        <v>36</v>
      </c>
    </row>
    <row r="562" spans="1:13" x14ac:dyDescent="0.25">
      <c r="A562" t="s">
        <v>601</v>
      </c>
      <c r="B562" t="s">
        <v>19</v>
      </c>
      <c r="C562" t="s">
        <v>20</v>
      </c>
      <c r="D562" t="s">
        <v>38</v>
      </c>
      <c r="E562">
        <v>80</v>
      </c>
      <c r="F562">
        <v>72</v>
      </c>
      <c r="G562">
        <v>0.67</v>
      </c>
      <c r="H562" s="1">
        <v>46444</v>
      </c>
      <c r="I562" s="1">
        <v>46001</v>
      </c>
      <c r="J562">
        <v>53.6</v>
      </c>
      <c r="K562" t="s">
        <v>35</v>
      </c>
      <c r="L562">
        <v>325</v>
      </c>
      <c r="M562" t="s">
        <v>36</v>
      </c>
    </row>
    <row r="563" spans="1:13" x14ac:dyDescent="0.25">
      <c r="A563" t="s">
        <v>602</v>
      </c>
      <c r="B563" t="s">
        <v>27</v>
      </c>
      <c r="C563" t="s">
        <v>28</v>
      </c>
      <c r="D563" t="s">
        <v>40</v>
      </c>
      <c r="E563">
        <v>96</v>
      </c>
      <c r="F563">
        <v>61</v>
      </c>
      <c r="G563">
        <v>1.86</v>
      </c>
      <c r="H563" s="1">
        <v>46448</v>
      </c>
      <c r="I563" s="1">
        <v>46070</v>
      </c>
      <c r="J563">
        <v>178.56</v>
      </c>
      <c r="K563" t="s">
        <v>35</v>
      </c>
      <c r="L563">
        <v>329</v>
      </c>
      <c r="M563" t="s">
        <v>36</v>
      </c>
    </row>
    <row r="564" spans="1:13" x14ac:dyDescent="0.25">
      <c r="A564" t="s">
        <v>603</v>
      </c>
      <c r="B564" t="s">
        <v>16</v>
      </c>
      <c r="C564" t="s">
        <v>13</v>
      </c>
      <c r="D564" t="s">
        <v>38</v>
      </c>
      <c r="E564">
        <v>15</v>
      </c>
      <c r="F564">
        <v>54</v>
      </c>
      <c r="G564">
        <v>1.07</v>
      </c>
      <c r="H564" s="1">
        <v>46303</v>
      </c>
      <c r="I564" s="1">
        <v>46075</v>
      </c>
      <c r="J564">
        <v>16.05</v>
      </c>
      <c r="K564" t="s">
        <v>44</v>
      </c>
      <c r="L564">
        <v>184</v>
      </c>
      <c r="M564" t="s">
        <v>36</v>
      </c>
    </row>
    <row r="565" spans="1:13" x14ac:dyDescent="0.25">
      <c r="A565" t="s">
        <v>604</v>
      </c>
      <c r="B565" t="s">
        <v>12</v>
      </c>
      <c r="C565" t="s">
        <v>13</v>
      </c>
      <c r="D565" t="s">
        <v>38</v>
      </c>
      <c r="E565">
        <v>96</v>
      </c>
      <c r="F565">
        <v>24</v>
      </c>
      <c r="G565">
        <v>1.74</v>
      </c>
      <c r="H565" s="1">
        <v>46325</v>
      </c>
      <c r="I565" s="1">
        <v>45979</v>
      </c>
      <c r="J565">
        <v>167.04</v>
      </c>
      <c r="K565" t="s">
        <v>35</v>
      </c>
      <c r="L565">
        <v>206</v>
      </c>
      <c r="M565" t="s">
        <v>36</v>
      </c>
    </row>
    <row r="566" spans="1:13" x14ac:dyDescent="0.25">
      <c r="A566" t="s">
        <v>605</v>
      </c>
      <c r="B566" t="s">
        <v>25</v>
      </c>
      <c r="C566" t="s">
        <v>15</v>
      </c>
      <c r="D566" t="s">
        <v>34</v>
      </c>
      <c r="E566">
        <v>139</v>
      </c>
      <c r="F566">
        <v>74</v>
      </c>
      <c r="G566">
        <v>1.98</v>
      </c>
      <c r="H566" s="1">
        <v>46352</v>
      </c>
      <c r="I566" s="1">
        <v>46087</v>
      </c>
      <c r="J566">
        <v>275.21999999999997</v>
      </c>
      <c r="K566" t="s">
        <v>35</v>
      </c>
      <c r="L566">
        <v>233</v>
      </c>
      <c r="M566" t="s">
        <v>36</v>
      </c>
    </row>
    <row r="567" spans="1:13" x14ac:dyDescent="0.25">
      <c r="A567" t="s">
        <v>606</v>
      </c>
      <c r="B567" t="s">
        <v>27</v>
      </c>
      <c r="C567" t="s">
        <v>28</v>
      </c>
      <c r="D567" t="s">
        <v>38</v>
      </c>
      <c r="E567">
        <v>57</v>
      </c>
      <c r="F567">
        <v>27</v>
      </c>
      <c r="G567">
        <v>1.43</v>
      </c>
      <c r="H567" s="1">
        <v>46193</v>
      </c>
      <c r="I567" s="1">
        <v>46105</v>
      </c>
      <c r="J567">
        <v>81.509999999999991</v>
      </c>
      <c r="K567" t="s">
        <v>35</v>
      </c>
      <c r="L567">
        <v>74</v>
      </c>
      <c r="M567" t="s">
        <v>36</v>
      </c>
    </row>
    <row r="568" spans="1:13" x14ac:dyDescent="0.25">
      <c r="A568" t="s">
        <v>607</v>
      </c>
      <c r="B568" t="s">
        <v>25</v>
      </c>
      <c r="C568" t="s">
        <v>15</v>
      </c>
      <c r="D568" t="s">
        <v>34</v>
      </c>
      <c r="E568">
        <v>144</v>
      </c>
      <c r="F568">
        <v>100</v>
      </c>
      <c r="G568">
        <v>1.38</v>
      </c>
      <c r="H568" s="1">
        <v>46353</v>
      </c>
      <c r="I568" s="1">
        <v>46041</v>
      </c>
      <c r="J568">
        <v>198.71999999999997</v>
      </c>
      <c r="K568" t="s">
        <v>35</v>
      </c>
      <c r="L568">
        <v>234</v>
      </c>
      <c r="M568" t="s">
        <v>36</v>
      </c>
    </row>
    <row r="569" spans="1:13" x14ac:dyDescent="0.25">
      <c r="A569" t="s">
        <v>608</v>
      </c>
      <c r="B569" t="s">
        <v>25</v>
      </c>
      <c r="C569" t="s">
        <v>15</v>
      </c>
      <c r="D569" t="s">
        <v>34</v>
      </c>
      <c r="E569">
        <v>186</v>
      </c>
      <c r="F569">
        <v>100</v>
      </c>
      <c r="G569">
        <v>1.88</v>
      </c>
      <c r="H569" s="1">
        <v>46306</v>
      </c>
      <c r="I569" s="1">
        <v>46007</v>
      </c>
      <c r="J569">
        <v>349.68</v>
      </c>
      <c r="K569" t="s">
        <v>35</v>
      </c>
      <c r="L569">
        <v>187</v>
      </c>
      <c r="M569" t="s">
        <v>36</v>
      </c>
    </row>
    <row r="570" spans="1:13" x14ac:dyDescent="0.25">
      <c r="A570" t="s">
        <v>609</v>
      </c>
      <c r="B570" t="s">
        <v>21</v>
      </c>
      <c r="C570" t="s">
        <v>22</v>
      </c>
      <c r="D570" t="s">
        <v>34</v>
      </c>
      <c r="E570">
        <v>49</v>
      </c>
      <c r="F570">
        <v>82</v>
      </c>
      <c r="G570">
        <v>1.43</v>
      </c>
      <c r="H570" s="1">
        <v>46454</v>
      </c>
      <c r="I570" s="1">
        <v>45966</v>
      </c>
      <c r="J570">
        <v>70.069999999999993</v>
      </c>
      <c r="K570" t="s">
        <v>44</v>
      </c>
      <c r="L570">
        <v>335</v>
      </c>
      <c r="M570" t="s">
        <v>36</v>
      </c>
    </row>
    <row r="571" spans="1:13" x14ac:dyDescent="0.25">
      <c r="A571" t="s">
        <v>610</v>
      </c>
      <c r="B571" t="s">
        <v>23</v>
      </c>
      <c r="C571" t="s">
        <v>24</v>
      </c>
      <c r="D571" t="s">
        <v>38</v>
      </c>
      <c r="E571">
        <v>185</v>
      </c>
      <c r="F571">
        <v>91</v>
      </c>
      <c r="G571">
        <v>1.92</v>
      </c>
      <c r="H571" s="1">
        <v>46362</v>
      </c>
      <c r="I571" s="1">
        <v>46056</v>
      </c>
      <c r="J571">
        <v>355.2</v>
      </c>
      <c r="K571" t="s">
        <v>35</v>
      </c>
      <c r="L571">
        <v>243</v>
      </c>
      <c r="M571" t="s">
        <v>36</v>
      </c>
    </row>
    <row r="572" spans="1:13" x14ac:dyDescent="0.25">
      <c r="A572" t="s">
        <v>611</v>
      </c>
      <c r="B572" t="s">
        <v>17</v>
      </c>
      <c r="C572" t="s">
        <v>18</v>
      </c>
      <c r="D572" t="s">
        <v>40</v>
      </c>
      <c r="E572">
        <v>180</v>
      </c>
      <c r="F572">
        <v>85</v>
      </c>
      <c r="G572">
        <v>1.99</v>
      </c>
      <c r="H572" s="1">
        <v>46322</v>
      </c>
      <c r="I572" s="1">
        <v>45991</v>
      </c>
      <c r="J572">
        <v>358.2</v>
      </c>
      <c r="K572" t="s">
        <v>35</v>
      </c>
      <c r="L572">
        <v>203</v>
      </c>
      <c r="M572" t="s">
        <v>36</v>
      </c>
    </row>
    <row r="573" spans="1:13" x14ac:dyDescent="0.25">
      <c r="A573" t="s">
        <v>612</v>
      </c>
      <c r="B573" t="s">
        <v>26</v>
      </c>
      <c r="C573" t="s">
        <v>22</v>
      </c>
      <c r="D573" t="s">
        <v>40</v>
      </c>
      <c r="E573">
        <v>70</v>
      </c>
      <c r="F573">
        <v>100</v>
      </c>
      <c r="G573">
        <v>1.43</v>
      </c>
      <c r="H573" s="1">
        <v>46461</v>
      </c>
      <c r="I573" s="1">
        <v>46068</v>
      </c>
      <c r="J573">
        <v>100.1</v>
      </c>
      <c r="K573" t="s">
        <v>44</v>
      </c>
      <c r="L573">
        <v>342</v>
      </c>
      <c r="M573" t="s">
        <v>36</v>
      </c>
    </row>
    <row r="574" spans="1:13" x14ac:dyDescent="0.25">
      <c r="A574" t="s">
        <v>613</v>
      </c>
      <c r="B574" t="s">
        <v>25</v>
      </c>
      <c r="C574" t="s">
        <v>15</v>
      </c>
      <c r="D574" t="s">
        <v>38</v>
      </c>
      <c r="E574">
        <v>146</v>
      </c>
      <c r="F574">
        <v>34</v>
      </c>
      <c r="G574">
        <v>1.47</v>
      </c>
      <c r="H574" s="1">
        <v>46247</v>
      </c>
      <c r="I574" s="1">
        <v>45980</v>
      </c>
      <c r="J574">
        <v>214.62</v>
      </c>
      <c r="K574" t="s">
        <v>35</v>
      </c>
      <c r="L574">
        <v>128</v>
      </c>
      <c r="M574" t="s">
        <v>36</v>
      </c>
    </row>
    <row r="575" spans="1:13" x14ac:dyDescent="0.25">
      <c r="A575" t="s">
        <v>614</v>
      </c>
      <c r="B575" t="s">
        <v>26</v>
      </c>
      <c r="C575" t="s">
        <v>22</v>
      </c>
      <c r="D575" t="s">
        <v>38</v>
      </c>
      <c r="E575">
        <v>104</v>
      </c>
      <c r="F575">
        <v>98</v>
      </c>
      <c r="G575">
        <v>1.34</v>
      </c>
      <c r="H575" s="1">
        <v>46156</v>
      </c>
      <c r="I575" s="1">
        <v>46104</v>
      </c>
      <c r="J575">
        <v>139.36000000000001</v>
      </c>
      <c r="K575" t="s">
        <v>35</v>
      </c>
      <c r="L575">
        <v>37</v>
      </c>
      <c r="M575" t="s">
        <v>36</v>
      </c>
    </row>
    <row r="576" spans="1:13" x14ac:dyDescent="0.25">
      <c r="A576" t="s">
        <v>615</v>
      </c>
      <c r="B576" t="s">
        <v>23</v>
      </c>
      <c r="C576" t="s">
        <v>24</v>
      </c>
      <c r="D576" t="s">
        <v>40</v>
      </c>
      <c r="E576">
        <v>82</v>
      </c>
      <c r="F576">
        <v>85</v>
      </c>
      <c r="G576">
        <v>0.83</v>
      </c>
      <c r="H576" s="1">
        <v>46339</v>
      </c>
      <c r="I576" s="1">
        <v>46045</v>
      </c>
      <c r="J576">
        <v>68.06</v>
      </c>
      <c r="K576" t="s">
        <v>44</v>
      </c>
      <c r="L576">
        <v>220</v>
      </c>
      <c r="M576" t="s">
        <v>36</v>
      </c>
    </row>
    <row r="577" spans="1:13" x14ac:dyDescent="0.25">
      <c r="A577" t="s">
        <v>616</v>
      </c>
      <c r="B577" t="s">
        <v>21</v>
      </c>
      <c r="C577" t="s">
        <v>22</v>
      </c>
      <c r="D577" t="s">
        <v>40</v>
      </c>
      <c r="E577">
        <v>122</v>
      </c>
      <c r="F577">
        <v>73</v>
      </c>
      <c r="G577">
        <v>1.08</v>
      </c>
      <c r="H577" s="1">
        <v>46173</v>
      </c>
      <c r="I577" s="1">
        <v>45986</v>
      </c>
      <c r="J577">
        <v>131.76000000000002</v>
      </c>
      <c r="K577" t="s">
        <v>35</v>
      </c>
      <c r="L577">
        <v>54</v>
      </c>
      <c r="M577" t="s">
        <v>36</v>
      </c>
    </row>
    <row r="578" spans="1:13" x14ac:dyDescent="0.25">
      <c r="A578" t="s">
        <v>617</v>
      </c>
      <c r="B578" t="s">
        <v>19</v>
      </c>
      <c r="C578" t="s">
        <v>20</v>
      </c>
      <c r="D578" t="s">
        <v>40</v>
      </c>
      <c r="E578">
        <v>118</v>
      </c>
      <c r="F578">
        <v>63</v>
      </c>
      <c r="G578">
        <v>0.8</v>
      </c>
      <c r="H578" s="1">
        <v>46279</v>
      </c>
      <c r="I578" s="1">
        <v>45961</v>
      </c>
      <c r="J578">
        <v>94.4</v>
      </c>
      <c r="K578" t="s">
        <v>35</v>
      </c>
      <c r="L578">
        <v>160</v>
      </c>
      <c r="M578" t="s">
        <v>36</v>
      </c>
    </row>
    <row r="579" spans="1:13" x14ac:dyDescent="0.25">
      <c r="A579" t="s">
        <v>618</v>
      </c>
      <c r="B579" t="s">
        <v>27</v>
      </c>
      <c r="C579" t="s">
        <v>28</v>
      </c>
      <c r="D579" t="s">
        <v>34</v>
      </c>
      <c r="E579">
        <v>122</v>
      </c>
      <c r="F579">
        <v>45</v>
      </c>
      <c r="G579">
        <v>1.8</v>
      </c>
      <c r="H579" s="1">
        <v>46436</v>
      </c>
      <c r="I579" s="1">
        <v>45958</v>
      </c>
      <c r="J579">
        <v>219.6</v>
      </c>
      <c r="K579" t="s">
        <v>35</v>
      </c>
      <c r="L579">
        <v>317</v>
      </c>
      <c r="M579" t="s">
        <v>36</v>
      </c>
    </row>
    <row r="580" spans="1:13" x14ac:dyDescent="0.25">
      <c r="A580" t="s">
        <v>619</v>
      </c>
      <c r="B580" t="s">
        <v>27</v>
      </c>
      <c r="C580" t="s">
        <v>28</v>
      </c>
      <c r="D580" t="s">
        <v>40</v>
      </c>
      <c r="E580">
        <v>53</v>
      </c>
      <c r="F580">
        <v>64</v>
      </c>
      <c r="G580">
        <v>1.61</v>
      </c>
      <c r="H580" s="1">
        <v>46360</v>
      </c>
      <c r="I580" s="1">
        <v>46098</v>
      </c>
      <c r="J580">
        <v>85.33</v>
      </c>
      <c r="K580" t="s">
        <v>44</v>
      </c>
      <c r="L580">
        <v>241</v>
      </c>
      <c r="M580" t="s">
        <v>36</v>
      </c>
    </row>
    <row r="581" spans="1:13" x14ac:dyDescent="0.25">
      <c r="A581" t="s">
        <v>620</v>
      </c>
      <c r="B581" t="s">
        <v>19</v>
      </c>
      <c r="C581" t="s">
        <v>20</v>
      </c>
      <c r="D581" t="s">
        <v>40</v>
      </c>
      <c r="E581">
        <v>82</v>
      </c>
      <c r="F581">
        <v>82</v>
      </c>
      <c r="G581">
        <v>2</v>
      </c>
      <c r="H581" s="1">
        <v>46347</v>
      </c>
      <c r="I581" s="1">
        <v>46061</v>
      </c>
      <c r="J581">
        <v>164</v>
      </c>
      <c r="K581" t="s">
        <v>35</v>
      </c>
      <c r="L581">
        <v>228</v>
      </c>
      <c r="M581" t="s">
        <v>36</v>
      </c>
    </row>
    <row r="582" spans="1:13" x14ac:dyDescent="0.25">
      <c r="A582" t="s">
        <v>621</v>
      </c>
      <c r="B582" t="s">
        <v>26</v>
      </c>
      <c r="C582" t="s">
        <v>22</v>
      </c>
      <c r="D582" t="s">
        <v>40</v>
      </c>
      <c r="E582">
        <v>192</v>
      </c>
      <c r="F582">
        <v>43</v>
      </c>
      <c r="G582">
        <v>0.65</v>
      </c>
      <c r="H582" s="1">
        <v>46383</v>
      </c>
      <c r="I582" s="1">
        <v>45967</v>
      </c>
      <c r="J582">
        <v>124.80000000000001</v>
      </c>
      <c r="K582" t="s">
        <v>35</v>
      </c>
      <c r="L582">
        <v>264</v>
      </c>
      <c r="M582" t="s">
        <v>36</v>
      </c>
    </row>
    <row r="583" spans="1:13" x14ac:dyDescent="0.25">
      <c r="A583" t="s">
        <v>622</v>
      </c>
      <c r="B583" t="s">
        <v>17</v>
      </c>
      <c r="C583" t="s">
        <v>18</v>
      </c>
      <c r="D583" t="s">
        <v>40</v>
      </c>
      <c r="E583">
        <v>50</v>
      </c>
      <c r="F583">
        <v>36</v>
      </c>
      <c r="G583">
        <v>0.72</v>
      </c>
      <c r="H583" s="1">
        <v>46330</v>
      </c>
      <c r="I583" s="1">
        <v>45976</v>
      </c>
      <c r="J583">
        <v>36</v>
      </c>
      <c r="K583" t="s">
        <v>35</v>
      </c>
      <c r="L583">
        <v>211</v>
      </c>
      <c r="M583" t="s">
        <v>36</v>
      </c>
    </row>
    <row r="584" spans="1:13" x14ac:dyDescent="0.25">
      <c r="A584" t="s">
        <v>623</v>
      </c>
      <c r="B584" t="s">
        <v>25</v>
      </c>
      <c r="C584" t="s">
        <v>15</v>
      </c>
      <c r="D584" t="s">
        <v>49</v>
      </c>
      <c r="E584">
        <v>138</v>
      </c>
      <c r="F584">
        <v>53</v>
      </c>
      <c r="G584">
        <v>1.92</v>
      </c>
      <c r="H584" s="1">
        <v>46374</v>
      </c>
      <c r="I584" s="1">
        <v>46073</v>
      </c>
      <c r="J584">
        <v>264.95999999999998</v>
      </c>
      <c r="K584" t="s">
        <v>35</v>
      </c>
      <c r="L584">
        <v>255</v>
      </c>
      <c r="M584" t="s">
        <v>36</v>
      </c>
    </row>
    <row r="585" spans="1:13" x14ac:dyDescent="0.25">
      <c r="A585" t="s">
        <v>624</v>
      </c>
      <c r="B585" t="s">
        <v>23</v>
      </c>
      <c r="C585" t="s">
        <v>24</v>
      </c>
      <c r="D585" t="s">
        <v>34</v>
      </c>
      <c r="E585">
        <v>20</v>
      </c>
      <c r="F585">
        <v>42</v>
      </c>
      <c r="G585">
        <v>0.5</v>
      </c>
      <c r="H585" s="1">
        <v>46446</v>
      </c>
      <c r="I585" s="1">
        <v>46108</v>
      </c>
      <c r="J585">
        <v>10</v>
      </c>
      <c r="K585" t="s">
        <v>44</v>
      </c>
      <c r="L585">
        <v>327</v>
      </c>
      <c r="M585" t="s">
        <v>36</v>
      </c>
    </row>
    <row r="586" spans="1:13" x14ac:dyDescent="0.25">
      <c r="A586" t="s">
        <v>625</v>
      </c>
      <c r="B586" t="s">
        <v>17</v>
      </c>
      <c r="C586" t="s">
        <v>18</v>
      </c>
      <c r="D586" t="s">
        <v>38</v>
      </c>
      <c r="E586">
        <v>88</v>
      </c>
      <c r="F586">
        <v>29</v>
      </c>
      <c r="G586">
        <v>1.0900000000000001</v>
      </c>
      <c r="H586" s="1">
        <v>46279</v>
      </c>
      <c r="I586" s="1">
        <v>46013</v>
      </c>
      <c r="J586">
        <v>95.92</v>
      </c>
      <c r="K586" t="s">
        <v>35</v>
      </c>
      <c r="L586">
        <v>160</v>
      </c>
      <c r="M586" t="s">
        <v>36</v>
      </c>
    </row>
    <row r="587" spans="1:13" x14ac:dyDescent="0.25">
      <c r="A587" t="s">
        <v>626</v>
      </c>
      <c r="B587" t="s">
        <v>19</v>
      </c>
      <c r="C587" t="s">
        <v>20</v>
      </c>
      <c r="D587" t="s">
        <v>34</v>
      </c>
      <c r="E587">
        <v>77</v>
      </c>
      <c r="F587">
        <v>41</v>
      </c>
      <c r="G587">
        <v>0.8</v>
      </c>
      <c r="H587" s="1">
        <v>46416</v>
      </c>
      <c r="I587" s="1">
        <v>45960</v>
      </c>
      <c r="J587">
        <v>61.6</v>
      </c>
      <c r="K587" t="s">
        <v>35</v>
      </c>
      <c r="L587">
        <v>297</v>
      </c>
      <c r="M587" t="s">
        <v>36</v>
      </c>
    </row>
    <row r="588" spans="1:13" x14ac:dyDescent="0.25">
      <c r="A588" t="s">
        <v>627</v>
      </c>
      <c r="B588" t="s">
        <v>17</v>
      </c>
      <c r="C588" t="s">
        <v>18</v>
      </c>
      <c r="D588" t="s">
        <v>38</v>
      </c>
      <c r="E588">
        <v>109</v>
      </c>
      <c r="F588">
        <v>36</v>
      </c>
      <c r="G588">
        <v>1.85</v>
      </c>
      <c r="H588" s="1">
        <v>46423</v>
      </c>
      <c r="I588" s="1">
        <v>46097</v>
      </c>
      <c r="J588">
        <v>201.65</v>
      </c>
      <c r="K588" t="s">
        <v>35</v>
      </c>
      <c r="L588">
        <v>304</v>
      </c>
      <c r="M588" t="s">
        <v>36</v>
      </c>
    </row>
    <row r="589" spans="1:13" x14ac:dyDescent="0.25">
      <c r="A589" t="s">
        <v>628</v>
      </c>
      <c r="B589" t="s">
        <v>19</v>
      </c>
      <c r="C589" t="s">
        <v>20</v>
      </c>
      <c r="D589" t="s">
        <v>38</v>
      </c>
      <c r="E589">
        <v>166</v>
      </c>
      <c r="F589">
        <v>89</v>
      </c>
      <c r="G589">
        <v>0.63</v>
      </c>
      <c r="H589" s="1">
        <v>46234</v>
      </c>
      <c r="I589" s="1">
        <v>45957</v>
      </c>
      <c r="J589">
        <v>104.58</v>
      </c>
      <c r="K589" t="s">
        <v>35</v>
      </c>
      <c r="L589">
        <v>115</v>
      </c>
      <c r="M589" t="s">
        <v>36</v>
      </c>
    </row>
    <row r="590" spans="1:13" x14ac:dyDescent="0.25">
      <c r="A590" t="s">
        <v>629</v>
      </c>
      <c r="B590" t="s">
        <v>17</v>
      </c>
      <c r="C590" t="s">
        <v>18</v>
      </c>
      <c r="D590" t="s">
        <v>40</v>
      </c>
      <c r="E590">
        <v>131</v>
      </c>
      <c r="F590">
        <v>22</v>
      </c>
      <c r="G590">
        <v>1.61</v>
      </c>
      <c r="H590" s="1">
        <v>46178</v>
      </c>
      <c r="I590" s="1">
        <v>46030</v>
      </c>
      <c r="J590">
        <v>210.91000000000003</v>
      </c>
      <c r="K590" t="s">
        <v>35</v>
      </c>
      <c r="L590">
        <v>59</v>
      </c>
      <c r="M590" t="s">
        <v>36</v>
      </c>
    </row>
    <row r="591" spans="1:13" x14ac:dyDescent="0.25">
      <c r="A591" t="s">
        <v>630</v>
      </c>
      <c r="B591" t="s">
        <v>19</v>
      </c>
      <c r="C591" t="s">
        <v>20</v>
      </c>
      <c r="D591" t="s">
        <v>34</v>
      </c>
      <c r="E591">
        <v>156</v>
      </c>
      <c r="F591">
        <v>81</v>
      </c>
      <c r="G591">
        <v>0.52</v>
      </c>
      <c r="H591" s="1">
        <v>46356</v>
      </c>
      <c r="I591" s="1">
        <v>46067</v>
      </c>
      <c r="J591">
        <v>81.12</v>
      </c>
      <c r="K591" t="s">
        <v>35</v>
      </c>
      <c r="L591">
        <v>237</v>
      </c>
      <c r="M591" t="s">
        <v>36</v>
      </c>
    </row>
    <row r="592" spans="1:13" x14ac:dyDescent="0.25">
      <c r="A592" t="s">
        <v>631</v>
      </c>
      <c r="B592" t="s">
        <v>23</v>
      </c>
      <c r="C592" t="s">
        <v>24</v>
      </c>
      <c r="D592" t="s">
        <v>40</v>
      </c>
      <c r="E592">
        <v>100</v>
      </c>
      <c r="F592">
        <v>87</v>
      </c>
      <c r="G592">
        <v>0.56000000000000005</v>
      </c>
      <c r="H592" s="1">
        <v>46349</v>
      </c>
      <c r="I592" s="1">
        <v>46110</v>
      </c>
      <c r="J592">
        <v>56.000000000000007</v>
      </c>
      <c r="K592" t="s">
        <v>35</v>
      </c>
      <c r="L592">
        <v>230</v>
      </c>
      <c r="M592" t="s">
        <v>36</v>
      </c>
    </row>
    <row r="593" spans="1:13" x14ac:dyDescent="0.25">
      <c r="A593" t="s">
        <v>632</v>
      </c>
      <c r="B593" t="s">
        <v>25</v>
      </c>
      <c r="C593" t="s">
        <v>15</v>
      </c>
      <c r="D593" t="s">
        <v>49</v>
      </c>
      <c r="E593">
        <v>92</v>
      </c>
      <c r="F593">
        <v>34</v>
      </c>
      <c r="G593">
        <v>1.94</v>
      </c>
      <c r="H593" s="1">
        <v>46399</v>
      </c>
      <c r="I593" s="1">
        <v>46054</v>
      </c>
      <c r="J593">
        <v>178.48</v>
      </c>
      <c r="K593" t="s">
        <v>35</v>
      </c>
      <c r="L593">
        <v>280</v>
      </c>
      <c r="M593" t="s">
        <v>36</v>
      </c>
    </row>
    <row r="594" spans="1:13" x14ac:dyDescent="0.25">
      <c r="A594" t="s">
        <v>633</v>
      </c>
      <c r="B594" t="s">
        <v>17</v>
      </c>
      <c r="C594" t="s">
        <v>18</v>
      </c>
      <c r="D594" t="s">
        <v>38</v>
      </c>
      <c r="E594">
        <v>52</v>
      </c>
      <c r="F594">
        <v>77</v>
      </c>
      <c r="G594">
        <v>0.74</v>
      </c>
      <c r="H594" s="1">
        <v>46356</v>
      </c>
      <c r="I594" s="1">
        <v>46033</v>
      </c>
      <c r="J594">
        <v>38.479999999999997</v>
      </c>
      <c r="K594" t="s">
        <v>44</v>
      </c>
      <c r="L594">
        <v>237</v>
      </c>
      <c r="M594" t="s">
        <v>36</v>
      </c>
    </row>
    <row r="595" spans="1:13" x14ac:dyDescent="0.25">
      <c r="A595" t="s">
        <v>634</v>
      </c>
      <c r="B595" t="s">
        <v>21</v>
      </c>
      <c r="C595" t="s">
        <v>22</v>
      </c>
      <c r="D595" t="s">
        <v>34</v>
      </c>
      <c r="E595">
        <v>175</v>
      </c>
      <c r="F595">
        <v>74</v>
      </c>
      <c r="G595">
        <v>1.65</v>
      </c>
      <c r="H595" s="1">
        <v>46179</v>
      </c>
      <c r="I595" s="1">
        <v>45953</v>
      </c>
      <c r="J595">
        <v>288.75</v>
      </c>
      <c r="K595" t="s">
        <v>35</v>
      </c>
      <c r="L595">
        <v>60</v>
      </c>
      <c r="M595" t="s">
        <v>36</v>
      </c>
    </row>
    <row r="596" spans="1:13" x14ac:dyDescent="0.25">
      <c r="A596" t="s">
        <v>635</v>
      </c>
      <c r="B596" t="s">
        <v>14</v>
      </c>
      <c r="C596" t="s">
        <v>15</v>
      </c>
      <c r="D596" t="s">
        <v>49</v>
      </c>
      <c r="E596">
        <v>12</v>
      </c>
      <c r="F596">
        <v>88</v>
      </c>
      <c r="G596">
        <v>1.21</v>
      </c>
      <c r="H596" s="1">
        <v>46331</v>
      </c>
      <c r="I596" s="1">
        <v>46078</v>
      </c>
      <c r="J596">
        <v>14.52</v>
      </c>
      <c r="K596" t="s">
        <v>44</v>
      </c>
      <c r="L596">
        <v>212</v>
      </c>
      <c r="M596" t="s">
        <v>36</v>
      </c>
    </row>
    <row r="597" spans="1:13" x14ac:dyDescent="0.25">
      <c r="A597" t="s">
        <v>636</v>
      </c>
      <c r="B597" t="s">
        <v>25</v>
      </c>
      <c r="C597" t="s">
        <v>15</v>
      </c>
      <c r="D597" t="s">
        <v>38</v>
      </c>
      <c r="E597">
        <v>172</v>
      </c>
      <c r="F597">
        <v>42</v>
      </c>
      <c r="G597">
        <v>1.02</v>
      </c>
      <c r="H597" s="1">
        <v>46200</v>
      </c>
      <c r="I597" s="1">
        <v>45995</v>
      </c>
      <c r="J597">
        <v>175.44</v>
      </c>
      <c r="K597" t="s">
        <v>35</v>
      </c>
      <c r="L597">
        <v>81</v>
      </c>
      <c r="M597" t="s">
        <v>36</v>
      </c>
    </row>
    <row r="598" spans="1:13" x14ac:dyDescent="0.25">
      <c r="A598" t="s">
        <v>637</v>
      </c>
      <c r="B598" t="s">
        <v>25</v>
      </c>
      <c r="C598" t="s">
        <v>15</v>
      </c>
      <c r="D598" t="s">
        <v>34</v>
      </c>
      <c r="E598">
        <v>186</v>
      </c>
      <c r="F598">
        <v>92</v>
      </c>
      <c r="G598">
        <v>0.61</v>
      </c>
      <c r="H598" s="1">
        <v>46436</v>
      </c>
      <c r="I598" s="1">
        <v>46102</v>
      </c>
      <c r="J598">
        <v>113.46</v>
      </c>
      <c r="K598" t="s">
        <v>35</v>
      </c>
      <c r="L598">
        <v>317</v>
      </c>
      <c r="M598" t="s">
        <v>36</v>
      </c>
    </row>
    <row r="599" spans="1:13" x14ac:dyDescent="0.25">
      <c r="A599" t="s">
        <v>638</v>
      </c>
      <c r="B599" t="s">
        <v>19</v>
      </c>
      <c r="C599" t="s">
        <v>20</v>
      </c>
      <c r="D599" t="s">
        <v>34</v>
      </c>
      <c r="E599">
        <v>39</v>
      </c>
      <c r="F599">
        <v>72</v>
      </c>
      <c r="G599">
        <v>1.99</v>
      </c>
      <c r="H599" s="1">
        <v>46259</v>
      </c>
      <c r="I599" s="1">
        <v>45961</v>
      </c>
      <c r="J599">
        <v>77.61</v>
      </c>
      <c r="K599" t="s">
        <v>44</v>
      </c>
      <c r="L599">
        <v>140</v>
      </c>
      <c r="M599" t="s">
        <v>36</v>
      </c>
    </row>
    <row r="600" spans="1:13" x14ac:dyDescent="0.25">
      <c r="A600" t="s">
        <v>639</v>
      </c>
      <c r="B600" t="s">
        <v>23</v>
      </c>
      <c r="C600" t="s">
        <v>24</v>
      </c>
      <c r="D600" t="s">
        <v>40</v>
      </c>
      <c r="E600">
        <v>53</v>
      </c>
      <c r="F600">
        <v>32</v>
      </c>
      <c r="G600">
        <v>1.84</v>
      </c>
      <c r="H600" s="1">
        <v>46201</v>
      </c>
      <c r="I600" s="1">
        <v>46093</v>
      </c>
      <c r="J600">
        <v>97.52000000000001</v>
      </c>
      <c r="K600" t="s">
        <v>35</v>
      </c>
      <c r="L600">
        <v>82</v>
      </c>
      <c r="M600" t="s">
        <v>36</v>
      </c>
    </row>
    <row r="601" spans="1:13" x14ac:dyDescent="0.25">
      <c r="A601" t="s">
        <v>640</v>
      </c>
      <c r="B601" t="s">
        <v>21</v>
      </c>
      <c r="C601" t="s">
        <v>22</v>
      </c>
      <c r="D601" t="s">
        <v>34</v>
      </c>
      <c r="E601">
        <v>63</v>
      </c>
      <c r="F601">
        <v>41</v>
      </c>
      <c r="G601">
        <v>0.92</v>
      </c>
      <c r="H601" s="1">
        <v>46484</v>
      </c>
      <c r="I601" s="1">
        <v>46043</v>
      </c>
      <c r="J601">
        <v>57.96</v>
      </c>
      <c r="K601" t="s">
        <v>35</v>
      </c>
      <c r="L601">
        <v>365</v>
      </c>
      <c r="M601" t="s">
        <v>36</v>
      </c>
    </row>
    <row r="602" spans="1:13" x14ac:dyDescent="0.25">
      <c r="A602" t="s">
        <v>641</v>
      </c>
      <c r="B602" t="s">
        <v>16</v>
      </c>
      <c r="C602" t="s">
        <v>13</v>
      </c>
      <c r="D602" t="s">
        <v>40</v>
      </c>
      <c r="E602">
        <v>19</v>
      </c>
      <c r="F602">
        <v>63</v>
      </c>
      <c r="G602">
        <v>1.48</v>
      </c>
      <c r="H602" s="1">
        <v>46468</v>
      </c>
      <c r="I602" s="1">
        <v>46115</v>
      </c>
      <c r="J602">
        <v>28.12</v>
      </c>
      <c r="K602" t="s">
        <v>44</v>
      </c>
      <c r="L602">
        <v>349</v>
      </c>
      <c r="M602" t="s">
        <v>36</v>
      </c>
    </row>
    <row r="603" spans="1:13" x14ac:dyDescent="0.25">
      <c r="A603" t="s">
        <v>642</v>
      </c>
      <c r="B603" t="s">
        <v>19</v>
      </c>
      <c r="C603" t="s">
        <v>20</v>
      </c>
      <c r="D603" t="s">
        <v>38</v>
      </c>
      <c r="E603">
        <v>180</v>
      </c>
      <c r="F603">
        <v>56</v>
      </c>
      <c r="G603">
        <v>1.31</v>
      </c>
      <c r="H603" s="1">
        <v>46280</v>
      </c>
      <c r="I603" s="1">
        <v>46014</v>
      </c>
      <c r="J603">
        <v>235.8</v>
      </c>
      <c r="K603" t="s">
        <v>35</v>
      </c>
      <c r="L603">
        <v>161</v>
      </c>
      <c r="M603" t="s">
        <v>36</v>
      </c>
    </row>
    <row r="604" spans="1:13" x14ac:dyDescent="0.25">
      <c r="A604" t="s">
        <v>643</v>
      </c>
      <c r="B604" t="s">
        <v>26</v>
      </c>
      <c r="C604" t="s">
        <v>22</v>
      </c>
      <c r="D604" t="s">
        <v>49</v>
      </c>
      <c r="E604">
        <v>58</v>
      </c>
      <c r="F604">
        <v>56</v>
      </c>
      <c r="G604">
        <v>1.95</v>
      </c>
      <c r="H604" s="1">
        <v>46263</v>
      </c>
      <c r="I604" s="1">
        <v>46057</v>
      </c>
      <c r="J604">
        <v>113.1</v>
      </c>
      <c r="K604" t="s">
        <v>35</v>
      </c>
      <c r="L604">
        <v>144</v>
      </c>
      <c r="M604" t="s">
        <v>36</v>
      </c>
    </row>
    <row r="605" spans="1:13" x14ac:dyDescent="0.25">
      <c r="A605" t="s">
        <v>644</v>
      </c>
      <c r="B605" t="s">
        <v>23</v>
      </c>
      <c r="C605" t="s">
        <v>24</v>
      </c>
      <c r="D605" t="s">
        <v>49</v>
      </c>
      <c r="E605">
        <v>84</v>
      </c>
      <c r="F605">
        <v>76</v>
      </c>
      <c r="G605">
        <v>0.67</v>
      </c>
      <c r="H605" s="1">
        <v>46163</v>
      </c>
      <c r="I605" s="1">
        <v>46084</v>
      </c>
      <c r="J605">
        <v>56.28</v>
      </c>
      <c r="K605" t="s">
        <v>35</v>
      </c>
      <c r="L605">
        <v>44</v>
      </c>
      <c r="M605" t="s">
        <v>36</v>
      </c>
    </row>
    <row r="606" spans="1:13" x14ac:dyDescent="0.25">
      <c r="A606" t="s">
        <v>645</v>
      </c>
      <c r="B606" t="s">
        <v>25</v>
      </c>
      <c r="C606" t="s">
        <v>15</v>
      </c>
      <c r="D606" t="s">
        <v>38</v>
      </c>
      <c r="E606">
        <v>87</v>
      </c>
      <c r="F606">
        <v>69</v>
      </c>
      <c r="G606">
        <v>1.85</v>
      </c>
      <c r="H606" s="1">
        <v>46452</v>
      </c>
      <c r="I606" s="1">
        <v>45968</v>
      </c>
      <c r="J606">
        <v>160.95000000000002</v>
      </c>
      <c r="K606" t="s">
        <v>35</v>
      </c>
      <c r="L606">
        <v>333</v>
      </c>
      <c r="M606" t="s">
        <v>36</v>
      </c>
    </row>
    <row r="607" spans="1:13" x14ac:dyDescent="0.25">
      <c r="A607" t="s">
        <v>646</v>
      </c>
      <c r="B607" t="s">
        <v>14</v>
      </c>
      <c r="C607" t="s">
        <v>15</v>
      </c>
      <c r="D607" t="s">
        <v>38</v>
      </c>
      <c r="E607">
        <v>20</v>
      </c>
      <c r="F607">
        <v>96</v>
      </c>
      <c r="G607">
        <v>0.76</v>
      </c>
      <c r="H607" s="1">
        <v>46464</v>
      </c>
      <c r="I607" s="1">
        <v>46064</v>
      </c>
      <c r="J607">
        <v>15.2</v>
      </c>
      <c r="K607" t="s">
        <v>44</v>
      </c>
      <c r="L607">
        <v>345</v>
      </c>
      <c r="M607" t="s">
        <v>36</v>
      </c>
    </row>
    <row r="608" spans="1:13" x14ac:dyDescent="0.25">
      <c r="A608" t="s">
        <v>647</v>
      </c>
      <c r="B608" t="s">
        <v>14</v>
      </c>
      <c r="C608" t="s">
        <v>15</v>
      </c>
      <c r="D608" t="s">
        <v>38</v>
      </c>
      <c r="E608">
        <v>165</v>
      </c>
      <c r="F608">
        <v>72</v>
      </c>
      <c r="G608">
        <v>1.89</v>
      </c>
      <c r="H608" s="1">
        <v>46221</v>
      </c>
      <c r="I608" s="1">
        <v>45956</v>
      </c>
      <c r="J608">
        <v>311.84999999999997</v>
      </c>
      <c r="K608" t="s">
        <v>35</v>
      </c>
      <c r="L608">
        <v>102</v>
      </c>
      <c r="M608" t="s">
        <v>36</v>
      </c>
    </row>
    <row r="609" spans="1:13" x14ac:dyDescent="0.25">
      <c r="A609" t="s">
        <v>648</v>
      </c>
      <c r="B609" t="s">
        <v>27</v>
      </c>
      <c r="C609" t="s">
        <v>28</v>
      </c>
      <c r="D609" t="s">
        <v>40</v>
      </c>
      <c r="E609">
        <v>167</v>
      </c>
      <c r="F609">
        <v>46</v>
      </c>
      <c r="G609">
        <v>0.64</v>
      </c>
      <c r="H609" s="1">
        <v>46381</v>
      </c>
      <c r="I609" s="1">
        <v>45951</v>
      </c>
      <c r="J609">
        <v>106.88</v>
      </c>
      <c r="K609" t="s">
        <v>35</v>
      </c>
      <c r="L609">
        <v>262</v>
      </c>
      <c r="M609" t="s">
        <v>36</v>
      </c>
    </row>
    <row r="610" spans="1:13" x14ac:dyDescent="0.25">
      <c r="A610" t="s">
        <v>649</v>
      </c>
      <c r="B610" t="s">
        <v>12</v>
      </c>
      <c r="C610" t="s">
        <v>13</v>
      </c>
      <c r="D610" t="s">
        <v>49</v>
      </c>
      <c r="E610">
        <v>111</v>
      </c>
      <c r="F610">
        <v>34</v>
      </c>
      <c r="G610">
        <v>1.05</v>
      </c>
      <c r="H610" s="1">
        <v>46359</v>
      </c>
      <c r="I610" s="1">
        <v>46088</v>
      </c>
      <c r="J610">
        <v>116.55000000000001</v>
      </c>
      <c r="K610" t="s">
        <v>35</v>
      </c>
      <c r="L610">
        <v>240</v>
      </c>
      <c r="M610" t="s">
        <v>36</v>
      </c>
    </row>
    <row r="611" spans="1:13" x14ac:dyDescent="0.25">
      <c r="A611" t="s">
        <v>650</v>
      </c>
      <c r="B611" t="s">
        <v>26</v>
      </c>
      <c r="C611" t="s">
        <v>22</v>
      </c>
      <c r="D611" t="s">
        <v>49</v>
      </c>
      <c r="E611">
        <v>50</v>
      </c>
      <c r="F611">
        <v>37</v>
      </c>
      <c r="G611">
        <v>1</v>
      </c>
      <c r="H611" s="1">
        <v>46165</v>
      </c>
      <c r="I611" s="1">
        <v>46118</v>
      </c>
      <c r="J611">
        <v>50</v>
      </c>
      <c r="K611" t="s">
        <v>35</v>
      </c>
      <c r="L611">
        <v>46</v>
      </c>
      <c r="M611" t="s">
        <v>36</v>
      </c>
    </row>
    <row r="612" spans="1:13" x14ac:dyDescent="0.25">
      <c r="A612" t="s">
        <v>651</v>
      </c>
      <c r="B612" t="s">
        <v>26</v>
      </c>
      <c r="C612" t="s">
        <v>22</v>
      </c>
      <c r="D612" t="s">
        <v>49</v>
      </c>
      <c r="E612">
        <v>164</v>
      </c>
      <c r="F612">
        <v>22</v>
      </c>
      <c r="G612">
        <v>1.78</v>
      </c>
      <c r="H612" s="1">
        <v>46219</v>
      </c>
      <c r="I612" s="1">
        <v>45987</v>
      </c>
      <c r="J612">
        <v>291.92</v>
      </c>
      <c r="K612" t="s">
        <v>35</v>
      </c>
      <c r="L612">
        <v>100</v>
      </c>
      <c r="M612" t="s">
        <v>36</v>
      </c>
    </row>
    <row r="613" spans="1:13" x14ac:dyDescent="0.25">
      <c r="A613" t="s">
        <v>652</v>
      </c>
      <c r="B613" t="s">
        <v>21</v>
      </c>
      <c r="C613" t="s">
        <v>22</v>
      </c>
      <c r="D613" t="s">
        <v>34</v>
      </c>
      <c r="E613">
        <v>12</v>
      </c>
      <c r="F613">
        <v>29</v>
      </c>
      <c r="G613">
        <v>0.53</v>
      </c>
      <c r="H613" s="1">
        <v>46199</v>
      </c>
      <c r="I613" s="1">
        <v>45974</v>
      </c>
      <c r="J613">
        <v>6.36</v>
      </c>
      <c r="K613" t="s">
        <v>44</v>
      </c>
      <c r="L613">
        <v>80</v>
      </c>
      <c r="M613" t="s">
        <v>36</v>
      </c>
    </row>
    <row r="614" spans="1:13" x14ac:dyDescent="0.25">
      <c r="A614" t="s">
        <v>653</v>
      </c>
      <c r="B614" t="s">
        <v>26</v>
      </c>
      <c r="C614" t="s">
        <v>22</v>
      </c>
      <c r="D614" t="s">
        <v>49</v>
      </c>
      <c r="E614">
        <v>117</v>
      </c>
      <c r="F614">
        <v>47</v>
      </c>
      <c r="G614">
        <v>0.75</v>
      </c>
      <c r="H614" s="1">
        <v>46372</v>
      </c>
      <c r="I614" s="1">
        <v>46073</v>
      </c>
      <c r="J614">
        <v>87.75</v>
      </c>
      <c r="K614" t="s">
        <v>35</v>
      </c>
      <c r="L614">
        <v>253</v>
      </c>
      <c r="M614" t="s">
        <v>36</v>
      </c>
    </row>
    <row r="615" spans="1:13" x14ac:dyDescent="0.25">
      <c r="A615" t="s">
        <v>654</v>
      </c>
      <c r="B615" t="s">
        <v>16</v>
      </c>
      <c r="C615" t="s">
        <v>13</v>
      </c>
      <c r="D615" t="s">
        <v>49</v>
      </c>
      <c r="E615">
        <v>189</v>
      </c>
      <c r="F615">
        <v>93</v>
      </c>
      <c r="G615">
        <v>0.53</v>
      </c>
      <c r="H615" s="1">
        <v>46217</v>
      </c>
      <c r="I615" s="1">
        <v>46027</v>
      </c>
      <c r="J615">
        <v>100.17</v>
      </c>
      <c r="K615" t="s">
        <v>35</v>
      </c>
      <c r="L615">
        <v>98</v>
      </c>
      <c r="M615" t="s">
        <v>36</v>
      </c>
    </row>
    <row r="616" spans="1:13" x14ac:dyDescent="0.25">
      <c r="A616" t="s">
        <v>655</v>
      </c>
      <c r="B616" t="s">
        <v>17</v>
      </c>
      <c r="C616" t="s">
        <v>18</v>
      </c>
      <c r="D616" t="s">
        <v>34</v>
      </c>
      <c r="E616">
        <v>80</v>
      </c>
      <c r="F616">
        <v>95</v>
      </c>
      <c r="G616">
        <v>1.2</v>
      </c>
      <c r="H616" s="1">
        <v>46310</v>
      </c>
      <c r="I616" s="1">
        <v>46097</v>
      </c>
      <c r="J616">
        <v>96</v>
      </c>
      <c r="K616" t="s">
        <v>44</v>
      </c>
      <c r="L616">
        <v>191</v>
      </c>
      <c r="M616" t="s">
        <v>36</v>
      </c>
    </row>
    <row r="617" spans="1:13" x14ac:dyDescent="0.25">
      <c r="A617" t="s">
        <v>656</v>
      </c>
      <c r="B617" t="s">
        <v>23</v>
      </c>
      <c r="C617" t="s">
        <v>24</v>
      </c>
      <c r="D617" t="s">
        <v>49</v>
      </c>
      <c r="E617">
        <v>92</v>
      </c>
      <c r="F617">
        <v>25</v>
      </c>
      <c r="G617">
        <v>0.61</v>
      </c>
      <c r="H617" s="1">
        <v>46274</v>
      </c>
      <c r="I617" s="1">
        <v>46050</v>
      </c>
      <c r="J617">
        <v>56.12</v>
      </c>
      <c r="K617" t="s">
        <v>35</v>
      </c>
      <c r="L617">
        <v>155</v>
      </c>
      <c r="M617" t="s">
        <v>36</v>
      </c>
    </row>
    <row r="618" spans="1:13" x14ac:dyDescent="0.25">
      <c r="A618" t="s">
        <v>657</v>
      </c>
      <c r="B618" t="s">
        <v>26</v>
      </c>
      <c r="C618" t="s">
        <v>22</v>
      </c>
      <c r="D618" t="s">
        <v>40</v>
      </c>
      <c r="E618">
        <v>43</v>
      </c>
      <c r="F618">
        <v>43</v>
      </c>
      <c r="G618">
        <v>1.78</v>
      </c>
      <c r="H618" s="1">
        <v>46259</v>
      </c>
      <c r="I618" s="1">
        <v>46033</v>
      </c>
      <c r="J618">
        <v>76.540000000000006</v>
      </c>
      <c r="K618" t="s">
        <v>35</v>
      </c>
      <c r="L618">
        <v>140</v>
      </c>
      <c r="M618" t="s">
        <v>36</v>
      </c>
    </row>
    <row r="619" spans="1:13" x14ac:dyDescent="0.25">
      <c r="A619" t="s">
        <v>658</v>
      </c>
      <c r="B619" t="s">
        <v>16</v>
      </c>
      <c r="C619" t="s">
        <v>13</v>
      </c>
      <c r="D619" t="s">
        <v>38</v>
      </c>
      <c r="E619">
        <v>140</v>
      </c>
      <c r="F619">
        <v>63</v>
      </c>
      <c r="G619">
        <v>1.82</v>
      </c>
      <c r="H619" s="1">
        <v>46335</v>
      </c>
      <c r="I619" s="1">
        <v>45987</v>
      </c>
      <c r="J619">
        <v>254.8</v>
      </c>
      <c r="K619" t="s">
        <v>35</v>
      </c>
      <c r="L619">
        <v>216</v>
      </c>
      <c r="M619" t="s">
        <v>36</v>
      </c>
    </row>
    <row r="620" spans="1:13" x14ac:dyDescent="0.25">
      <c r="A620" t="s">
        <v>659</v>
      </c>
      <c r="B620" t="s">
        <v>23</v>
      </c>
      <c r="C620" t="s">
        <v>24</v>
      </c>
      <c r="D620" t="s">
        <v>40</v>
      </c>
      <c r="E620">
        <v>166</v>
      </c>
      <c r="F620">
        <v>49</v>
      </c>
      <c r="G620">
        <v>1.69</v>
      </c>
      <c r="H620" s="1">
        <v>46343</v>
      </c>
      <c r="I620" s="1">
        <v>46081</v>
      </c>
      <c r="J620">
        <v>280.53999999999996</v>
      </c>
      <c r="K620" t="s">
        <v>35</v>
      </c>
      <c r="L620">
        <v>224</v>
      </c>
      <c r="M620" t="s">
        <v>36</v>
      </c>
    </row>
    <row r="621" spans="1:13" x14ac:dyDescent="0.25">
      <c r="A621" t="s">
        <v>660</v>
      </c>
      <c r="B621" t="s">
        <v>25</v>
      </c>
      <c r="C621" t="s">
        <v>15</v>
      </c>
      <c r="D621" t="s">
        <v>38</v>
      </c>
      <c r="E621">
        <v>141</v>
      </c>
      <c r="F621">
        <v>94</v>
      </c>
      <c r="G621">
        <v>1.41</v>
      </c>
      <c r="H621" s="1">
        <v>46344</v>
      </c>
      <c r="I621" s="1">
        <v>45972</v>
      </c>
      <c r="J621">
        <v>198.81</v>
      </c>
      <c r="K621" t="s">
        <v>35</v>
      </c>
      <c r="L621">
        <v>225</v>
      </c>
      <c r="M621" t="s">
        <v>36</v>
      </c>
    </row>
    <row r="622" spans="1:13" x14ac:dyDescent="0.25">
      <c r="A622" t="s">
        <v>661</v>
      </c>
      <c r="B622" t="s">
        <v>12</v>
      </c>
      <c r="C622" t="s">
        <v>13</v>
      </c>
      <c r="D622" t="s">
        <v>49</v>
      </c>
      <c r="E622">
        <v>198</v>
      </c>
      <c r="F622">
        <v>92</v>
      </c>
      <c r="G622">
        <v>0.83</v>
      </c>
      <c r="H622" s="1">
        <v>46399</v>
      </c>
      <c r="I622" s="1">
        <v>46008</v>
      </c>
      <c r="J622">
        <v>164.34</v>
      </c>
      <c r="K622" t="s">
        <v>35</v>
      </c>
      <c r="L622">
        <v>280</v>
      </c>
      <c r="M622" t="s">
        <v>36</v>
      </c>
    </row>
    <row r="623" spans="1:13" x14ac:dyDescent="0.25">
      <c r="A623" t="s">
        <v>662</v>
      </c>
      <c r="B623" t="s">
        <v>21</v>
      </c>
      <c r="C623" t="s">
        <v>22</v>
      </c>
      <c r="D623" t="s">
        <v>49</v>
      </c>
      <c r="E623">
        <v>136</v>
      </c>
      <c r="F623">
        <v>41</v>
      </c>
      <c r="G623">
        <v>1.1499999999999999</v>
      </c>
      <c r="H623" s="1">
        <v>46325</v>
      </c>
      <c r="I623" s="1">
        <v>46006</v>
      </c>
      <c r="J623">
        <v>156.39999999999998</v>
      </c>
      <c r="K623" t="s">
        <v>35</v>
      </c>
      <c r="L623">
        <v>206</v>
      </c>
      <c r="M623" t="s">
        <v>36</v>
      </c>
    </row>
    <row r="624" spans="1:13" x14ac:dyDescent="0.25">
      <c r="A624" t="s">
        <v>663</v>
      </c>
      <c r="B624" t="s">
        <v>14</v>
      </c>
      <c r="C624" t="s">
        <v>15</v>
      </c>
      <c r="D624" t="s">
        <v>38</v>
      </c>
      <c r="E624">
        <v>164</v>
      </c>
      <c r="F624">
        <v>21</v>
      </c>
      <c r="G624">
        <v>0.51</v>
      </c>
      <c r="H624" s="1">
        <v>46395</v>
      </c>
      <c r="I624" s="1">
        <v>45984</v>
      </c>
      <c r="J624">
        <v>83.64</v>
      </c>
      <c r="K624" t="s">
        <v>35</v>
      </c>
      <c r="L624">
        <v>276</v>
      </c>
      <c r="M624" t="s">
        <v>36</v>
      </c>
    </row>
    <row r="625" spans="1:13" x14ac:dyDescent="0.25">
      <c r="A625" t="s">
        <v>664</v>
      </c>
      <c r="B625" t="s">
        <v>27</v>
      </c>
      <c r="C625" t="s">
        <v>28</v>
      </c>
      <c r="D625" t="s">
        <v>34</v>
      </c>
      <c r="E625">
        <v>47</v>
      </c>
      <c r="F625">
        <v>48</v>
      </c>
      <c r="G625">
        <v>1.1599999999999999</v>
      </c>
      <c r="H625" s="1">
        <v>46383</v>
      </c>
      <c r="I625" s="1">
        <v>45951</v>
      </c>
      <c r="J625">
        <v>54.519999999999996</v>
      </c>
      <c r="K625" t="s">
        <v>44</v>
      </c>
      <c r="L625">
        <v>264</v>
      </c>
      <c r="M625" t="s">
        <v>36</v>
      </c>
    </row>
    <row r="626" spans="1:13" x14ac:dyDescent="0.25">
      <c r="A626" t="s">
        <v>665</v>
      </c>
      <c r="B626" t="s">
        <v>17</v>
      </c>
      <c r="C626" t="s">
        <v>18</v>
      </c>
      <c r="D626" t="s">
        <v>49</v>
      </c>
      <c r="E626">
        <v>191</v>
      </c>
      <c r="F626">
        <v>36</v>
      </c>
      <c r="G626">
        <v>1.34</v>
      </c>
      <c r="H626" s="1">
        <v>46458</v>
      </c>
      <c r="I626" s="1">
        <v>45975</v>
      </c>
      <c r="J626">
        <v>255.94000000000003</v>
      </c>
      <c r="K626" t="s">
        <v>35</v>
      </c>
      <c r="L626">
        <v>339</v>
      </c>
      <c r="M626" t="s">
        <v>36</v>
      </c>
    </row>
    <row r="627" spans="1:13" x14ac:dyDescent="0.25">
      <c r="A627" t="s">
        <v>666</v>
      </c>
      <c r="B627" t="s">
        <v>25</v>
      </c>
      <c r="C627" t="s">
        <v>15</v>
      </c>
      <c r="D627" t="s">
        <v>38</v>
      </c>
      <c r="E627">
        <v>80</v>
      </c>
      <c r="F627">
        <v>68</v>
      </c>
      <c r="G627">
        <v>1.83</v>
      </c>
      <c r="H627" s="1">
        <v>46215</v>
      </c>
      <c r="I627" s="1">
        <v>46064</v>
      </c>
      <c r="J627">
        <v>146.4</v>
      </c>
      <c r="K627" t="s">
        <v>35</v>
      </c>
      <c r="L627">
        <v>96</v>
      </c>
      <c r="M627" t="s">
        <v>36</v>
      </c>
    </row>
    <row r="628" spans="1:13" x14ac:dyDescent="0.25">
      <c r="A628" t="s">
        <v>667</v>
      </c>
      <c r="B628" t="s">
        <v>25</v>
      </c>
      <c r="C628" t="s">
        <v>15</v>
      </c>
      <c r="D628" t="s">
        <v>34</v>
      </c>
      <c r="E628">
        <v>98</v>
      </c>
      <c r="F628">
        <v>38</v>
      </c>
      <c r="G628">
        <v>0.95</v>
      </c>
      <c r="H628" s="1">
        <v>46302</v>
      </c>
      <c r="I628" s="1">
        <v>46042</v>
      </c>
      <c r="J628">
        <v>93.1</v>
      </c>
      <c r="K628" t="s">
        <v>35</v>
      </c>
      <c r="L628">
        <v>183</v>
      </c>
      <c r="M628" t="s">
        <v>36</v>
      </c>
    </row>
    <row r="629" spans="1:13" x14ac:dyDescent="0.25">
      <c r="A629" t="s">
        <v>668</v>
      </c>
      <c r="B629" t="s">
        <v>26</v>
      </c>
      <c r="C629" t="s">
        <v>22</v>
      </c>
      <c r="D629" t="s">
        <v>49</v>
      </c>
      <c r="E629">
        <v>173</v>
      </c>
      <c r="F629">
        <v>34</v>
      </c>
      <c r="G629">
        <v>1.45</v>
      </c>
      <c r="H629" s="1">
        <v>46167</v>
      </c>
      <c r="I629" s="1">
        <v>45988</v>
      </c>
      <c r="J629">
        <v>250.85</v>
      </c>
      <c r="K629" t="s">
        <v>35</v>
      </c>
      <c r="L629">
        <v>48</v>
      </c>
      <c r="M629" t="s">
        <v>36</v>
      </c>
    </row>
    <row r="630" spans="1:13" x14ac:dyDescent="0.25">
      <c r="A630" t="s">
        <v>669</v>
      </c>
      <c r="B630" t="s">
        <v>27</v>
      </c>
      <c r="C630" t="s">
        <v>28</v>
      </c>
      <c r="D630" t="s">
        <v>38</v>
      </c>
      <c r="E630">
        <v>194</v>
      </c>
      <c r="F630">
        <v>99</v>
      </c>
      <c r="G630">
        <v>0.72</v>
      </c>
      <c r="H630" s="1">
        <v>46250</v>
      </c>
      <c r="I630" s="1">
        <v>46075</v>
      </c>
      <c r="J630">
        <v>139.68</v>
      </c>
      <c r="K630" t="s">
        <v>35</v>
      </c>
      <c r="L630">
        <v>131</v>
      </c>
      <c r="M630" t="s">
        <v>36</v>
      </c>
    </row>
    <row r="631" spans="1:13" x14ac:dyDescent="0.25">
      <c r="A631" t="s">
        <v>670</v>
      </c>
      <c r="B631" t="s">
        <v>16</v>
      </c>
      <c r="C631" t="s">
        <v>13</v>
      </c>
      <c r="D631" t="s">
        <v>40</v>
      </c>
      <c r="E631">
        <v>189</v>
      </c>
      <c r="F631">
        <v>78</v>
      </c>
      <c r="G631">
        <v>0.56000000000000005</v>
      </c>
      <c r="H631" s="1">
        <v>46283</v>
      </c>
      <c r="I631" s="1">
        <v>46044</v>
      </c>
      <c r="J631">
        <v>105.84</v>
      </c>
      <c r="K631" t="s">
        <v>35</v>
      </c>
      <c r="L631">
        <v>164</v>
      </c>
      <c r="M631" t="s">
        <v>36</v>
      </c>
    </row>
    <row r="632" spans="1:13" x14ac:dyDescent="0.25">
      <c r="A632" t="s">
        <v>671</v>
      </c>
      <c r="B632" t="s">
        <v>23</v>
      </c>
      <c r="C632" t="s">
        <v>24</v>
      </c>
      <c r="D632" t="s">
        <v>34</v>
      </c>
      <c r="E632">
        <v>125</v>
      </c>
      <c r="F632">
        <v>33</v>
      </c>
      <c r="G632">
        <v>1.29</v>
      </c>
      <c r="H632" s="1">
        <v>46326</v>
      </c>
      <c r="I632" s="1">
        <v>45975</v>
      </c>
      <c r="J632">
        <v>161.25</v>
      </c>
      <c r="K632" t="s">
        <v>35</v>
      </c>
      <c r="L632">
        <v>207</v>
      </c>
      <c r="M632" t="s">
        <v>36</v>
      </c>
    </row>
    <row r="633" spans="1:13" x14ac:dyDescent="0.25">
      <c r="A633" t="s">
        <v>672</v>
      </c>
      <c r="B633" t="s">
        <v>16</v>
      </c>
      <c r="C633" t="s">
        <v>13</v>
      </c>
      <c r="D633" t="s">
        <v>40</v>
      </c>
      <c r="E633">
        <v>87</v>
      </c>
      <c r="F633">
        <v>23</v>
      </c>
      <c r="G633">
        <v>1.5</v>
      </c>
      <c r="H633" s="1">
        <v>46243</v>
      </c>
      <c r="I633" s="1">
        <v>45966</v>
      </c>
      <c r="J633">
        <v>130.5</v>
      </c>
      <c r="K633" t="s">
        <v>35</v>
      </c>
      <c r="L633">
        <v>124</v>
      </c>
      <c r="M633" t="s">
        <v>36</v>
      </c>
    </row>
    <row r="634" spans="1:13" x14ac:dyDescent="0.25">
      <c r="A634" t="s">
        <v>673</v>
      </c>
      <c r="B634" t="s">
        <v>26</v>
      </c>
      <c r="C634" t="s">
        <v>22</v>
      </c>
      <c r="D634" t="s">
        <v>34</v>
      </c>
      <c r="E634">
        <v>179</v>
      </c>
      <c r="F634">
        <v>84</v>
      </c>
      <c r="G634">
        <v>1.25</v>
      </c>
      <c r="H634" s="1">
        <v>46216</v>
      </c>
      <c r="I634" s="1">
        <v>45997</v>
      </c>
      <c r="J634">
        <v>223.75</v>
      </c>
      <c r="K634" t="s">
        <v>35</v>
      </c>
      <c r="L634">
        <v>97</v>
      </c>
      <c r="M634" t="s">
        <v>36</v>
      </c>
    </row>
    <row r="635" spans="1:13" x14ac:dyDescent="0.25">
      <c r="A635" t="s">
        <v>674</v>
      </c>
      <c r="B635" t="s">
        <v>16</v>
      </c>
      <c r="C635" t="s">
        <v>13</v>
      </c>
      <c r="D635" t="s">
        <v>49</v>
      </c>
      <c r="E635">
        <v>113</v>
      </c>
      <c r="F635">
        <v>57</v>
      </c>
      <c r="G635">
        <v>1.89</v>
      </c>
      <c r="H635" s="1">
        <v>46282</v>
      </c>
      <c r="I635" s="1">
        <v>45994</v>
      </c>
      <c r="J635">
        <v>213.57</v>
      </c>
      <c r="K635" t="s">
        <v>35</v>
      </c>
      <c r="L635">
        <v>163</v>
      </c>
      <c r="M635" t="s">
        <v>36</v>
      </c>
    </row>
    <row r="636" spans="1:13" x14ac:dyDescent="0.25">
      <c r="A636" t="s">
        <v>675</v>
      </c>
      <c r="B636" t="s">
        <v>23</v>
      </c>
      <c r="C636" t="s">
        <v>24</v>
      </c>
      <c r="D636" t="s">
        <v>34</v>
      </c>
      <c r="E636">
        <v>196</v>
      </c>
      <c r="F636">
        <v>79</v>
      </c>
      <c r="G636">
        <v>1.1200000000000001</v>
      </c>
      <c r="H636" s="1">
        <v>46360</v>
      </c>
      <c r="I636" s="1">
        <v>46092</v>
      </c>
      <c r="J636">
        <v>219.52</v>
      </c>
      <c r="K636" t="s">
        <v>35</v>
      </c>
      <c r="L636">
        <v>241</v>
      </c>
      <c r="M636" t="s">
        <v>36</v>
      </c>
    </row>
    <row r="637" spans="1:13" x14ac:dyDescent="0.25">
      <c r="A637" t="s">
        <v>676</v>
      </c>
      <c r="B637" t="s">
        <v>19</v>
      </c>
      <c r="C637" t="s">
        <v>20</v>
      </c>
      <c r="D637" t="s">
        <v>49</v>
      </c>
      <c r="E637">
        <v>123</v>
      </c>
      <c r="F637">
        <v>52</v>
      </c>
      <c r="G637">
        <v>0.77</v>
      </c>
      <c r="H637" s="1">
        <v>46286</v>
      </c>
      <c r="I637" s="1">
        <v>46006</v>
      </c>
      <c r="J637">
        <v>94.710000000000008</v>
      </c>
      <c r="K637" t="s">
        <v>35</v>
      </c>
      <c r="L637">
        <v>167</v>
      </c>
      <c r="M637" t="s">
        <v>36</v>
      </c>
    </row>
    <row r="638" spans="1:13" x14ac:dyDescent="0.25">
      <c r="A638" t="s">
        <v>677</v>
      </c>
      <c r="B638" t="s">
        <v>21</v>
      </c>
      <c r="C638" t="s">
        <v>22</v>
      </c>
      <c r="D638" t="s">
        <v>40</v>
      </c>
      <c r="E638">
        <v>149</v>
      </c>
      <c r="F638">
        <v>40</v>
      </c>
      <c r="G638">
        <v>1.55</v>
      </c>
      <c r="H638" s="1">
        <v>46305</v>
      </c>
      <c r="I638" s="1">
        <v>45989</v>
      </c>
      <c r="J638">
        <v>230.95000000000002</v>
      </c>
      <c r="K638" t="s">
        <v>35</v>
      </c>
      <c r="L638">
        <v>186</v>
      </c>
      <c r="M638" t="s">
        <v>36</v>
      </c>
    </row>
    <row r="639" spans="1:13" x14ac:dyDescent="0.25">
      <c r="A639" t="s">
        <v>678</v>
      </c>
      <c r="B639" t="s">
        <v>17</v>
      </c>
      <c r="C639" t="s">
        <v>18</v>
      </c>
      <c r="D639" t="s">
        <v>40</v>
      </c>
      <c r="E639">
        <v>91</v>
      </c>
      <c r="F639">
        <v>83</v>
      </c>
      <c r="G639">
        <v>1.79</v>
      </c>
      <c r="H639" s="1">
        <v>46352</v>
      </c>
      <c r="I639" s="1">
        <v>46065</v>
      </c>
      <c r="J639">
        <v>162.89000000000001</v>
      </c>
      <c r="K639" t="s">
        <v>35</v>
      </c>
      <c r="L639">
        <v>233</v>
      </c>
      <c r="M639" t="s">
        <v>36</v>
      </c>
    </row>
    <row r="640" spans="1:13" x14ac:dyDescent="0.25">
      <c r="A640" t="s">
        <v>679</v>
      </c>
      <c r="B640" t="s">
        <v>23</v>
      </c>
      <c r="C640" t="s">
        <v>24</v>
      </c>
      <c r="D640" t="s">
        <v>34</v>
      </c>
      <c r="E640">
        <v>121</v>
      </c>
      <c r="F640">
        <v>69</v>
      </c>
      <c r="G640">
        <v>1.37</v>
      </c>
      <c r="H640" s="1">
        <v>46251</v>
      </c>
      <c r="I640" s="1">
        <v>45958</v>
      </c>
      <c r="J640">
        <v>165.77</v>
      </c>
      <c r="K640" t="s">
        <v>35</v>
      </c>
      <c r="L640">
        <v>132</v>
      </c>
      <c r="M640" t="s">
        <v>36</v>
      </c>
    </row>
    <row r="641" spans="1:13" x14ac:dyDescent="0.25">
      <c r="A641" t="s">
        <v>680</v>
      </c>
      <c r="B641" t="s">
        <v>23</v>
      </c>
      <c r="C641" t="s">
        <v>24</v>
      </c>
      <c r="D641" t="s">
        <v>38</v>
      </c>
      <c r="E641">
        <v>132</v>
      </c>
      <c r="F641">
        <v>85</v>
      </c>
      <c r="G641">
        <v>1.96</v>
      </c>
      <c r="H641" s="1">
        <v>46296</v>
      </c>
      <c r="I641" s="1">
        <v>46004</v>
      </c>
      <c r="J641">
        <v>258.71999999999997</v>
      </c>
      <c r="K641" t="s">
        <v>35</v>
      </c>
      <c r="L641">
        <v>177</v>
      </c>
      <c r="M641" t="s">
        <v>36</v>
      </c>
    </row>
    <row r="642" spans="1:13" x14ac:dyDescent="0.25">
      <c r="A642" t="s">
        <v>681</v>
      </c>
      <c r="B642" t="s">
        <v>14</v>
      </c>
      <c r="C642" t="s">
        <v>15</v>
      </c>
      <c r="D642" t="s">
        <v>49</v>
      </c>
      <c r="E642">
        <v>38</v>
      </c>
      <c r="F642">
        <v>52</v>
      </c>
      <c r="G642">
        <v>1.06</v>
      </c>
      <c r="H642" s="1">
        <v>46414</v>
      </c>
      <c r="I642" s="1">
        <v>46096</v>
      </c>
      <c r="J642">
        <v>40.28</v>
      </c>
      <c r="K642" t="s">
        <v>44</v>
      </c>
      <c r="L642">
        <v>295</v>
      </c>
      <c r="M642" t="s">
        <v>36</v>
      </c>
    </row>
    <row r="643" spans="1:13" x14ac:dyDescent="0.25">
      <c r="A643" t="s">
        <v>682</v>
      </c>
      <c r="B643" t="s">
        <v>16</v>
      </c>
      <c r="C643" t="s">
        <v>13</v>
      </c>
      <c r="D643" t="s">
        <v>49</v>
      </c>
      <c r="E643">
        <v>116</v>
      </c>
      <c r="F643">
        <v>71</v>
      </c>
      <c r="G643">
        <v>1.22</v>
      </c>
      <c r="H643" s="1">
        <v>46406</v>
      </c>
      <c r="I643" s="1">
        <v>46046</v>
      </c>
      <c r="J643">
        <v>141.52000000000001</v>
      </c>
      <c r="K643" t="s">
        <v>35</v>
      </c>
      <c r="L643">
        <v>287</v>
      </c>
      <c r="M643" t="s">
        <v>36</v>
      </c>
    </row>
    <row r="644" spans="1:13" x14ac:dyDescent="0.25">
      <c r="A644" t="s">
        <v>683</v>
      </c>
      <c r="B644" t="s">
        <v>14</v>
      </c>
      <c r="C644" t="s">
        <v>15</v>
      </c>
      <c r="D644" t="s">
        <v>38</v>
      </c>
      <c r="E644">
        <v>26</v>
      </c>
      <c r="F644">
        <v>85</v>
      </c>
      <c r="G644">
        <v>0.87</v>
      </c>
      <c r="H644" s="1">
        <v>46270</v>
      </c>
      <c r="I644" s="1">
        <v>46061</v>
      </c>
      <c r="J644">
        <v>22.62</v>
      </c>
      <c r="K644" t="s">
        <v>44</v>
      </c>
      <c r="L644">
        <v>151</v>
      </c>
      <c r="M644" t="s">
        <v>36</v>
      </c>
    </row>
    <row r="645" spans="1:13" x14ac:dyDescent="0.25">
      <c r="A645" t="s">
        <v>684</v>
      </c>
      <c r="B645" t="s">
        <v>16</v>
      </c>
      <c r="C645" t="s">
        <v>13</v>
      </c>
      <c r="D645" t="s">
        <v>34</v>
      </c>
      <c r="E645">
        <v>48</v>
      </c>
      <c r="F645">
        <v>64</v>
      </c>
      <c r="G645">
        <v>1.47</v>
      </c>
      <c r="H645" s="1">
        <v>46308</v>
      </c>
      <c r="I645" s="1">
        <v>46117</v>
      </c>
      <c r="J645">
        <v>70.56</v>
      </c>
      <c r="K645" t="s">
        <v>44</v>
      </c>
      <c r="L645">
        <v>189</v>
      </c>
      <c r="M645" t="s">
        <v>36</v>
      </c>
    </row>
    <row r="646" spans="1:13" x14ac:dyDescent="0.25">
      <c r="A646" t="s">
        <v>685</v>
      </c>
      <c r="B646" t="s">
        <v>25</v>
      </c>
      <c r="C646" t="s">
        <v>15</v>
      </c>
      <c r="D646" t="s">
        <v>38</v>
      </c>
      <c r="E646">
        <v>76</v>
      </c>
      <c r="F646">
        <v>50</v>
      </c>
      <c r="G646">
        <v>1.71</v>
      </c>
      <c r="H646" s="1">
        <v>46205</v>
      </c>
      <c r="I646" s="1">
        <v>45985</v>
      </c>
      <c r="J646">
        <v>129.96</v>
      </c>
      <c r="K646" t="s">
        <v>35</v>
      </c>
      <c r="L646">
        <v>86</v>
      </c>
      <c r="M646" t="s">
        <v>36</v>
      </c>
    </row>
    <row r="647" spans="1:13" x14ac:dyDescent="0.25">
      <c r="A647" t="s">
        <v>686</v>
      </c>
      <c r="B647" t="s">
        <v>25</v>
      </c>
      <c r="C647" t="s">
        <v>15</v>
      </c>
      <c r="D647" t="s">
        <v>34</v>
      </c>
      <c r="E647">
        <v>126</v>
      </c>
      <c r="F647">
        <v>96</v>
      </c>
      <c r="G647">
        <v>1.36</v>
      </c>
      <c r="H647" s="1">
        <v>46186</v>
      </c>
      <c r="I647" s="1">
        <v>46018</v>
      </c>
      <c r="J647">
        <v>171.36</v>
      </c>
      <c r="K647" t="s">
        <v>35</v>
      </c>
      <c r="L647">
        <v>67</v>
      </c>
      <c r="M647" t="s">
        <v>36</v>
      </c>
    </row>
    <row r="648" spans="1:13" x14ac:dyDescent="0.25">
      <c r="A648" t="s">
        <v>687</v>
      </c>
      <c r="B648" t="s">
        <v>25</v>
      </c>
      <c r="C648" t="s">
        <v>15</v>
      </c>
      <c r="D648" t="s">
        <v>34</v>
      </c>
      <c r="E648">
        <v>122</v>
      </c>
      <c r="F648">
        <v>87</v>
      </c>
      <c r="G648">
        <v>1.21</v>
      </c>
      <c r="H648" s="1">
        <v>46354</v>
      </c>
      <c r="I648" s="1">
        <v>45942</v>
      </c>
      <c r="J648">
        <v>147.62</v>
      </c>
      <c r="K648" t="s">
        <v>35</v>
      </c>
      <c r="L648">
        <v>235</v>
      </c>
      <c r="M648" t="s">
        <v>36</v>
      </c>
    </row>
    <row r="649" spans="1:13" x14ac:dyDescent="0.25">
      <c r="A649" t="s">
        <v>688</v>
      </c>
      <c r="B649" t="s">
        <v>23</v>
      </c>
      <c r="C649" t="s">
        <v>24</v>
      </c>
      <c r="D649" t="s">
        <v>49</v>
      </c>
      <c r="E649">
        <v>200</v>
      </c>
      <c r="F649">
        <v>25</v>
      </c>
      <c r="G649">
        <v>1.61</v>
      </c>
      <c r="H649" s="1">
        <v>46190</v>
      </c>
      <c r="I649" s="1">
        <v>46102</v>
      </c>
      <c r="J649">
        <v>322</v>
      </c>
      <c r="K649" t="s">
        <v>35</v>
      </c>
      <c r="L649">
        <v>71</v>
      </c>
      <c r="M649" t="s">
        <v>36</v>
      </c>
    </row>
    <row r="650" spans="1:13" x14ac:dyDescent="0.25">
      <c r="A650" t="s">
        <v>689</v>
      </c>
      <c r="B650" t="s">
        <v>27</v>
      </c>
      <c r="C650" t="s">
        <v>28</v>
      </c>
      <c r="D650" t="s">
        <v>38</v>
      </c>
      <c r="E650">
        <v>162</v>
      </c>
      <c r="F650">
        <v>33</v>
      </c>
      <c r="G650">
        <v>1.1599999999999999</v>
      </c>
      <c r="H650" s="1">
        <v>46164</v>
      </c>
      <c r="I650" s="1">
        <v>46030</v>
      </c>
      <c r="J650">
        <v>187.92</v>
      </c>
      <c r="K650" t="s">
        <v>35</v>
      </c>
      <c r="L650">
        <v>45</v>
      </c>
      <c r="M650" t="s">
        <v>36</v>
      </c>
    </row>
    <row r="651" spans="1:13" x14ac:dyDescent="0.25">
      <c r="A651" t="s">
        <v>690</v>
      </c>
      <c r="B651" t="s">
        <v>14</v>
      </c>
      <c r="C651" t="s">
        <v>15</v>
      </c>
      <c r="D651" t="s">
        <v>40</v>
      </c>
      <c r="E651">
        <v>132</v>
      </c>
      <c r="F651">
        <v>22</v>
      </c>
      <c r="G651">
        <v>1.06</v>
      </c>
      <c r="H651" s="1">
        <v>46372</v>
      </c>
      <c r="I651" s="1">
        <v>45989</v>
      </c>
      <c r="J651">
        <v>139.92000000000002</v>
      </c>
      <c r="K651" t="s">
        <v>35</v>
      </c>
      <c r="L651">
        <v>253</v>
      </c>
      <c r="M651" t="s">
        <v>36</v>
      </c>
    </row>
    <row r="652" spans="1:13" x14ac:dyDescent="0.25">
      <c r="A652" t="s">
        <v>691</v>
      </c>
      <c r="B652" t="s">
        <v>23</v>
      </c>
      <c r="C652" t="s">
        <v>24</v>
      </c>
      <c r="D652" t="s">
        <v>49</v>
      </c>
      <c r="E652">
        <v>166</v>
      </c>
      <c r="F652">
        <v>61</v>
      </c>
      <c r="G652">
        <v>1.48</v>
      </c>
      <c r="H652" s="1">
        <v>46356</v>
      </c>
      <c r="I652" s="1">
        <v>46032</v>
      </c>
      <c r="J652">
        <v>245.68</v>
      </c>
      <c r="K652" t="s">
        <v>35</v>
      </c>
      <c r="L652">
        <v>237</v>
      </c>
      <c r="M652" t="s">
        <v>36</v>
      </c>
    </row>
    <row r="653" spans="1:13" x14ac:dyDescent="0.25">
      <c r="A653" t="s">
        <v>692</v>
      </c>
      <c r="B653" t="s">
        <v>21</v>
      </c>
      <c r="C653" t="s">
        <v>22</v>
      </c>
      <c r="D653" t="s">
        <v>38</v>
      </c>
      <c r="E653">
        <v>70</v>
      </c>
      <c r="F653">
        <v>93</v>
      </c>
      <c r="G653">
        <v>0.56999999999999995</v>
      </c>
      <c r="H653" s="1">
        <v>46479</v>
      </c>
      <c r="I653" s="1">
        <v>46000</v>
      </c>
      <c r="J653">
        <v>39.9</v>
      </c>
      <c r="K653" t="s">
        <v>44</v>
      </c>
      <c r="L653">
        <v>360</v>
      </c>
      <c r="M653" t="s">
        <v>36</v>
      </c>
    </row>
    <row r="654" spans="1:13" x14ac:dyDescent="0.25">
      <c r="A654" t="s">
        <v>693</v>
      </c>
      <c r="B654" t="s">
        <v>12</v>
      </c>
      <c r="C654" t="s">
        <v>13</v>
      </c>
      <c r="D654" t="s">
        <v>34</v>
      </c>
      <c r="E654">
        <v>149</v>
      </c>
      <c r="F654">
        <v>36</v>
      </c>
      <c r="G654">
        <v>1.8</v>
      </c>
      <c r="H654" s="1">
        <v>46218</v>
      </c>
      <c r="I654" s="1">
        <v>45943</v>
      </c>
      <c r="J654">
        <v>268.2</v>
      </c>
      <c r="K654" t="s">
        <v>35</v>
      </c>
      <c r="L654">
        <v>99</v>
      </c>
      <c r="M654" t="s">
        <v>36</v>
      </c>
    </row>
    <row r="655" spans="1:13" x14ac:dyDescent="0.25">
      <c r="A655" t="s">
        <v>694</v>
      </c>
      <c r="B655" t="s">
        <v>23</v>
      </c>
      <c r="C655" t="s">
        <v>24</v>
      </c>
      <c r="D655" t="s">
        <v>38</v>
      </c>
      <c r="E655">
        <v>41</v>
      </c>
      <c r="F655">
        <v>81</v>
      </c>
      <c r="G655">
        <v>1.37</v>
      </c>
      <c r="H655" s="1">
        <v>46166</v>
      </c>
      <c r="I655" s="1">
        <v>45984</v>
      </c>
      <c r="J655">
        <v>56.17</v>
      </c>
      <c r="K655" t="s">
        <v>44</v>
      </c>
      <c r="L655">
        <v>47</v>
      </c>
      <c r="M655" t="s">
        <v>36</v>
      </c>
    </row>
    <row r="656" spans="1:13" x14ac:dyDescent="0.25">
      <c r="A656" t="s">
        <v>695</v>
      </c>
      <c r="B656" t="s">
        <v>14</v>
      </c>
      <c r="C656" t="s">
        <v>15</v>
      </c>
      <c r="D656" t="s">
        <v>49</v>
      </c>
      <c r="E656">
        <v>187</v>
      </c>
      <c r="F656">
        <v>39</v>
      </c>
      <c r="G656">
        <v>0.77</v>
      </c>
      <c r="H656" s="1">
        <v>46264</v>
      </c>
      <c r="I656" s="1">
        <v>45988</v>
      </c>
      <c r="J656">
        <v>143.99</v>
      </c>
      <c r="K656" t="s">
        <v>35</v>
      </c>
      <c r="L656">
        <v>145</v>
      </c>
      <c r="M656" t="s">
        <v>36</v>
      </c>
    </row>
    <row r="657" spans="1:13" x14ac:dyDescent="0.25">
      <c r="A657" t="s">
        <v>696</v>
      </c>
      <c r="B657" t="s">
        <v>17</v>
      </c>
      <c r="C657" t="s">
        <v>18</v>
      </c>
      <c r="D657" t="s">
        <v>49</v>
      </c>
      <c r="E657">
        <v>100</v>
      </c>
      <c r="F657">
        <v>54</v>
      </c>
      <c r="G657">
        <v>1.08</v>
      </c>
      <c r="H657" s="1">
        <v>46161</v>
      </c>
      <c r="I657" s="1">
        <v>46090</v>
      </c>
      <c r="J657">
        <v>108</v>
      </c>
      <c r="K657" t="s">
        <v>35</v>
      </c>
      <c r="L657">
        <v>42</v>
      </c>
      <c r="M657" t="s">
        <v>36</v>
      </c>
    </row>
    <row r="658" spans="1:13" x14ac:dyDescent="0.25">
      <c r="A658" t="s">
        <v>697</v>
      </c>
      <c r="B658" t="s">
        <v>27</v>
      </c>
      <c r="C658" t="s">
        <v>28</v>
      </c>
      <c r="D658" t="s">
        <v>38</v>
      </c>
      <c r="E658">
        <v>0</v>
      </c>
      <c r="F658">
        <v>83</v>
      </c>
      <c r="G658">
        <v>1.61</v>
      </c>
      <c r="H658" s="1">
        <v>46157</v>
      </c>
      <c r="I658" s="1">
        <v>46015</v>
      </c>
      <c r="J658">
        <v>0</v>
      </c>
      <c r="K658" t="s">
        <v>728</v>
      </c>
      <c r="L658">
        <v>38</v>
      </c>
      <c r="M658" t="s">
        <v>36</v>
      </c>
    </row>
    <row r="659" spans="1:13" x14ac:dyDescent="0.25">
      <c r="A659" t="s">
        <v>698</v>
      </c>
      <c r="B659" t="s">
        <v>25</v>
      </c>
      <c r="C659" t="s">
        <v>15</v>
      </c>
      <c r="D659" t="s">
        <v>40</v>
      </c>
      <c r="E659">
        <v>89</v>
      </c>
      <c r="F659">
        <v>21</v>
      </c>
      <c r="G659">
        <v>0.78</v>
      </c>
      <c r="H659" s="1">
        <v>46181</v>
      </c>
      <c r="I659" s="1">
        <v>45950</v>
      </c>
      <c r="J659">
        <v>69.42</v>
      </c>
      <c r="K659" t="s">
        <v>35</v>
      </c>
      <c r="L659">
        <v>62</v>
      </c>
      <c r="M659" t="s">
        <v>36</v>
      </c>
    </row>
    <row r="660" spans="1:13" x14ac:dyDescent="0.25">
      <c r="A660" t="s">
        <v>699</v>
      </c>
      <c r="B660" t="s">
        <v>17</v>
      </c>
      <c r="C660" t="s">
        <v>18</v>
      </c>
      <c r="D660" t="s">
        <v>49</v>
      </c>
      <c r="E660">
        <v>140</v>
      </c>
      <c r="F660">
        <v>22</v>
      </c>
      <c r="G660">
        <v>1.97</v>
      </c>
      <c r="H660" s="1">
        <v>46270</v>
      </c>
      <c r="I660" s="1">
        <v>45973</v>
      </c>
      <c r="J660">
        <v>275.8</v>
      </c>
      <c r="K660" t="s">
        <v>35</v>
      </c>
      <c r="L660">
        <v>151</v>
      </c>
      <c r="M660" t="s">
        <v>36</v>
      </c>
    </row>
    <row r="661" spans="1:13" x14ac:dyDescent="0.25">
      <c r="A661" t="s">
        <v>700</v>
      </c>
      <c r="B661" t="s">
        <v>17</v>
      </c>
      <c r="C661" t="s">
        <v>18</v>
      </c>
      <c r="D661" t="s">
        <v>40</v>
      </c>
      <c r="E661">
        <v>119</v>
      </c>
      <c r="F661">
        <v>47</v>
      </c>
      <c r="G661">
        <v>0.88</v>
      </c>
      <c r="H661" s="1">
        <v>46340</v>
      </c>
      <c r="I661" s="1">
        <v>45985</v>
      </c>
      <c r="J661">
        <v>104.72</v>
      </c>
      <c r="K661" t="s">
        <v>35</v>
      </c>
      <c r="L661">
        <v>221</v>
      </c>
      <c r="M661" t="s">
        <v>36</v>
      </c>
    </row>
    <row r="662" spans="1:13" x14ac:dyDescent="0.25">
      <c r="A662" t="s">
        <v>701</v>
      </c>
      <c r="B662" t="s">
        <v>17</v>
      </c>
      <c r="C662" t="s">
        <v>18</v>
      </c>
      <c r="D662" t="s">
        <v>40</v>
      </c>
      <c r="E662">
        <v>120</v>
      </c>
      <c r="F662">
        <v>38</v>
      </c>
      <c r="G662">
        <v>1.1399999999999999</v>
      </c>
      <c r="H662" s="1">
        <v>46217</v>
      </c>
      <c r="I662" s="1">
        <v>46027</v>
      </c>
      <c r="J662">
        <v>136.79999999999998</v>
      </c>
      <c r="K662" t="s">
        <v>35</v>
      </c>
      <c r="L662">
        <v>98</v>
      </c>
      <c r="M662" t="s">
        <v>36</v>
      </c>
    </row>
    <row r="663" spans="1:13" x14ac:dyDescent="0.25">
      <c r="A663" t="s">
        <v>702</v>
      </c>
      <c r="B663" t="s">
        <v>19</v>
      </c>
      <c r="C663" t="s">
        <v>20</v>
      </c>
      <c r="D663" t="s">
        <v>38</v>
      </c>
      <c r="E663">
        <v>28</v>
      </c>
      <c r="F663">
        <v>65</v>
      </c>
      <c r="G663">
        <v>1.85</v>
      </c>
      <c r="H663" s="1">
        <v>46438</v>
      </c>
      <c r="I663" s="1">
        <v>45976</v>
      </c>
      <c r="J663">
        <v>51.800000000000004</v>
      </c>
      <c r="K663" t="s">
        <v>44</v>
      </c>
      <c r="L663">
        <v>319</v>
      </c>
      <c r="M663" t="s">
        <v>36</v>
      </c>
    </row>
    <row r="664" spans="1:13" x14ac:dyDescent="0.25">
      <c r="A664" t="s">
        <v>703</v>
      </c>
      <c r="B664" t="s">
        <v>27</v>
      </c>
      <c r="C664" t="s">
        <v>28</v>
      </c>
      <c r="D664" t="s">
        <v>38</v>
      </c>
      <c r="E664">
        <v>94</v>
      </c>
      <c r="F664">
        <v>30</v>
      </c>
      <c r="G664">
        <v>1.58</v>
      </c>
      <c r="H664" s="1">
        <v>46185</v>
      </c>
      <c r="I664" s="1">
        <v>46105</v>
      </c>
      <c r="J664">
        <v>148.52000000000001</v>
      </c>
      <c r="K664" t="s">
        <v>35</v>
      </c>
      <c r="L664">
        <v>66</v>
      </c>
      <c r="M664" t="s">
        <v>36</v>
      </c>
    </row>
    <row r="665" spans="1:13" x14ac:dyDescent="0.25">
      <c r="A665" t="s">
        <v>704</v>
      </c>
      <c r="B665" t="s">
        <v>27</v>
      </c>
      <c r="C665" t="s">
        <v>28</v>
      </c>
      <c r="D665" t="s">
        <v>49</v>
      </c>
      <c r="E665">
        <v>3</v>
      </c>
      <c r="F665">
        <v>51</v>
      </c>
      <c r="G665">
        <v>0.62</v>
      </c>
      <c r="H665" s="1">
        <v>46316</v>
      </c>
      <c r="I665" s="1">
        <v>46025</v>
      </c>
      <c r="J665">
        <v>1.8599999999999999</v>
      </c>
      <c r="K665" t="s">
        <v>44</v>
      </c>
      <c r="L665">
        <v>197</v>
      </c>
      <c r="M665" t="s">
        <v>36</v>
      </c>
    </row>
    <row r="666" spans="1:13" x14ac:dyDescent="0.25">
      <c r="A666" t="s">
        <v>705</v>
      </c>
      <c r="B666" t="s">
        <v>26</v>
      </c>
      <c r="C666" t="s">
        <v>22</v>
      </c>
      <c r="D666" t="s">
        <v>34</v>
      </c>
      <c r="E666">
        <v>49</v>
      </c>
      <c r="F666">
        <v>32</v>
      </c>
      <c r="G666">
        <v>1.1299999999999999</v>
      </c>
      <c r="H666" s="1">
        <v>46359</v>
      </c>
      <c r="I666" s="1">
        <v>46053</v>
      </c>
      <c r="J666">
        <v>55.37</v>
      </c>
      <c r="K666" t="s">
        <v>35</v>
      </c>
      <c r="L666">
        <v>240</v>
      </c>
      <c r="M666" t="s">
        <v>36</v>
      </c>
    </row>
    <row r="667" spans="1:13" x14ac:dyDescent="0.25">
      <c r="A667" t="s">
        <v>706</v>
      </c>
      <c r="B667" t="s">
        <v>16</v>
      </c>
      <c r="C667" t="s">
        <v>13</v>
      </c>
      <c r="D667" t="s">
        <v>40</v>
      </c>
      <c r="E667">
        <v>140</v>
      </c>
      <c r="F667">
        <v>92</v>
      </c>
      <c r="G667">
        <v>1.59</v>
      </c>
      <c r="H667" s="1">
        <v>46437</v>
      </c>
      <c r="I667" s="1">
        <v>45982</v>
      </c>
      <c r="J667">
        <v>222.60000000000002</v>
      </c>
      <c r="K667" t="s">
        <v>35</v>
      </c>
      <c r="L667">
        <v>318</v>
      </c>
      <c r="M667" t="s">
        <v>36</v>
      </c>
    </row>
    <row r="668" spans="1:13" x14ac:dyDescent="0.25">
      <c r="A668" t="s">
        <v>707</v>
      </c>
      <c r="B668" t="s">
        <v>25</v>
      </c>
      <c r="C668" t="s">
        <v>15</v>
      </c>
      <c r="D668" t="s">
        <v>49</v>
      </c>
      <c r="E668">
        <v>198</v>
      </c>
      <c r="F668">
        <v>26</v>
      </c>
      <c r="G668">
        <v>1.45</v>
      </c>
      <c r="H668" s="1">
        <v>46414</v>
      </c>
      <c r="I668" s="1">
        <v>46054</v>
      </c>
      <c r="J668">
        <v>287.09999999999997</v>
      </c>
      <c r="K668" t="s">
        <v>35</v>
      </c>
      <c r="L668">
        <v>295</v>
      </c>
      <c r="M668" t="s">
        <v>36</v>
      </c>
    </row>
    <row r="669" spans="1:13" x14ac:dyDescent="0.25">
      <c r="A669" t="s">
        <v>708</v>
      </c>
      <c r="B669" t="s">
        <v>17</v>
      </c>
      <c r="C669" t="s">
        <v>18</v>
      </c>
      <c r="D669" t="s">
        <v>40</v>
      </c>
      <c r="E669">
        <v>123</v>
      </c>
      <c r="F669">
        <v>94</v>
      </c>
      <c r="G669">
        <v>1.1299999999999999</v>
      </c>
      <c r="H669" s="1">
        <v>46209</v>
      </c>
      <c r="I669" s="1">
        <v>46027</v>
      </c>
      <c r="J669">
        <v>138.98999999999998</v>
      </c>
      <c r="K669" t="s">
        <v>35</v>
      </c>
      <c r="L669">
        <v>90</v>
      </c>
      <c r="M669" t="s">
        <v>36</v>
      </c>
    </row>
    <row r="670" spans="1:13" x14ac:dyDescent="0.25">
      <c r="A670" t="s">
        <v>709</v>
      </c>
      <c r="B670" t="s">
        <v>27</v>
      </c>
      <c r="C670" t="s">
        <v>28</v>
      </c>
      <c r="D670" t="s">
        <v>40</v>
      </c>
      <c r="E670">
        <v>87</v>
      </c>
      <c r="F670">
        <v>100</v>
      </c>
      <c r="G670">
        <v>1.54</v>
      </c>
      <c r="H670" s="1">
        <v>46165</v>
      </c>
      <c r="I670" s="1">
        <v>45994</v>
      </c>
      <c r="J670">
        <v>133.97999999999999</v>
      </c>
      <c r="K670" t="s">
        <v>44</v>
      </c>
      <c r="L670">
        <v>46</v>
      </c>
      <c r="M670" t="s">
        <v>36</v>
      </c>
    </row>
    <row r="671" spans="1:13" x14ac:dyDescent="0.25">
      <c r="A671" t="s">
        <v>710</v>
      </c>
      <c r="B671" t="s">
        <v>27</v>
      </c>
      <c r="C671" t="s">
        <v>28</v>
      </c>
      <c r="D671" t="s">
        <v>34</v>
      </c>
      <c r="E671">
        <v>125</v>
      </c>
      <c r="F671">
        <v>86</v>
      </c>
      <c r="G671">
        <v>2</v>
      </c>
      <c r="H671" s="1">
        <v>46462</v>
      </c>
      <c r="I671" s="1">
        <v>45981</v>
      </c>
      <c r="J671">
        <v>250</v>
      </c>
      <c r="K671" t="s">
        <v>35</v>
      </c>
      <c r="L671">
        <v>343</v>
      </c>
      <c r="M671" t="s">
        <v>36</v>
      </c>
    </row>
    <row r="672" spans="1:13" x14ac:dyDescent="0.25">
      <c r="A672" t="s">
        <v>711</v>
      </c>
      <c r="B672" t="s">
        <v>23</v>
      </c>
      <c r="C672" t="s">
        <v>24</v>
      </c>
      <c r="D672" t="s">
        <v>38</v>
      </c>
      <c r="E672">
        <v>57</v>
      </c>
      <c r="F672">
        <v>86</v>
      </c>
      <c r="G672">
        <v>0.56000000000000005</v>
      </c>
      <c r="H672" s="1">
        <v>46336</v>
      </c>
      <c r="I672" s="1">
        <v>45941</v>
      </c>
      <c r="J672">
        <v>31.92</v>
      </c>
      <c r="K672" t="s">
        <v>44</v>
      </c>
      <c r="L672">
        <v>217</v>
      </c>
      <c r="M672" t="s">
        <v>36</v>
      </c>
    </row>
    <row r="673" spans="1:13" x14ac:dyDescent="0.25">
      <c r="A673" t="s">
        <v>712</v>
      </c>
      <c r="B673" t="s">
        <v>26</v>
      </c>
      <c r="C673" t="s">
        <v>22</v>
      </c>
      <c r="D673" t="s">
        <v>34</v>
      </c>
      <c r="E673">
        <v>164</v>
      </c>
      <c r="F673">
        <v>100</v>
      </c>
      <c r="G673">
        <v>1.86</v>
      </c>
      <c r="H673" s="1">
        <v>46422</v>
      </c>
      <c r="I673" s="1">
        <v>46032</v>
      </c>
      <c r="J673">
        <v>305.04000000000002</v>
      </c>
      <c r="K673" t="s">
        <v>35</v>
      </c>
      <c r="L673">
        <v>303</v>
      </c>
      <c r="M673" t="s">
        <v>36</v>
      </c>
    </row>
    <row r="674" spans="1:13" x14ac:dyDescent="0.25">
      <c r="A674" t="s">
        <v>713</v>
      </c>
      <c r="B674" t="s">
        <v>27</v>
      </c>
      <c r="C674" t="s">
        <v>28</v>
      </c>
      <c r="D674" t="s">
        <v>34</v>
      </c>
      <c r="E674">
        <v>58</v>
      </c>
      <c r="F674">
        <v>100</v>
      </c>
      <c r="G674">
        <v>0.83</v>
      </c>
      <c r="H674" s="1">
        <v>46482</v>
      </c>
      <c r="I674" s="1">
        <v>46077</v>
      </c>
      <c r="J674">
        <v>48.14</v>
      </c>
      <c r="K674" t="s">
        <v>44</v>
      </c>
      <c r="L674">
        <v>363</v>
      </c>
      <c r="M674" t="s">
        <v>36</v>
      </c>
    </row>
    <row r="675" spans="1:13" x14ac:dyDescent="0.25">
      <c r="A675" t="s">
        <v>714</v>
      </c>
      <c r="B675" t="s">
        <v>23</v>
      </c>
      <c r="C675" t="s">
        <v>24</v>
      </c>
      <c r="D675" t="s">
        <v>38</v>
      </c>
      <c r="E675">
        <v>156</v>
      </c>
      <c r="F675">
        <v>90</v>
      </c>
      <c r="G675">
        <v>0.64</v>
      </c>
      <c r="H675" s="1">
        <v>46455</v>
      </c>
      <c r="I675" s="1">
        <v>46033</v>
      </c>
      <c r="J675">
        <v>99.84</v>
      </c>
      <c r="K675" t="s">
        <v>35</v>
      </c>
      <c r="L675">
        <v>336</v>
      </c>
      <c r="M675" t="s">
        <v>36</v>
      </c>
    </row>
    <row r="676" spans="1:13" x14ac:dyDescent="0.25">
      <c r="A676" t="s">
        <v>715</v>
      </c>
      <c r="B676" t="s">
        <v>27</v>
      </c>
      <c r="C676" t="s">
        <v>28</v>
      </c>
      <c r="D676" t="s">
        <v>40</v>
      </c>
      <c r="E676">
        <v>165</v>
      </c>
      <c r="F676">
        <v>47</v>
      </c>
      <c r="G676">
        <v>1.89</v>
      </c>
      <c r="H676" s="1">
        <v>46283</v>
      </c>
      <c r="I676" s="1">
        <v>46092</v>
      </c>
      <c r="J676">
        <v>311.84999999999997</v>
      </c>
      <c r="K676" t="s">
        <v>35</v>
      </c>
      <c r="L676">
        <v>164</v>
      </c>
      <c r="M676" t="s">
        <v>36</v>
      </c>
    </row>
    <row r="677" spans="1:13" x14ac:dyDescent="0.25">
      <c r="A677" t="s">
        <v>716</v>
      </c>
      <c r="B677" t="s">
        <v>26</v>
      </c>
      <c r="C677" t="s">
        <v>22</v>
      </c>
      <c r="D677" t="s">
        <v>34</v>
      </c>
      <c r="E677">
        <v>68</v>
      </c>
      <c r="F677">
        <v>31</v>
      </c>
      <c r="G677">
        <v>1.37</v>
      </c>
      <c r="H677" s="1">
        <v>46375</v>
      </c>
      <c r="I677" s="1">
        <v>46006</v>
      </c>
      <c r="J677">
        <v>93.160000000000011</v>
      </c>
      <c r="K677" t="s">
        <v>35</v>
      </c>
      <c r="L677">
        <v>256</v>
      </c>
      <c r="M677" t="s">
        <v>36</v>
      </c>
    </row>
    <row r="678" spans="1:13" x14ac:dyDescent="0.25">
      <c r="A678" t="s">
        <v>717</v>
      </c>
      <c r="B678" t="s">
        <v>25</v>
      </c>
      <c r="C678" t="s">
        <v>15</v>
      </c>
      <c r="D678" t="s">
        <v>49</v>
      </c>
      <c r="E678">
        <v>16</v>
      </c>
      <c r="F678">
        <v>57</v>
      </c>
      <c r="G678">
        <v>1.01</v>
      </c>
      <c r="H678" s="1">
        <v>46356</v>
      </c>
      <c r="I678" s="1">
        <v>46017</v>
      </c>
      <c r="J678">
        <v>16.16</v>
      </c>
      <c r="K678" t="s">
        <v>44</v>
      </c>
      <c r="L678">
        <v>237</v>
      </c>
      <c r="M678" t="s">
        <v>36</v>
      </c>
    </row>
    <row r="679" spans="1:13" x14ac:dyDescent="0.25">
      <c r="A679" t="s">
        <v>718</v>
      </c>
      <c r="B679" t="s">
        <v>16</v>
      </c>
      <c r="C679" t="s">
        <v>13</v>
      </c>
      <c r="D679" t="s">
        <v>49</v>
      </c>
      <c r="E679">
        <v>103</v>
      </c>
      <c r="F679">
        <v>65</v>
      </c>
      <c r="G679">
        <v>1.53</v>
      </c>
      <c r="H679" s="1">
        <v>46318</v>
      </c>
      <c r="I679" s="1">
        <v>46009</v>
      </c>
      <c r="J679">
        <v>157.59</v>
      </c>
      <c r="K679" t="s">
        <v>35</v>
      </c>
      <c r="L679">
        <v>199</v>
      </c>
      <c r="M679" t="s">
        <v>36</v>
      </c>
    </row>
    <row r="680" spans="1:13" x14ac:dyDescent="0.25">
      <c r="A680" t="s">
        <v>719</v>
      </c>
      <c r="B680" t="s">
        <v>23</v>
      </c>
      <c r="C680" t="s">
        <v>24</v>
      </c>
      <c r="D680" t="s">
        <v>34</v>
      </c>
      <c r="E680">
        <v>187</v>
      </c>
      <c r="F680">
        <v>85</v>
      </c>
      <c r="G680">
        <v>0.7</v>
      </c>
      <c r="H680" s="1">
        <v>46201</v>
      </c>
      <c r="I680" s="1">
        <v>45994</v>
      </c>
      <c r="J680">
        <v>130.9</v>
      </c>
      <c r="K680" t="s">
        <v>35</v>
      </c>
      <c r="L680">
        <v>82</v>
      </c>
      <c r="M680" t="s">
        <v>36</v>
      </c>
    </row>
    <row r="681" spans="1:13" x14ac:dyDescent="0.25">
      <c r="A681" t="s">
        <v>720</v>
      </c>
      <c r="B681" t="s">
        <v>26</v>
      </c>
      <c r="C681" t="s">
        <v>22</v>
      </c>
      <c r="D681" t="s">
        <v>49</v>
      </c>
      <c r="E681">
        <v>82</v>
      </c>
      <c r="F681">
        <v>50</v>
      </c>
      <c r="G681">
        <v>1.73</v>
      </c>
      <c r="H681" s="1">
        <v>46283</v>
      </c>
      <c r="I681" s="1">
        <v>45966</v>
      </c>
      <c r="J681">
        <v>141.85999999999999</v>
      </c>
      <c r="K681" t="s">
        <v>35</v>
      </c>
      <c r="L681">
        <v>164</v>
      </c>
      <c r="M681" t="s">
        <v>36</v>
      </c>
    </row>
    <row r="682" spans="1:13" x14ac:dyDescent="0.25">
      <c r="A682" t="s">
        <v>721</v>
      </c>
      <c r="B682" t="s">
        <v>17</v>
      </c>
      <c r="C682" t="s">
        <v>18</v>
      </c>
      <c r="D682" t="s">
        <v>49</v>
      </c>
      <c r="E682">
        <v>141</v>
      </c>
      <c r="F682">
        <v>66</v>
      </c>
      <c r="G682">
        <v>1.61</v>
      </c>
      <c r="H682" s="1">
        <v>46378</v>
      </c>
      <c r="I682" s="1">
        <v>46070</v>
      </c>
      <c r="J682">
        <v>227.01000000000002</v>
      </c>
      <c r="K682" t="s">
        <v>35</v>
      </c>
      <c r="L682">
        <v>259</v>
      </c>
      <c r="M682" t="s">
        <v>36</v>
      </c>
    </row>
    <row r="683" spans="1:13" x14ac:dyDescent="0.25">
      <c r="A683" t="s">
        <v>722</v>
      </c>
      <c r="B683" t="s">
        <v>17</v>
      </c>
      <c r="C683" t="s">
        <v>18</v>
      </c>
      <c r="D683" t="s">
        <v>40</v>
      </c>
      <c r="E683">
        <v>39</v>
      </c>
      <c r="F683">
        <v>46</v>
      </c>
      <c r="G683">
        <v>0.68</v>
      </c>
      <c r="H683" s="1">
        <v>46234</v>
      </c>
      <c r="I683" s="1">
        <v>46033</v>
      </c>
      <c r="J683">
        <v>26.520000000000003</v>
      </c>
      <c r="K683" t="s">
        <v>44</v>
      </c>
      <c r="L683">
        <v>115</v>
      </c>
      <c r="M683" t="s">
        <v>36</v>
      </c>
    </row>
    <row r="684" spans="1:13" x14ac:dyDescent="0.25">
      <c r="A684" t="s">
        <v>723</v>
      </c>
      <c r="B684" t="s">
        <v>23</v>
      </c>
      <c r="C684" t="s">
        <v>24</v>
      </c>
      <c r="D684" t="s">
        <v>34</v>
      </c>
      <c r="E684">
        <v>102</v>
      </c>
      <c r="F684">
        <v>59</v>
      </c>
      <c r="G684">
        <v>1.33</v>
      </c>
      <c r="H684" s="1">
        <v>46464</v>
      </c>
      <c r="I684" s="1">
        <v>46070</v>
      </c>
      <c r="J684">
        <v>135.66</v>
      </c>
      <c r="K684" t="s">
        <v>35</v>
      </c>
      <c r="L684">
        <v>345</v>
      </c>
      <c r="M684" t="s">
        <v>36</v>
      </c>
    </row>
    <row r="685" spans="1:13" x14ac:dyDescent="0.25">
      <c r="A685" t="s">
        <v>724</v>
      </c>
      <c r="B685" t="s">
        <v>17</v>
      </c>
      <c r="C685" t="s">
        <v>18</v>
      </c>
      <c r="D685" t="s">
        <v>38</v>
      </c>
      <c r="E685">
        <v>2</v>
      </c>
      <c r="F685">
        <v>31</v>
      </c>
      <c r="G685">
        <v>1.9</v>
      </c>
      <c r="H685" s="1">
        <v>46429</v>
      </c>
      <c r="I685" s="1">
        <v>45995</v>
      </c>
      <c r="J685">
        <v>3.8</v>
      </c>
      <c r="K685" t="s">
        <v>44</v>
      </c>
      <c r="L685">
        <v>310</v>
      </c>
      <c r="M685" t="s">
        <v>36</v>
      </c>
    </row>
    <row r="686" spans="1:13" x14ac:dyDescent="0.25">
      <c r="A686" t="s">
        <v>725</v>
      </c>
      <c r="B686" t="s">
        <v>21</v>
      </c>
      <c r="C686" t="s">
        <v>22</v>
      </c>
      <c r="D686" t="s">
        <v>38</v>
      </c>
      <c r="E686">
        <v>170</v>
      </c>
      <c r="F686">
        <v>66</v>
      </c>
      <c r="G686">
        <v>1.85</v>
      </c>
      <c r="H686" s="1">
        <v>46364</v>
      </c>
      <c r="I686" s="1">
        <v>45961</v>
      </c>
      <c r="J686">
        <v>314.5</v>
      </c>
      <c r="K686" t="s">
        <v>35</v>
      </c>
      <c r="L686">
        <v>245</v>
      </c>
      <c r="M686" t="s">
        <v>36</v>
      </c>
    </row>
    <row r="687" spans="1:13" x14ac:dyDescent="0.25">
      <c r="A687" t="s">
        <v>726</v>
      </c>
      <c r="B687" t="s">
        <v>27</v>
      </c>
      <c r="C687" t="s">
        <v>28</v>
      </c>
      <c r="D687" t="s">
        <v>40</v>
      </c>
      <c r="E687">
        <v>10</v>
      </c>
      <c r="F687">
        <v>27</v>
      </c>
      <c r="G687">
        <v>1.23</v>
      </c>
      <c r="H687" s="1">
        <v>46287</v>
      </c>
      <c r="I687" s="1">
        <v>46072</v>
      </c>
      <c r="J687">
        <v>12.3</v>
      </c>
      <c r="K687" t="s">
        <v>44</v>
      </c>
      <c r="L687">
        <v>168</v>
      </c>
      <c r="M687" t="s">
        <v>36</v>
      </c>
    </row>
    <row r="688" spans="1:13" x14ac:dyDescent="0.25">
      <c r="A688" t="s">
        <v>727</v>
      </c>
      <c r="B688" t="s">
        <v>16</v>
      </c>
      <c r="C688" t="s">
        <v>13</v>
      </c>
      <c r="D688" t="s">
        <v>38</v>
      </c>
      <c r="E688">
        <v>112</v>
      </c>
      <c r="F688">
        <v>80</v>
      </c>
      <c r="G688">
        <v>1.74</v>
      </c>
      <c r="H688" s="1">
        <v>46261</v>
      </c>
      <c r="I688" s="1">
        <v>46105</v>
      </c>
      <c r="J688">
        <v>194.88</v>
      </c>
      <c r="K688" t="s">
        <v>35</v>
      </c>
      <c r="L688">
        <v>142</v>
      </c>
      <c r="M688" t="s">
        <v>36</v>
      </c>
    </row>
    <row r="689" spans="1:13" x14ac:dyDescent="0.25">
      <c r="A689" t="s">
        <v>729</v>
      </c>
      <c r="B689" t="s">
        <v>26</v>
      </c>
      <c r="C689" t="s">
        <v>22</v>
      </c>
      <c r="D689" t="s">
        <v>40</v>
      </c>
      <c r="E689">
        <v>51</v>
      </c>
      <c r="F689">
        <v>79</v>
      </c>
      <c r="G689">
        <v>1.95</v>
      </c>
      <c r="H689" s="1">
        <v>46415</v>
      </c>
      <c r="I689" s="1">
        <v>46029</v>
      </c>
      <c r="J689">
        <v>99.45</v>
      </c>
      <c r="K689" t="s">
        <v>44</v>
      </c>
      <c r="L689">
        <v>296</v>
      </c>
      <c r="M689" t="s">
        <v>36</v>
      </c>
    </row>
    <row r="690" spans="1:13" x14ac:dyDescent="0.25">
      <c r="A690" t="s">
        <v>730</v>
      </c>
      <c r="B690" t="s">
        <v>17</v>
      </c>
      <c r="C690" t="s">
        <v>18</v>
      </c>
      <c r="D690" t="s">
        <v>34</v>
      </c>
      <c r="E690">
        <v>191</v>
      </c>
      <c r="F690">
        <v>98</v>
      </c>
      <c r="G690">
        <v>1.98</v>
      </c>
      <c r="H690" s="1">
        <v>46286</v>
      </c>
      <c r="I690" s="1">
        <v>45951</v>
      </c>
      <c r="J690">
        <v>378.18</v>
      </c>
      <c r="K690" t="s">
        <v>35</v>
      </c>
      <c r="L690">
        <v>167</v>
      </c>
      <c r="M690" t="s">
        <v>36</v>
      </c>
    </row>
    <row r="691" spans="1:13" x14ac:dyDescent="0.25">
      <c r="A691" t="s">
        <v>731</v>
      </c>
      <c r="B691" t="s">
        <v>21</v>
      </c>
      <c r="C691" t="s">
        <v>22</v>
      </c>
      <c r="D691" t="s">
        <v>34</v>
      </c>
      <c r="E691">
        <v>171</v>
      </c>
      <c r="F691">
        <v>47</v>
      </c>
      <c r="G691">
        <v>1.94</v>
      </c>
      <c r="H691" s="1">
        <v>46429</v>
      </c>
      <c r="I691" s="1">
        <v>46025</v>
      </c>
      <c r="J691">
        <v>331.74</v>
      </c>
      <c r="K691" t="s">
        <v>35</v>
      </c>
      <c r="L691">
        <v>310</v>
      </c>
      <c r="M691" t="s">
        <v>36</v>
      </c>
    </row>
    <row r="692" spans="1:13" x14ac:dyDescent="0.25">
      <c r="A692" t="s">
        <v>732</v>
      </c>
      <c r="B692" t="s">
        <v>19</v>
      </c>
      <c r="C692" t="s">
        <v>20</v>
      </c>
      <c r="D692" t="s">
        <v>49</v>
      </c>
      <c r="E692">
        <v>135</v>
      </c>
      <c r="F692">
        <v>87</v>
      </c>
      <c r="G692">
        <v>1.55</v>
      </c>
      <c r="H692" s="1">
        <v>46235</v>
      </c>
      <c r="I692" s="1">
        <v>46008</v>
      </c>
      <c r="J692">
        <v>209.25</v>
      </c>
      <c r="K692" t="s">
        <v>35</v>
      </c>
      <c r="L692">
        <v>116</v>
      </c>
      <c r="M692" t="s">
        <v>36</v>
      </c>
    </row>
    <row r="693" spans="1:13" x14ac:dyDescent="0.25">
      <c r="A693" t="s">
        <v>733</v>
      </c>
      <c r="B693" t="s">
        <v>16</v>
      </c>
      <c r="C693" t="s">
        <v>13</v>
      </c>
      <c r="D693" t="s">
        <v>49</v>
      </c>
      <c r="E693">
        <v>179</v>
      </c>
      <c r="F693">
        <v>75</v>
      </c>
      <c r="G693">
        <v>1.87</v>
      </c>
      <c r="H693" s="1">
        <v>46482</v>
      </c>
      <c r="I693" s="1">
        <v>46030</v>
      </c>
      <c r="J693">
        <v>334.73</v>
      </c>
      <c r="K693" t="s">
        <v>35</v>
      </c>
      <c r="L693">
        <v>363</v>
      </c>
      <c r="M693" t="s">
        <v>36</v>
      </c>
    </row>
    <row r="694" spans="1:13" x14ac:dyDescent="0.25">
      <c r="A694" t="s">
        <v>734</v>
      </c>
      <c r="B694" t="s">
        <v>21</v>
      </c>
      <c r="C694" t="s">
        <v>22</v>
      </c>
      <c r="D694" t="s">
        <v>49</v>
      </c>
      <c r="E694">
        <v>64</v>
      </c>
      <c r="F694">
        <v>89</v>
      </c>
      <c r="G694">
        <v>1.35</v>
      </c>
      <c r="H694" s="1">
        <v>46263</v>
      </c>
      <c r="I694" s="1">
        <v>45979</v>
      </c>
      <c r="J694">
        <v>86.4</v>
      </c>
      <c r="K694" t="s">
        <v>44</v>
      </c>
      <c r="L694">
        <v>144</v>
      </c>
      <c r="M694" t="s">
        <v>36</v>
      </c>
    </row>
    <row r="695" spans="1:13" x14ac:dyDescent="0.25">
      <c r="A695" t="s">
        <v>735</v>
      </c>
      <c r="B695" t="s">
        <v>12</v>
      </c>
      <c r="C695" t="s">
        <v>13</v>
      </c>
      <c r="D695" t="s">
        <v>49</v>
      </c>
      <c r="E695">
        <v>87</v>
      </c>
      <c r="F695">
        <v>87</v>
      </c>
      <c r="G695">
        <v>0.63</v>
      </c>
      <c r="H695" s="1">
        <v>46324</v>
      </c>
      <c r="I695" s="1">
        <v>45993</v>
      </c>
      <c r="J695">
        <v>54.81</v>
      </c>
      <c r="K695" t="s">
        <v>35</v>
      </c>
      <c r="L695">
        <v>205</v>
      </c>
      <c r="M695" t="s">
        <v>36</v>
      </c>
    </row>
    <row r="696" spans="1:13" x14ac:dyDescent="0.25">
      <c r="A696" t="s">
        <v>736</v>
      </c>
      <c r="B696" t="s">
        <v>27</v>
      </c>
      <c r="C696" t="s">
        <v>28</v>
      </c>
      <c r="D696" t="s">
        <v>38</v>
      </c>
      <c r="E696">
        <v>56</v>
      </c>
      <c r="F696">
        <v>40</v>
      </c>
      <c r="G696">
        <v>1.71</v>
      </c>
      <c r="H696" s="1">
        <v>46260</v>
      </c>
      <c r="I696" s="1">
        <v>45943</v>
      </c>
      <c r="J696">
        <v>95.759999999999991</v>
      </c>
      <c r="K696" t="s">
        <v>35</v>
      </c>
      <c r="L696">
        <v>141</v>
      </c>
      <c r="M696" t="s">
        <v>36</v>
      </c>
    </row>
    <row r="697" spans="1:13" x14ac:dyDescent="0.25">
      <c r="A697" t="s">
        <v>737</v>
      </c>
      <c r="B697" t="s">
        <v>14</v>
      </c>
      <c r="C697" t="s">
        <v>15</v>
      </c>
      <c r="D697" t="s">
        <v>34</v>
      </c>
      <c r="E697">
        <v>127</v>
      </c>
      <c r="F697">
        <v>88</v>
      </c>
      <c r="G697">
        <v>1.54</v>
      </c>
      <c r="H697" s="1">
        <v>46467</v>
      </c>
      <c r="I697" s="1">
        <v>45993</v>
      </c>
      <c r="J697">
        <v>195.58</v>
      </c>
      <c r="K697" t="s">
        <v>35</v>
      </c>
      <c r="L697">
        <v>348</v>
      </c>
      <c r="M697" t="s">
        <v>36</v>
      </c>
    </row>
    <row r="698" spans="1:13" x14ac:dyDescent="0.25">
      <c r="A698" t="s">
        <v>738</v>
      </c>
      <c r="B698" t="s">
        <v>16</v>
      </c>
      <c r="C698" t="s">
        <v>13</v>
      </c>
      <c r="D698" t="s">
        <v>38</v>
      </c>
      <c r="E698">
        <v>0</v>
      </c>
      <c r="F698">
        <v>81</v>
      </c>
      <c r="G698">
        <v>0.53</v>
      </c>
      <c r="H698" s="1">
        <v>46476</v>
      </c>
      <c r="I698" s="1">
        <v>45978</v>
      </c>
      <c r="J698">
        <v>0</v>
      </c>
      <c r="K698" t="s">
        <v>728</v>
      </c>
      <c r="L698">
        <v>357</v>
      </c>
      <c r="M698" t="s">
        <v>36</v>
      </c>
    </row>
    <row r="699" spans="1:13" x14ac:dyDescent="0.25">
      <c r="A699" t="s">
        <v>739</v>
      </c>
      <c r="B699" t="s">
        <v>19</v>
      </c>
      <c r="C699" t="s">
        <v>20</v>
      </c>
      <c r="D699" t="s">
        <v>38</v>
      </c>
      <c r="E699">
        <v>157</v>
      </c>
      <c r="F699">
        <v>96</v>
      </c>
      <c r="G699">
        <v>0.66</v>
      </c>
      <c r="H699" s="1">
        <v>46199</v>
      </c>
      <c r="I699" s="1">
        <v>45975</v>
      </c>
      <c r="J699">
        <v>103.62</v>
      </c>
      <c r="K699" t="s">
        <v>35</v>
      </c>
      <c r="L699">
        <v>80</v>
      </c>
      <c r="M699" t="s">
        <v>36</v>
      </c>
    </row>
    <row r="700" spans="1:13" x14ac:dyDescent="0.25">
      <c r="A700" t="s">
        <v>740</v>
      </c>
      <c r="B700" t="s">
        <v>19</v>
      </c>
      <c r="C700" t="s">
        <v>20</v>
      </c>
      <c r="D700" t="s">
        <v>40</v>
      </c>
      <c r="E700">
        <v>128</v>
      </c>
      <c r="F700">
        <v>82</v>
      </c>
      <c r="G700">
        <v>1.78</v>
      </c>
      <c r="H700" s="1">
        <v>46457</v>
      </c>
      <c r="I700" s="1">
        <v>46036</v>
      </c>
      <c r="J700">
        <v>227.84</v>
      </c>
      <c r="K700" t="s">
        <v>35</v>
      </c>
      <c r="L700">
        <v>338</v>
      </c>
      <c r="M700" t="s">
        <v>36</v>
      </c>
    </row>
    <row r="701" spans="1:13" x14ac:dyDescent="0.25">
      <c r="A701" t="s">
        <v>741</v>
      </c>
      <c r="B701" t="s">
        <v>27</v>
      </c>
      <c r="C701" t="s">
        <v>28</v>
      </c>
      <c r="D701" t="s">
        <v>34</v>
      </c>
      <c r="E701">
        <v>28</v>
      </c>
      <c r="F701">
        <v>66</v>
      </c>
      <c r="G701">
        <v>0.69</v>
      </c>
      <c r="H701" s="1">
        <v>46307</v>
      </c>
      <c r="I701" s="1">
        <v>45955</v>
      </c>
      <c r="J701">
        <v>19.32</v>
      </c>
      <c r="K701" t="s">
        <v>44</v>
      </c>
      <c r="L701">
        <v>188</v>
      </c>
      <c r="M701" t="s">
        <v>36</v>
      </c>
    </row>
    <row r="702" spans="1:13" x14ac:dyDescent="0.25">
      <c r="A702" t="s">
        <v>742</v>
      </c>
      <c r="B702" t="s">
        <v>14</v>
      </c>
      <c r="C702" t="s">
        <v>15</v>
      </c>
      <c r="D702" t="s">
        <v>38</v>
      </c>
      <c r="E702">
        <v>64</v>
      </c>
      <c r="F702">
        <v>44</v>
      </c>
      <c r="G702">
        <v>1.27</v>
      </c>
      <c r="H702" s="1">
        <v>46416</v>
      </c>
      <c r="I702" s="1">
        <v>46048</v>
      </c>
      <c r="J702">
        <v>81.28</v>
      </c>
      <c r="K702" t="s">
        <v>35</v>
      </c>
      <c r="L702">
        <v>297</v>
      </c>
      <c r="M702" t="s">
        <v>36</v>
      </c>
    </row>
    <row r="703" spans="1:13" x14ac:dyDescent="0.25">
      <c r="A703" t="s">
        <v>743</v>
      </c>
      <c r="B703" t="s">
        <v>16</v>
      </c>
      <c r="C703" t="s">
        <v>13</v>
      </c>
      <c r="D703" t="s">
        <v>34</v>
      </c>
      <c r="E703">
        <v>52</v>
      </c>
      <c r="F703">
        <v>65</v>
      </c>
      <c r="G703">
        <v>1.04</v>
      </c>
      <c r="H703" s="1">
        <v>46264</v>
      </c>
      <c r="I703" s="1">
        <v>46044</v>
      </c>
      <c r="J703">
        <v>54.08</v>
      </c>
      <c r="K703" t="s">
        <v>44</v>
      </c>
      <c r="L703">
        <v>145</v>
      </c>
      <c r="M703" t="s">
        <v>36</v>
      </c>
    </row>
    <row r="704" spans="1:13" x14ac:dyDescent="0.25">
      <c r="A704" t="s">
        <v>744</v>
      </c>
      <c r="B704" t="s">
        <v>26</v>
      </c>
      <c r="C704" t="s">
        <v>22</v>
      </c>
      <c r="D704" t="s">
        <v>38</v>
      </c>
      <c r="E704">
        <v>12</v>
      </c>
      <c r="F704">
        <v>24</v>
      </c>
      <c r="G704">
        <v>1.37</v>
      </c>
      <c r="H704" s="1">
        <v>46178</v>
      </c>
      <c r="I704" s="1">
        <v>46086</v>
      </c>
      <c r="J704">
        <v>16.440000000000001</v>
      </c>
      <c r="K704" t="s">
        <v>44</v>
      </c>
      <c r="L704">
        <v>59</v>
      </c>
      <c r="M704" t="s">
        <v>36</v>
      </c>
    </row>
    <row r="705" spans="1:13" x14ac:dyDescent="0.25">
      <c r="A705" t="s">
        <v>745</v>
      </c>
      <c r="B705" t="s">
        <v>19</v>
      </c>
      <c r="C705" t="s">
        <v>20</v>
      </c>
      <c r="D705" t="s">
        <v>49</v>
      </c>
      <c r="E705">
        <v>30</v>
      </c>
      <c r="F705">
        <v>35</v>
      </c>
      <c r="G705">
        <v>1.23</v>
      </c>
      <c r="H705" s="1">
        <v>46281</v>
      </c>
      <c r="I705" s="1">
        <v>46086</v>
      </c>
      <c r="J705">
        <v>36.9</v>
      </c>
      <c r="K705" t="s">
        <v>44</v>
      </c>
      <c r="L705">
        <v>162</v>
      </c>
      <c r="M705" t="s">
        <v>36</v>
      </c>
    </row>
    <row r="706" spans="1:13" x14ac:dyDescent="0.25">
      <c r="A706" t="s">
        <v>746</v>
      </c>
      <c r="B706" t="s">
        <v>25</v>
      </c>
      <c r="C706" t="s">
        <v>15</v>
      </c>
      <c r="D706" t="s">
        <v>34</v>
      </c>
      <c r="E706">
        <v>12</v>
      </c>
      <c r="F706">
        <v>80</v>
      </c>
      <c r="G706">
        <v>0.89</v>
      </c>
      <c r="H706" s="1">
        <v>46411</v>
      </c>
      <c r="I706" s="1">
        <v>46015</v>
      </c>
      <c r="J706">
        <v>10.68</v>
      </c>
      <c r="K706" t="s">
        <v>44</v>
      </c>
      <c r="L706">
        <v>292</v>
      </c>
      <c r="M706" t="s">
        <v>36</v>
      </c>
    </row>
    <row r="707" spans="1:13" x14ac:dyDescent="0.25">
      <c r="A707" t="s">
        <v>747</v>
      </c>
      <c r="B707" t="s">
        <v>14</v>
      </c>
      <c r="C707" t="s">
        <v>15</v>
      </c>
      <c r="D707" t="s">
        <v>49</v>
      </c>
      <c r="E707">
        <v>104</v>
      </c>
      <c r="F707">
        <v>55</v>
      </c>
      <c r="G707">
        <v>1.27</v>
      </c>
      <c r="H707" s="1">
        <v>46183</v>
      </c>
      <c r="I707" s="1">
        <v>46065</v>
      </c>
      <c r="J707">
        <v>132.08000000000001</v>
      </c>
      <c r="K707" t="s">
        <v>35</v>
      </c>
      <c r="L707">
        <v>64</v>
      </c>
      <c r="M707" t="s">
        <v>36</v>
      </c>
    </row>
    <row r="708" spans="1:13" x14ac:dyDescent="0.25">
      <c r="A708" t="s">
        <v>748</v>
      </c>
      <c r="B708" t="s">
        <v>25</v>
      </c>
      <c r="C708" t="s">
        <v>15</v>
      </c>
      <c r="D708" t="s">
        <v>38</v>
      </c>
      <c r="E708">
        <v>10</v>
      </c>
      <c r="F708">
        <v>36</v>
      </c>
      <c r="G708">
        <v>1.6</v>
      </c>
      <c r="H708" s="1">
        <v>46238</v>
      </c>
      <c r="I708" s="1">
        <v>45968</v>
      </c>
      <c r="J708">
        <v>16</v>
      </c>
      <c r="K708" t="s">
        <v>44</v>
      </c>
      <c r="L708">
        <v>119</v>
      </c>
      <c r="M708" t="s">
        <v>36</v>
      </c>
    </row>
    <row r="709" spans="1:13" x14ac:dyDescent="0.25">
      <c r="A709" t="s">
        <v>749</v>
      </c>
      <c r="B709" t="s">
        <v>12</v>
      </c>
      <c r="C709" t="s">
        <v>13</v>
      </c>
      <c r="D709" t="s">
        <v>34</v>
      </c>
      <c r="E709">
        <v>39</v>
      </c>
      <c r="F709">
        <v>49</v>
      </c>
      <c r="G709">
        <v>1.42</v>
      </c>
      <c r="H709" s="1">
        <v>46261</v>
      </c>
      <c r="I709" s="1">
        <v>46117</v>
      </c>
      <c r="J709">
        <v>55.379999999999995</v>
      </c>
      <c r="K709" t="s">
        <v>44</v>
      </c>
      <c r="L709">
        <v>142</v>
      </c>
      <c r="M709" t="s">
        <v>36</v>
      </c>
    </row>
    <row r="710" spans="1:13" x14ac:dyDescent="0.25">
      <c r="A710" t="s">
        <v>750</v>
      </c>
      <c r="B710" t="s">
        <v>16</v>
      </c>
      <c r="C710" t="s">
        <v>13</v>
      </c>
      <c r="D710" t="s">
        <v>40</v>
      </c>
      <c r="E710">
        <v>175</v>
      </c>
      <c r="F710">
        <v>61</v>
      </c>
      <c r="G710">
        <v>1.66</v>
      </c>
      <c r="H710" s="1">
        <v>46209</v>
      </c>
      <c r="I710" s="1">
        <v>46027</v>
      </c>
      <c r="J710">
        <v>290.5</v>
      </c>
      <c r="K710" t="s">
        <v>35</v>
      </c>
      <c r="L710">
        <v>90</v>
      </c>
      <c r="M710" t="s">
        <v>36</v>
      </c>
    </row>
    <row r="711" spans="1:13" x14ac:dyDescent="0.25">
      <c r="A711" t="s">
        <v>751</v>
      </c>
      <c r="B711" t="s">
        <v>12</v>
      </c>
      <c r="C711" t="s">
        <v>13</v>
      </c>
      <c r="D711" t="s">
        <v>40</v>
      </c>
      <c r="E711">
        <v>158</v>
      </c>
      <c r="F711">
        <v>77</v>
      </c>
      <c r="G711">
        <v>1.42</v>
      </c>
      <c r="H711" s="1">
        <v>46435</v>
      </c>
      <c r="I711" s="1">
        <v>45975</v>
      </c>
      <c r="J711">
        <v>224.35999999999999</v>
      </c>
      <c r="K711" t="s">
        <v>35</v>
      </c>
      <c r="L711">
        <v>316</v>
      </c>
      <c r="M711" t="s">
        <v>36</v>
      </c>
    </row>
    <row r="712" spans="1:13" x14ac:dyDescent="0.25">
      <c r="A712" t="s">
        <v>752</v>
      </c>
      <c r="B712" t="s">
        <v>26</v>
      </c>
      <c r="C712" t="s">
        <v>22</v>
      </c>
      <c r="D712" t="s">
        <v>40</v>
      </c>
      <c r="E712">
        <v>20</v>
      </c>
      <c r="F712">
        <v>76</v>
      </c>
      <c r="G712">
        <v>1.28</v>
      </c>
      <c r="H712" s="1">
        <v>46187</v>
      </c>
      <c r="I712" s="1">
        <v>45962</v>
      </c>
      <c r="J712">
        <v>25.6</v>
      </c>
      <c r="K712" t="s">
        <v>44</v>
      </c>
      <c r="L712">
        <v>68</v>
      </c>
      <c r="M712" t="s">
        <v>36</v>
      </c>
    </row>
    <row r="713" spans="1:13" x14ac:dyDescent="0.25">
      <c r="A713" t="s">
        <v>753</v>
      </c>
      <c r="B713" t="s">
        <v>27</v>
      </c>
      <c r="C713" t="s">
        <v>28</v>
      </c>
      <c r="D713" t="s">
        <v>49</v>
      </c>
      <c r="E713">
        <v>137</v>
      </c>
      <c r="F713">
        <v>56</v>
      </c>
      <c r="G713">
        <v>1.37</v>
      </c>
      <c r="H713" s="1">
        <v>46381</v>
      </c>
      <c r="I713" s="1">
        <v>46075</v>
      </c>
      <c r="J713">
        <v>187.69000000000003</v>
      </c>
      <c r="K713" t="s">
        <v>35</v>
      </c>
      <c r="L713">
        <v>262</v>
      </c>
      <c r="M713" t="s">
        <v>36</v>
      </c>
    </row>
    <row r="714" spans="1:13" x14ac:dyDescent="0.25">
      <c r="A714" t="s">
        <v>754</v>
      </c>
      <c r="B714" t="s">
        <v>19</v>
      </c>
      <c r="C714" t="s">
        <v>20</v>
      </c>
      <c r="D714" t="s">
        <v>38</v>
      </c>
      <c r="E714">
        <v>148</v>
      </c>
      <c r="F714">
        <v>32</v>
      </c>
      <c r="G714">
        <v>1.64</v>
      </c>
      <c r="H714" s="1">
        <v>46291</v>
      </c>
      <c r="I714" s="1">
        <v>46014</v>
      </c>
      <c r="J714">
        <v>242.72</v>
      </c>
      <c r="K714" t="s">
        <v>35</v>
      </c>
      <c r="L714">
        <v>172</v>
      </c>
      <c r="M714" t="s">
        <v>36</v>
      </c>
    </row>
    <row r="715" spans="1:13" x14ac:dyDescent="0.25">
      <c r="A715" t="s">
        <v>755</v>
      </c>
      <c r="B715" t="s">
        <v>23</v>
      </c>
      <c r="C715" t="s">
        <v>24</v>
      </c>
      <c r="D715" t="s">
        <v>34</v>
      </c>
      <c r="E715">
        <v>88</v>
      </c>
      <c r="F715">
        <v>57</v>
      </c>
      <c r="G715">
        <v>1.74</v>
      </c>
      <c r="H715" s="1">
        <v>46281</v>
      </c>
      <c r="I715" s="1">
        <v>46036</v>
      </c>
      <c r="J715">
        <v>153.12</v>
      </c>
      <c r="K715" t="s">
        <v>35</v>
      </c>
      <c r="L715">
        <v>162</v>
      </c>
      <c r="M715" t="s">
        <v>36</v>
      </c>
    </row>
    <row r="716" spans="1:13" x14ac:dyDescent="0.25">
      <c r="A716" t="s">
        <v>756</v>
      </c>
      <c r="B716" t="s">
        <v>19</v>
      </c>
      <c r="C716" t="s">
        <v>20</v>
      </c>
      <c r="D716" t="s">
        <v>49</v>
      </c>
      <c r="E716">
        <v>4</v>
      </c>
      <c r="F716">
        <v>87</v>
      </c>
      <c r="G716">
        <v>0.77</v>
      </c>
      <c r="H716" s="1">
        <v>46162</v>
      </c>
      <c r="I716" s="1">
        <v>46014</v>
      </c>
      <c r="J716">
        <v>3.08</v>
      </c>
      <c r="K716" t="s">
        <v>44</v>
      </c>
      <c r="L716">
        <v>43</v>
      </c>
      <c r="M716" t="s">
        <v>36</v>
      </c>
    </row>
    <row r="717" spans="1:13" x14ac:dyDescent="0.25">
      <c r="A717" t="s">
        <v>757</v>
      </c>
      <c r="B717" t="s">
        <v>14</v>
      </c>
      <c r="C717" t="s">
        <v>15</v>
      </c>
      <c r="D717" t="s">
        <v>38</v>
      </c>
      <c r="E717">
        <v>197</v>
      </c>
      <c r="F717">
        <v>86</v>
      </c>
      <c r="G717">
        <v>1.38</v>
      </c>
      <c r="H717" s="1">
        <v>46205</v>
      </c>
      <c r="I717" s="1">
        <v>46040</v>
      </c>
      <c r="J717">
        <v>271.85999999999996</v>
      </c>
      <c r="K717" t="s">
        <v>35</v>
      </c>
      <c r="L717">
        <v>86</v>
      </c>
      <c r="M717" t="s">
        <v>36</v>
      </c>
    </row>
    <row r="718" spans="1:13" x14ac:dyDescent="0.25">
      <c r="A718" t="s">
        <v>758</v>
      </c>
      <c r="B718" t="s">
        <v>14</v>
      </c>
      <c r="C718" t="s">
        <v>15</v>
      </c>
      <c r="D718" t="s">
        <v>40</v>
      </c>
      <c r="E718">
        <v>58</v>
      </c>
      <c r="F718">
        <v>87</v>
      </c>
      <c r="G718">
        <v>0.86</v>
      </c>
      <c r="H718" s="1">
        <v>46273</v>
      </c>
      <c r="I718" s="1">
        <v>45955</v>
      </c>
      <c r="J718">
        <v>49.88</v>
      </c>
      <c r="K718" t="s">
        <v>44</v>
      </c>
      <c r="L718">
        <v>154</v>
      </c>
      <c r="M718" t="s">
        <v>36</v>
      </c>
    </row>
    <row r="719" spans="1:13" x14ac:dyDescent="0.25">
      <c r="A719" t="s">
        <v>759</v>
      </c>
      <c r="B719" t="s">
        <v>26</v>
      </c>
      <c r="C719" t="s">
        <v>22</v>
      </c>
      <c r="D719" t="s">
        <v>40</v>
      </c>
      <c r="E719">
        <v>82</v>
      </c>
      <c r="F719">
        <v>95</v>
      </c>
      <c r="G719">
        <v>1.3</v>
      </c>
      <c r="H719" s="1">
        <v>46180</v>
      </c>
      <c r="I719" s="1">
        <v>46013</v>
      </c>
      <c r="J719">
        <v>106.60000000000001</v>
      </c>
      <c r="K719" t="s">
        <v>44</v>
      </c>
      <c r="L719">
        <v>61</v>
      </c>
      <c r="M719" t="s">
        <v>36</v>
      </c>
    </row>
    <row r="720" spans="1:13" x14ac:dyDescent="0.25">
      <c r="A720" t="s">
        <v>760</v>
      </c>
      <c r="B720" t="s">
        <v>12</v>
      </c>
      <c r="C720" t="s">
        <v>13</v>
      </c>
      <c r="D720" t="s">
        <v>40</v>
      </c>
      <c r="E720">
        <v>108</v>
      </c>
      <c r="F720">
        <v>69</v>
      </c>
      <c r="G720">
        <v>0.56999999999999995</v>
      </c>
      <c r="H720" s="1">
        <v>46312</v>
      </c>
      <c r="I720" s="1">
        <v>46029</v>
      </c>
      <c r="J720">
        <v>61.559999999999995</v>
      </c>
      <c r="K720" t="s">
        <v>35</v>
      </c>
      <c r="L720">
        <v>193</v>
      </c>
      <c r="M720" t="s">
        <v>36</v>
      </c>
    </row>
    <row r="721" spans="1:13" x14ac:dyDescent="0.25">
      <c r="A721" t="s">
        <v>761</v>
      </c>
      <c r="B721" t="s">
        <v>27</v>
      </c>
      <c r="C721" t="s">
        <v>28</v>
      </c>
      <c r="D721" t="s">
        <v>34</v>
      </c>
      <c r="E721">
        <v>60</v>
      </c>
      <c r="F721">
        <v>94</v>
      </c>
      <c r="G721">
        <v>1.56</v>
      </c>
      <c r="H721" s="1">
        <v>46468</v>
      </c>
      <c r="I721" s="1">
        <v>46045</v>
      </c>
      <c r="J721">
        <v>93.600000000000009</v>
      </c>
      <c r="K721" t="s">
        <v>44</v>
      </c>
      <c r="L721">
        <v>349</v>
      </c>
      <c r="M721" t="s">
        <v>36</v>
      </c>
    </row>
    <row r="722" spans="1:13" x14ac:dyDescent="0.25">
      <c r="A722" t="s">
        <v>762</v>
      </c>
      <c r="B722" t="s">
        <v>19</v>
      </c>
      <c r="C722" t="s">
        <v>20</v>
      </c>
      <c r="D722" t="s">
        <v>34</v>
      </c>
      <c r="E722">
        <v>83</v>
      </c>
      <c r="F722">
        <v>85</v>
      </c>
      <c r="G722">
        <v>0.69</v>
      </c>
      <c r="H722" s="1">
        <v>46164</v>
      </c>
      <c r="I722" s="1">
        <v>46024</v>
      </c>
      <c r="J722">
        <v>57.269999999999996</v>
      </c>
      <c r="K722" t="s">
        <v>44</v>
      </c>
      <c r="L722">
        <v>45</v>
      </c>
      <c r="M722" t="s">
        <v>36</v>
      </c>
    </row>
    <row r="723" spans="1:13" x14ac:dyDescent="0.25">
      <c r="A723" t="s">
        <v>763</v>
      </c>
      <c r="B723" t="s">
        <v>26</v>
      </c>
      <c r="C723" t="s">
        <v>22</v>
      </c>
      <c r="D723" t="s">
        <v>49</v>
      </c>
      <c r="E723">
        <v>172</v>
      </c>
      <c r="F723">
        <v>59</v>
      </c>
      <c r="G723">
        <v>1.06</v>
      </c>
      <c r="H723" s="1">
        <v>46478</v>
      </c>
      <c r="I723" s="1">
        <v>46080</v>
      </c>
      <c r="J723">
        <v>182.32000000000002</v>
      </c>
      <c r="K723" t="s">
        <v>35</v>
      </c>
      <c r="L723">
        <v>359</v>
      </c>
      <c r="M723" t="s">
        <v>36</v>
      </c>
    </row>
    <row r="724" spans="1:13" x14ac:dyDescent="0.25">
      <c r="A724" t="s">
        <v>764</v>
      </c>
      <c r="B724" t="s">
        <v>25</v>
      </c>
      <c r="C724" t="s">
        <v>15</v>
      </c>
      <c r="D724" t="s">
        <v>49</v>
      </c>
      <c r="E724">
        <v>200</v>
      </c>
      <c r="F724">
        <v>33</v>
      </c>
      <c r="G724">
        <v>0.91</v>
      </c>
      <c r="H724" s="1">
        <v>46468</v>
      </c>
      <c r="I724" s="1">
        <v>45946</v>
      </c>
      <c r="J724">
        <v>182</v>
      </c>
      <c r="K724" t="s">
        <v>35</v>
      </c>
      <c r="L724">
        <v>349</v>
      </c>
      <c r="M724" t="s">
        <v>36</v>
      </c>
    </row>
    <row r="725" spans="1:13" x14ac:dyDescent="0.25">
      <c r="A725" t="s">
        <v>765</v>
      </c>
      <c r="B725" t="s">
        <v>21</v>
      </c>
      <c r="C725" t="s">
        <v>22</v>
      </c>
      <c r="D725" t="s">
        <v>38</v>
      </c>
      <c r="E725">
        <v>161</v>
      </c>
      <c r="F725">
        <v>47</v>
      </c>
      <c r="G725">
        <v>1.1200000000000001</v>
      </c>
      <c r="H725" s="1">
        <v>46437</v>
      </c>
      <c r="I725" s="1">
        <v>46068</v>
      </c>
      <c r="J725">
        <v>180.32000000000002</v>
      </c>
      <c r="K725" t="s">
        <v>35</v>
      </c>
      <c r="L725">
        <v>318</v>
      </c>
      <c r="M725" t="s">
        <v>36</v>
      </c>
    </row>
    <row r="726" spans="1:13" x14ac:dyDescent="0.25">
      <c r="A726" t="s">
        <v>766</v>
      </c>
      <c r="B726" t="s">
        <v>25</v>
      </c>
      <c r="C726" t="s">
        <v>15</v>
      </c>
      <c r="D726" t="s">
        <v>34</v>
      </c>
      <c r="E726">
        <v>73</v>
      </c>
      <c r="F726">
        <v>67</v>
      </c>
      <c r="G726">
        <v>0.54</v>
      </c>
      <c r="H726" s="1">
        <v>46334</v>
      </c>
      <c r="I726" s="1">
        <v>45977</v>
      </c>
      <c r="J726">
        <v>39.42</v>
      </c>
      <c r="K726" t="s">
        <v>35</v>
      </c>
      <c r="L726">
        <v>215</v>
      </c>
      <c r="M726" t="s">
        <v>36</v>
      </c>
    </row>
    <row r="727" spans="1:13" x14ac:dyDescent="0.25">
      <c r="A727" t="s">
        <v>767</v>
      </c>
      <c r="B727" t="s">
        <v>27</v>
      </c>
      <c r="C727" t="s">
        <v>28</v>
      </c>
      <c r="D727" t="s">
        <v>49</v>
      </c>
      <c r="E727">
        <v>184</v>
      </c>
      <c r="F727">
        <v>23</v>
      </c>
      <c r="G727">
        <v>1.24</v>
      </c>
      <c r="H727" s="1">
        <v>46293</v>
      </c>
      <c r="I727" s="1">
        <v>46073</v>
      </c>
      <c r="J727">
        <v>228.16</v>
      </c>
      <c r="K727" t="s">
        <v>35</v>
      </c>
      <c r="L727">
        <v>174</v>
      </c>
      <c r="M727" t="s">
        <v>36</v>
      </c>
    </row>
    <row r="728" spans="1:13" x14ac:dyDescent="0.25">
      <c r="A728" t="s">
        <v>768</v>
      </c>
      <c r="B728" t="s">
        <v>26</v>
      </c>
      <c r="C728" t="s">
        <v>22</v>
      </c>
      <c r="D728" t="s">
        <v>38</v>
      </c>
      <c r="E728">
        <v>156</v>
      </c>
      <c r="F728">
        <v>87</v>
      </c>
      <c r="G728">
        <v>0.78</v>
      </c>
      <c r="H728" s="1">
        <v>46292</v>
      </c>
      <c r="I728" s="1">
        <v>46069</v>
      </c>
      <c r="J728">
        <v>121.68</v>
      </c>
      <c r="K728" t="s">
        <v>35</v>
      </c>
      <c r="L728">
        <v>173</v>
      </c>
      <c r="M728" t="s">
        <v>36</v>
      </c>
    </row>
    <row r="729" spans="1:13" x14ac:dyDescent="0.25">
      <c r="A729" t="s">
        <v>769</v>
      </c>
      <c r="B729" t="s">
        <v>25</v>
      </c>
      <c r="C729" t="s">
        <v>15</v>
      </c>
      <c r="D729" t="s">
        <v>49</v>
      </c>
      <c r="E729">
        <v>121</v>
      </c>
      <c r="F729">
        <v>71</v>
      </c>
      <c r="G729">
        <v>1.45</v>
      </c>
      <c r="H729" s="1">
        <v>46331</v>
      </c>
      <c r="I729" s="1">
        <v>46074</v>
      </c>
      <c r="J729">
        <v>175.45</v>
      </c>
      <c r="K729" t="s">
        <v>35</v>
      </c>
      <c r="L729">
        <v>212</v>
      </c>
      <c r="M729" t="s">
        <v>36</v>
      </c>
    </row>
    <row r="730" spans="1:13" x14ac:dyDescent="0.25">
      <c r="A730" t="s">
        <v>770</v>
      </c>
      <c r="B730" t="s">
        <v>16</v>
      </c>
      <c r="C730" t="s">
        <v>13</v>
      </c>
      <c r="D730" t="s">
        <v>40</v>
      </c>
      <c r="E730">
        <v>90</v>
      </c>
      <c r="F730">
        <v>41</v>
      </c>
      <c r="G730">
        <v>1.74</v>
      </c>
      <c r="H730" s="1">
        <v>46407</v>
      </c>
      <c r="I730" s="1">
        <v>46102</v>
      </c>
      <c r="J730">
        <v>156.6</v>
      </c>
      <c r="K730" t="s">
        <v>35</v>
      </c>
      <c r="L730">
        <v>288</v>
      </c>
      <c r="M730" t="s">
        <v>36</v>
      </c>
    </row>
    <row r="731" spans="1:13" x14ac:dyDescent="0.25">
      <c r="A731" t="s">
        <v>771</v>
      </c>
      <c r="B731" t="s">
        <v>17</v>
      </c>
      <c r="C731" t="s">
        <v>18</v>
      </c>
      <c r="D731" t="s">
        <v>38</v>
      </c>
      <c r="E731">
        <v>63</v>
      </c>
      <c r="F731">
        <v>45</v>
      </c>
      <c r="G731">
        <v>1.89</v>
      </c>
      <c r="H731" s="1">
        <v>46448</v>
      </c>
      <c r="I731" s="1">
        <v>45961</v>
      </c>
      <c r="J731">
        <v>119.07</v>
      </c>
      <c r="K731" t="s">
        <v>35</v>
      </c>
      <c r="L731">
        <v>329</v>
      </c>
      <c r="M731" t="s">
        <v>36</v>
      </c>
    </row>
    <row r="732" spans="1:13" x14ac:dyDescent="0.25">
      <c r="A732" t="s">
        <v>772</v>
      </c>
      <c r="B732" t="s">
        <v>25</v>
      </c>
      <c r="C732" t="s">
        <v>15</v>
      </c>
      <c r="D732" t="s">
        <v>34</v>
      </c>
      <c r="E732">
        <v>31</v>
      </c>
      <c r="F732">
        <v>84</v>
      </c>
      <c r="G732">
        <v>1.05</v>
      </c>
      <c r="H732" s="1">
        <v>46333</v>
      </c>
      <c r="I732" s="1">
        <v>45973</v>
      </c>
      <c r="J732">
        <v>32.550000000000004</v>
      </c>
      <c r="K732" t="s">
        <v>44</v>
      </c>
      <c r="L732">
        <v>214</v>
      </c>
      <c r="M732" t="s">
        <v>36</v>
      </c>
    </row>
    <row r="733" spans="1:13" x14ac:dyDescent="0.25">
      <c r="A733" t="s">
        <v>773</v>
      </c>
      <c r="B733" t="s">
        <v>27</v>
      </c>
      <c r="C733" t="s">
        <v>28</v>
      </c>
      <c r="D733" t="s">
        <v>49</v>
      </c>
      <c r="E733">
        <v>13</v>
      </c>
      <c r="F733">
        <v>37</v>
      </c>
      <c r="G733">
        <v>0.54</v>
      </c>
      <c r="H733" s="1">
        <v>46399</v>
      </c>
      <c r="I733" s="1">
        <v>45972</v>
      </c>
      <c r="J733">
        <v>7.0200000000000005</v>
      </c>
      <c r="K733" t="s">
        <v>44</v>
      </c>
      <c r="L733">
        <v>280</v>
      </c>
      <c r="M733" t="s">
        <v>36</v>
      </c>
    </row>
    <row r="734" spans="1:13" x14ac:dyDescent="0.25">
      <c r="A734" t="s">
        <v>774</v>
      </c>
      <c r="B734" t="s">
        <v>19</v>
      </c>
      <c r="C734" t="s">
        <v>20</v>
      </c>
      <c r="D734" t="s">
        <v>40</v>
      </c>
      <c r="E734">
        <v>95</v>
      </c>
      <c r="F734">
        <v>31</v>
      </c>
      <c r="G734">
        <v>1.07</v>
      </c>
      <c r="H734" s="1">
        <v>46350</v>
      </c>
      <c r="I734" s="1">
        <v>46028</v>
      </c>
      <c r="J734">
        <v>101.65</v>
      </c>
      <c r="K734" t="s">
        <v>35</v>
      </c>
      <c r="L734">
        <v>231</v>
      </c>
      <c r="M734" t="s">
        <v>36</v>
      </c>
    </row>
    <row r="735" spans="1:13" x14ac:dyDescent="0.25">
      <c r="A735" t="s">
        <v>775</v>
      </c>
      <c r="B735" t="s">
        <v>14</v>
      </c>
      <c r="C735" t="s">
        <v>15</v>
      </c>
      <c r="D735" t="s">
        <v>38</v>
      </c>
      <c r="E735">
        <v>142</v>
      </c>
      <c r="F735">
        <v>87</v>
      </c>
      <c r="G735">
        <v>1.03</v>
      </c>
      <c r="H735" s="1">
        <v>46445</v>
      </c>
      <c r="I735" s="1">
        <v>46090</v>
      </c>
      <c r="J735">
        <v>146.26</v>
      </c>
      <c r="K735" t="s">
        <v>35</v>
      </c>
      <c r="L735">
        <v>326</v>
      </c>
      <c r="M735" t="s">
        <v>36</v>
      </c>
    </row>
    <row r="736" spans="1:13" x14ac:dyDescent="0.25">
      <c r="A736" t="s">
        <v>776</v>
      </c>
      <c r="B736" t="s">
        <v>14</v>
      </c>
      <c r="C736" t="s">
        <v>15</v>
      </c>
      <c r="D736" t="s">
        <v>34</v>
      </c>
      <c r="E736">
        <v>196</v>
      </c>
      <c r="F736">
        <v>96</v>
      </c>
      <c r="G736">
        <v>1.04</v>
      </c>
      <c r="H736" s="1">
        <v>46152</v>
      </c>
      <c r="I736" s="1">
        <v>46005</v>
      </c>
      <c r="J736">
        <v>203.84</v>
      </c>
      <c r="K736" t="s">
        <v>35</v>
      </c>
      <c r="L736">
        <v>33</v>
      </c>
      <c r="M736" t="s">
        <v>36</v>
      </c>
    </row>
    <row r="737" spans="1:13" x14ac:dyDescent="0.25">
      <c r="A737" t="s">
        <v>777</v>
      </c>
      <c r="B737" t="s">
        <v>19</v>
      </c>
      <c r="C737" t="s">
        <v>20</v>
      </c>
      <c r="D737" t="s">
        <v>34</v>
      </c>
      <c r="E737">
        <v>31</v>
      </c>
      <c r="F737">
        <v>25</v>
      </c>
      <c r="G737">
        <v>0.7</v>
      </c>
      <c r="H737" s="1">
        <v>46412</v>
      </c>
      <c r="I737" s="1">
        <v>45968</v>
      </c>
      <c r="J737">
        <v>21.7</v>
      </c>
      <c r="K737" t="s">
        <v>35</v>
      </c>
      <c r="L737">
        <v>293</v>
      </c>
      <c r="M737" t="s">
        <v>36</v>
      </c>
    </row>
    <row r="738" spans="1:13" x14ac:dyDescent="0.25">
      <c r="A738" t="s">
        <v>778</v>
      </c>
      <c r="B738" t="s">
        <v>12</v>
      </c>
      <c r="C738" t="s">
        <v>13</v>
      </c>
      <c r="D738" t="s">
        <v>49</v>
      </c>
      <c r="E738">
        <v>194</v>
      </c>
      <c r="F738">
        <v>81</v>
      </c>
      <c r="G738">
        <v>1.69</v>
      </c>
      <c r="H738" s="1">
        <v>46159</v>
      </c>
      <c r="I738" s="1">
        <v>45944</v>
      </c>
      <c r="J738">
        <v>327.86</v>
      </c>
      <c r="K738" t="s">
        <v>35</v>
      </c>
      <c r="L738">
        <v>40</v>
      </c>
      <c r="M738" t="s">
        <v>36</v>
      </c>
    </row>
    <row r="739" spans="1:13" x14ac:dyDescent="0.25">
      <c r="A739" t="s">
        <v>779</v>
      </c>
      <c r="B739" t="s">
        <v>12</v>
      </c>
      <c r="C739" t="s">
        <v>13</v>
      </c>
      <c r="D739" t="s">
        <v>34</v>
      </c>
      <c r="E739">
        <v>191</v>
      </c>
      <c r="F739">
        <v>48</v>
      </c>
      <c r="G739">
        <v>1.47</v>
      </c>
      <c r="H739" s="1">
        <v>46264</v>
      </c>
      <c r="I739" s="1">
        <v>46097</v>
      </c>
      <c r="J739">
        <v>280.77</v>
      </c>
      <c r="K739" t="s">
        <v>35</v>
      </c>
      <c r="L739">
        <v>145</v>
      </c>
      <c r="M739" t="s">
        <v>36</v>
      </c>
    </row>
    <row r="740" spans="1:13" x14ac:dyDescent="0.25">
      <c r="A740" t="s">
        <v>780</v>
      </c>
      <c r="B740" t="s">
        <v>25</v>
      </c>
      <c r="C740" t="s">
        <v>15</v>
      </c>
      <c r="D740" t="s">
        <v>34</v>
      </c>
      <c r="E740">
        <v>173</v>
      </c>
      <c r="F740">
        <v>40</v>
      </c>
      <c r="G740">
        <v>0.62</v>
      </c>
      <c r="H740" s="1">
        <v>46320</v>
      </c>
      <c r="I740" s="1">
        <v>46031</v>
      </c>
      <c r="J740">
        <v>107.26</v>
      </c>
      <c r="K740" t="s">
        <v>35</v>
      </c>
      <c r="L740">
        <v>201</v>
      </c>
      <c r="M740" t="s">
        <v>36</v>
      </c>
    </row>
    <row r="741" spans="1:13" x14ac:dyDescent="0.25">
      <c r="A741" t="s">
        <v>781</v>
      </c>
      <c r="B741" t="s">
        <v>19</v>
      </c>
      <c r="C741" t="s">
        <v>20</v>
      </c>
      <c r="D741" t="s">
        <v>40</v>
      </c>
      <c r="E741">
        <v>184</v>
      </c>
      <c r="F741">
        <v>32</v>
      </c>
      <c r="G741">
        <v>1.81</v>
      </c>
      <c r="H741" s="1">
        <v>46178</v>
      </c>
      <c r="I741" s="1">
        <v>46070</v>
      </c>
      <c r="J741">
        <v>333.04</v>
      </c>
      <c r="K741" t="s">
        <v>35</v>
      </c>
      <c r="L741">
        <v>59</v>
      </c>
      <c r="M741" t="s">
        <v>36</v>
      </c>
    </row>
    <row r="742" spans="1:13" x14ac:dyDescent="0.25">
      <c r="A742" t="s">
        <v>782</v>
      </c>
      <c r="B742" t="s">
        <v>17</v>
      </c>
      <c r="C742" t="s">
        <v>18</v>
      </c>
      <c r="D742" t="s">
        <v>34</v>
      </c>
      <c r="E742">
        <v>127</v>
      </c>
      <c r="F742">
        <v>93</v>
      </c>
      <c r="G742">
        <v>1.63</v>
      </c>
      <c r="H742" s="1">
        <v>46380</v>
      </c>
      <c r="I742" s="1">
        <v>46034</v>
      </c>
      <c r="J742">
        <v>207.01</v>
      </c>
      <c r="K742" t="s">
        <v>35</v>
      </c>
      <c r="L742">
        <v>261</v>
      </c>
      <c r="M742" t="s">
        <v>36</v>
      </c>
    </row>
    <row r="743" spans="1:13" x14ac:dyDescent="0.25">
      <c r="A743" t="s">
        <v>783</v>
      </c>
      <c r="B743" t="s">
        <v>19</v>
      </c>
      <c r="C743" t="s">
        <v>20</v>
      </c>
      <c r="D743" t="s">
        <v>49</v>
      </c>
      <c r="E743">
        <v>84</v>
      </c>
      <c r="F743">
        <v>47</v>
      </c>
      <c r="G743">
        <v>1.58</v>
      </c>
      <c r="H743" s="1">
        <v>46310</v>
      </c>
      <c r="I743" s="1">
        <v>45960</v>
      </c>
      <c r="J743">
        <v>132.72</v>
      </c>
      <c r="K743" t="s">
        <v>35</v>
      </c>
      <c r="L743">
        <v>191</v>
      </c>
      <c r="M743" t="s">
        <v>36</v>
      </c>
    </row>
    <row r="744" spans="1:13" x14ac:dyDescent="0.25">
      <c r="A744" t="s">
        <v>784</v>
      </c>
      <c r="B744" t="s">
        <v>27</v>
      </c>
      <c r="C744" t="s">
        <v>28</v>
      </c>
      <c r="D744" t="s">
        <v>38</v>
      </c>
      <c r="E744">
        <v>43</v>
      </c>
      <c r="F744">
        <v>63</v>
      </c>
      <c r="G744">
        <v>0.93</v>
      </c>
      <c r="H744" s="1">
        <v>46172</v>
      </c>
      <c r="I744" s="1">
        <v>46024</v>
      </c>
      <c r="J744">
        <v>39.99</v>
      </c>
      <c r="K744" t="s">
        <v>44</v>
      </c>
      <c r="L744">
        <v>53</v>
      </c>
      <c r="M744" t="s">
        <v>36</v>
      </c>
    </row>
    <row r="745" spans="1:13" x14ac:dyDescent="0.25">
      <c r="A745" t="s">
        <v>785</v>
      </c>
      <c r="B745" t="s">
        <v>25</v>
      </c>
      <c r="C745" t="s">
        <v>15</v>
      </c>
      <c r="D745" t="s">
        <v>49</v>
      </c>
      <c r="E745">
        <v>58</v>
      </c>
      <c r="F745">
        <v>62</v>
      </c>
      <c r="G745">
        <v>1.61</v>
      </c>
      <c r="H745" s="1">
        <v>46414</v>
      </c>
      <c r="I745" s="1">
        <v>45979</v>
      </c>
      <c r="J745">
        <v>93.38000000000001</v>
      </c>
      <c r="K745" t="s">
        <v>44</v>
      </c>
      <c r="L745">
        <v>295</v>
      </c>
      <c r="M745" t="s">
        <v>36</v>
      </c>
    </row>
    <row r="746" spans="1:13" x14ac:dyDescent="0.25">
      <c r="A746" t="s">
        <v>786</v>
      </c>
      <c r="B746" t="s">
        <v>25</v>
      </c>
      <c r="C746" t="s">
        <v>15</v>
      </c>
      <c r="D746" t="s">
        <v>49</v>
      </c>
      <c r="E746">
        <v>59</v>
      </c>
      <c r="F746">
        <v>28</v>
      </c>
      <c r="G746">
        <v>1.61</v>
      </c>
      <c r="H746" s="1">
        <v>46162</v>
      </c>
      <c r="I746" s="1">
        <v>45972</v>
      </c>
      <c r="J746">
        <v>94.990000000000009</v>
      </c>
      <c r="K746" t="s">
        <v>35</v>
      </c>
      <c r="L746">
        <v>43</v>
      </c>
      <c r="M746" t="s">
        <v>36</v>
      </c>
    </row>
    <row r="747" spans="1:13" x14ac:dyDescent="0.25">
      <c r="A747" t="s">
        <v>787</v>
      </c>
      <c r="B747" t="s">
        <v>25</v>
      </c>
      <c r="C747" t="s">
        <v>15</v>
      </c>
      <c r="D747" t="s">
        <v>34</v>
      </c>
      <c r="E747">
        <v>181</v>
      </c>
      <c r="F747">
        <v>67</v>
      </c>
      <c r="G747">
        <v>1.5</v>
      </c>
      <c r="H747" s="1">
        <v>46244</v>
      </c>
      <c r="I747" s="1">
        <v>45985</v>
      </c>
      <c r="J747">
        <v>271.5</v>
      </c>
      <c r="K747" t="s">
        <v>35</v>
      </c>
      <c r="L747">
        <v>125</v>
      </c>
      <c r="M747" t="s">
        <v>36</v>
      </c>
    </row>
    <row r="748" spans="1:13" x14ac:dyDescent="0.25">
      <c r="A748" t="s">
        <v>788</v>
      </c>
      <c r="B748" t="s">
        <v>19</v>
      </c>
      <c r="C748" t="s">
        <v>20</v>
      </c>
      <c r="D748" t="s">
        <v>34</v>
      </c>
      <c r="E748">
        <v>126</v>
      </c>
      <c r="F748">
        <v>61</v>
      </c>
      <c r="G748">
        <v>1.0900000000000001</v>
      </c>
      <c r="H748" s="1">
        <v>46203</v>
      </c>
      <c r="I748" s="1">
        <v>46102</v>
      </c>
      <c r="J748">
        <v>137.34</v>
      </c>
      <c r="K748" t="s">
        <v>35</v>
      </c>
      <c r="L748">
        <v>84</v>
      </c>
      <c r="M748" t="s">
        <v>36</v>
      </c>
    </row>
    <row r="749" spans="1:13" x14ac:dyDescent="0.25">
      <c r="A749" t="s">
        <v>789</v>
      </c>
      <c r="B749" t="s">
        <v>16</v>
      </c>
      <c r="C749" t="s">
        <v>13</v>
      </c>
      <c r="D749" t="s">
        <v>40</v>
      </c>
      <c r="E749">
        <v>45</v>
      </c>
      <c r="F749">
        <v>21</v>
      </c>
      <c r="G749">
        <v>0.82</v>
      </c>
      <c r="H749" s="1">
        <v>46249</v>
      </c>
      <c r="I749" s="1">
        <v>45999</v>
      </c>
      <c r="J749">
        <v>36.9</v>
      </c>
      <c r="K749" t="s">
        <v>35</v>
      </c>
      <c r="L749">
        <v>130</v>
      </c>
      <c r="M749" t="s">
        <v>36</v>
      </c>
    </row>
    <row r="750" spans="1:13" x14ac:dyDescent="0.25">
      <c r="A750" t="s">
        <v>790</v>
      </c>
      <c r="B750" t="s">
        <v>14</v>
      </c>
      <c r="C750" t="s">
        <v>15</v>
      </c>
      <c r="D750" t="s">
        <v>34</v>
      </c>
      <c r="E750">
        <v>142</v>
      </c>
      <c r="F750">
        <v>34</v>
      </c>
      <c r="G750">
        <v>1.82</v>
      </c>
      <c r="H750" s="1">
        <v>46194</v>
      </c>
      <c r="I750" s="1">
        <v>46089</v>
      </c>
      <c r="J750">
        <v>258.44</v>
      </c>
      <c r="K750" t="s">
        <v>35</v>
      </c>
      <c r="L750">
        <v>75</v>
      </c>
      <c r="M750" t="s">
        <v>36</v>
      </c>
    </row>
    <row r="751" spans="1:13" x14ac:dyDescent="0.25">
      <c r="A751" t="s">
        <v>791</v>
      </c>
      <c r="B751" t="s">
        <v>21</v>
      </c>
      <c r="C751" t="s">
        <v>22</v>
      </c>
      <c r="D751" t="s">
        <v>40</v>
      </c>
      <c r="E751">
        <v>28</v>
      </c>
      <c r="F751">
        <v>77</v>
      </c>
      <c r="G751">
        <v>0.82</v>
      </c>
      <c r="H751" s="1">
        <v>46269</v>
      </c>
      <c r="I751" s="1">
        <v>45974</v>
      </c>
      <c r="J751">
        <v>22.959999999999997</v>
      </c>
      <c r="K751" t="s">
        <v>44</v>
      </c>
      <c r="L751">
        <v>150</v>
      </c>
      <c r="M751" t="s">
        <v>36</v>
      </c>
    </row>
    <row r="752" spans="1:13" x14ac:dyDescent="0.25">
      <c r="A752" t="s">
        <v>792</v>
      </c>
      <c r="B752" t="s">
        <v>21</v>
      </c>
      <c r="C752" t="s">
        <v>22</v>
      </c>
      <c r="D752" t="s">
        <v>38</v>
      </c>
      <c r="E752">
        <v>156</v>
      </c>
      <c r="F752">
        <v>48</v>
      </c>
      <c r="G752">
        <v>1.97</v>
      </c>
      <c r="H752" s="1">
        <v>46454</v>
      </c>
      <c r="I752" s="1">
        <v>45991</v>
      </c>
      <c r="J752">
        <v>307.32</v>
      </c>
      <c r="K752" t="s">
        <v>35</v>
      </c>
      <c r="L752">
        <v>335</v>
      </c>
      <c r="M752" t="s">
        <v>36</v>
      </c>
    </row>
    <row r="753" spans="1:13" x14ac:dyDescent="0.25">
      <c r="A753" t="s">
        <v>793</v>
      </c>
      <c r="B753" t="s">
        <v>27</v>
      </c>
      <c r="C753" t="s">
        <v>28</v>
      </c>
      <c r="D753" t="s">
        <v>34</v>
      </c>
      <c r="E753">
        <v>116</v>
      </c>
      <c r="F753">
        <v>86</v>
      </c>
      <c r="G753">
        <v>0.91</v>
      </c>
      <c r="H753" s="1">
        <v>46207</v>
      </c>
      <c r="I753" s="1">
        <v>46032</v>
      </c>
      <c r="J753">
        <v>105.56</v>
      </c>
      <c r="K753" t="s">
        <v>35</v>
      </c>
      <c r="L753">
        <v>88</v>
      </c>
      <c r="M753" t="s">
        <v>36</v>
      </c>
    </row>
    <row r="754" spans="1:13" x14ac:dyDescent="0.25">
      <c r="A754" t="s">
        <v>794</v>
      </c>
      <c r="B754" t="s">
        <v>23</v>
      </c>
      <c r="C754" t="s">
        <v>24</v>
      </c>
      <c r="D754" t="s">
        <v>38</v>
      </c>
      <c r="E754">
        <v>14</v>
      </c>
      <c r="F754">
        <v>34</v>
      </c>
      <c r="G754">
        <v>1.88</v>
      </c>
      <c r="H754" s="1">
        <v>46348</v>
      </c>
      <c r="I754" s="1">
        <v>46075</v>
      </c>
      <c r="J754">
        <v>26.32</v>
      </c>
      <c r="K754" t="s">
        <v>44</v>
      </c>
      <c r="L754">
        <v>229</v>
      </c>
      <c r="M754" t="s">
        <v>36</v>
      </c>
    </row>
    <row r="755" spans="1:13" x14ac:dyDescent="0.25">
      <c r="A755" t="s">
        <v>795</v>
      </c>
      <c r="B755" t="s">
        <v>26</v>
      </c>
      <c r="C755" t="s">
        <v>22</v>
      </c>
      <c r="D755" t="s">
        <v>34</v>
      </c>
      <c r="E755">
        <v>98</v>
      </c>
      <c r="F755">
        <v>75</v>
      </c>
      <c r="G755">
        <v>0.84</v>
      </c>
      <c r="H755" s="1">
        <v>46304</v>
      </c>
      <c r="I755" s="1">
        <v>46065</v>
      </c>
      <c r="J755">
        <v>82.32</v>
      </c>
      <c r="K755" t="s">
        <v>35</v>
      </c>
      <c r="L755">
        <v>185</v>
      </c>
      <c r="M755" t="s">
        <v>36</v>
      </c>
    </row>
    <row r="756" spans="1:13" x14ac:dyDescent="0.25">
      <c r="A756" t="s">
        <v>796</v>
      </c>
      <c r="B756" t="s">
        <v>23</v>
      </c>
      <c r="C756" t="s">
        <v>24</v>
      </c>
      <c r="D756" t="s">
        <v>38</v>
      </c>
      <c r="E756">
        <v>174</v>
      </c>
      <c r="F756">
        <v>72</v>
      </c>
      <c r="G756">
        <v>1.55</v>
      </c>
      <c r="H756" s="1">
        <v>46338</v>
      </c>
      <c r="I756" s="1">
        <v>46022</v>
      </c>
      <c r="J756">
        <v>269.7</v>
      </c>
      <c r="K756" t="s">
        <v>35</v>
      </c>
      <c r="L756">
        <v>219</v>
      </c>
      <c r="M756" t="s">
        <v>36</v>
      </c>
    </row>
    <row r="757" spans="1:13" x14ac:dyDescent="0.25">
      <c r="A757" t="s">
        <v>797</v>
      </c>
      <c r="B757" t="s">
        <v>12</v>
      </c>
      <c r="C757" t="s">
        <v>13</v>
      </c>
      <c r="D757" t="s">
        <v>34</v>
      </c>
      <c r="E757">
        <v>95</v>
      </c>
      <c r="F757">
        <v>27</v>
      </c>
      <c r="G757">
        <v>1.55</v>
      </c>
      <c r="H757" s="1">
        <v>46472</v>
      </c>
      <c r="I757" s="1">
        <v>46004</v>
      </c>
      <c r="J757">
        <v>147.25</v>
      </c>
      <c r="K757" t="s">
        <v>35</v>
      </c>
      <c r="L757">
        <v>353</v>
      </c>
      <c r="M757" t="s">
        <v>36</v>
      </c>
    </row>
    <row r="758" spans="1:13" x14ac:dyDescent="0.25">
      <c r="A758" t="s">
        <v>798</v>
      </c>
      <c r="B758" t="s">
        <v>19</v>
      </c>
      <c r="C758" t="s">
        <v>20</v>
      </c>
      <c r="D758" t="s">
        <v>34</v>
      </c>
      <c r="E758">
        <v>118</v>
      </c>
      <c r="F758">
        <v>75</v>
      </c>
      <c r="G758">
        <v>0.73</v>
      </c>
      <c r="H758" s="1">
        <v>46219</v>
      </c>
      <c r="I758" s="1">
        <v>46029</v>
      </c>
      <c r="J758">
        <v>86.14</v>
      </c>
      <c r="K758" t="s">
        <v>35</v>
      </c>
      <c r="L758">
        <v>100</v>
      </c>
      <c r="M758" t="s">
        <v>36</v>
      </c>
    </row>
    <row r="759" spans="1:13" x14ac:dyDescent="0.25">
      <c r="A759" t="s">
        <v>799</v>
      </c>
      <c r="B759" t="s">
        <v>16</v>
      </c>
      <c r="C759" t="s">
        <v>13</v>
      </c>
      <c r="D759" t="s">
        <v>49</v>
      </c>
      <c r="E759">
        <v>93</v>
      </c>
      <c r="F759">
        <v>58</v>
      </c>
      <c r="G759">
        <v>1.28</v>
      </c>
      <c r="H759" s="1">
        <v>46380</v>
      </c>
      <c r="I759" s="1">
        <v>45968</v>
      </c>
      <c r="J759">
        <v>119.04</v>
      </c>
      <c r="K759" t="s">
        <v>35</v>
      </c>
      <c r="L759">
        <v>261</v>
      </c>
      <c r="M759" t="s">
        <v>36</v>
      </c>
    </row>
    <row r="760" spans="1:13" x14ac:dyDescent="0.25">
      <c r="A760" t="s">
        <v>800</v>
      </c>
      <c r="B760" t="s">
        <v>26</v>
      </c>
      <c r="C760" t="s">
        <v>22</v>
      </c>
      <c r="D760" t="s">
        <v>38</v>
      </c>
      <c r="E760">
        <v>40</v>
      </c>
      <c r="F760">
        <v>82</v>
      </c>
      <c r="G760">
        <v>1.53</v>
      </c>
      <c r="H760" s="1">
        <v>46170</v>
      </c>
      <c r="I760" s="1">
        <v>46092</v>
      </c>
      <c r="J760">
        <v>61.2</v>
      </c>
      <c r="K760" t="s">
        <v>44</v>
      </c>
      <c r="L760">
        <v>51</v>
      </c>
      <c r="M760" t="s">
        <v>36</v>
      </c>
    </row>
    <row r="761" spans="1:13" x14ac:dyDescent="0.25">
      <c r="A761" t="s">
        <v>801</v>
      </c>
      <c r="B761" t="s">
        <v>19</v>
      </c>
      <c r="C761" t="s">
        <v>20</v>
      </c>
      <c r="D761" t="s">
        <v>40</v>
      </c>
      <c r="E761">
        <v>197</v>
      </c>
      <c r="F761">
        <v>97</v>
      </c>
      <c r="G761">
        <v>1.1499999999999999</v>
      </c>
      <c r="H761" s="1">
        <v>46398</v>
      </c>
      <c r="I761" s="1">
        <v>45960</v>
      </c>
      <c r="J761">
        <v>226.54999999999998</v>
      </c>
      <c r="K761" t="s">
        <v>35</v>
      </c>
      <c r="L761">
        <v>279</v>
      </c>
      <c r="M761" t="s">
        <v>36</v>
      </c>
    </row>
    <row r="762" spans="1:13" x14ac:dyDescent="0.25">
      <c r="A762" t="s">
        <v>802</v>
      </c>
      <c r="B762" t="s">
        <v>27</v>
      </c>
      <c r="C762" t="s">
        <v>28</v>
      </c>
      <c r="D762" t="s">
        <v>38</v>
      </c>
      <c r="E762">
        <v>93</v>
      </c>
      <c r="F762">
        <v>32</v>
      </c>
      <c r="G762">
        <v>1.71</v>
      </c>
      <c r="H762" s="1">
        <v>46350</v>
      </c>
      <c r="I762" s="1">
        <v>45960</v>
      </c>
      <c r="J762">
        <v>159.03</v>
      </c>
      <c r="K762" t="s">
        <v>35</v>
      </c>
      <c r="L762">
        <v>231</v>
      </c>
      <c r="M762" t="s">
        <v>36</v>
      </c>
    </row>
    <row r="763" spans="1:13" x14ac:dyDescent="0.25">
      <c r="A763" t="s">
        <v>803</v>
      </c>
      <c r="B763" t="s">
        <v>26</v>
      </c>
      <c r="C763" t="s">
        <v>22</v>
      </c>
      <c r="D763" t="s">
        <v>49</v>
      </c>
      <c r="E763">
        <v>176</v>
      </c>
      <c r="F763">
        <v>82</v>
      </c>
      <c r="G763">
        <v>0.59</v>
      </c>
      <c r="H763" s="1">
        <v>46447</v>
      </c>
      <c r="I763" s="1">
        <v>46007</v>
      </c>
      <c r="J763">
        <v>103.83999999999999</v>
      </c>
      <c r="K763" t="s">
        <v>35</v>
      </c>
      <c r="L763">
        <v>328</v>
      </c>
      <c r="M763" t="s">
        <v>36</v>
      </c>
    </row>
    <row r="764" spans="1:13" x14ac:dyDescent="0.25">
      <c r="A764" t="s">
        <v>804</v>
      </c>
      <c r="B764" t="s">
        <v>21</v>
      </c>
      <c r="C764" t="s">
        <v>22</v>
      </c>
      <c r="D764" t="s">
        <v>34</v>
      </c>
      <c r="E764">
        <v>41</v>
      </c>
      <c r="F764">
        <v>47</v>
      </c>
      <c r="G764">
        <v>1.49</v>
      </c>
      <c r="H764" s="1">
        <v>46363</v>
      </c>
      <c r="I764" s="1">
        <v>46104</v>
      </c>
      <c r="J764">
        <v>61.089999999999996</v>
      </c>
      <c r="K764" t="s">
        <v>44</v>
      </c>
      <c r="L764">
        <v>244</v>
      </c>
      <c r="M764" t="s">
        <v>36</v>
      </c>
    </row>
    <row r="765" spans="1:13" x14ac:dyDescent="0.25">
      <c r="A765" t="s">
        <v>805</v>
      </c>
      <c r="B765" t="s">
        <v>25</v>
      </c>
      <c r="C765" t="s">
        <v>15</v>
      </c>
      <c r="D765" t="s">
        <v>49</v>
      </c>
      <c r="E765">
        <v>79</v>
      </c>
      <c r="F765">
        <v>48</v>
      </c>
      <c r="G765">
        <v>1.28</v>
      </c>
      <c r="H765" s="1">
        <v>46167</v>
      </c>
      <c r="I765" s="1">
        <v>45959</v>
      </c>
      <c r="J765">
        <v>101.12</v>
      </c>
      <c r="K765" t="s">
        <v>35</v>
      </c>
      <c r="L765">
        <v>48</v>
      </c>
      <c r="M765" t="s">
        <v>36</v>
      </c>
    </row>
    <row r="766" spans="1:13" x14ac:dyDescent="0.25">
      <c r="A766" t="s">
        <v>806</v>
      </c>
      <c r="B766" t="s">
        <v>27</v>
      </c>
      <c r="C766" t="s">
        <v>28</v>
      </c>
      <c r="D766" t="s">
        <v>40</v>
      </c>
      <c r="E766">
        <v>159</v>
      </c>
      <c r="F766">
        <v>85</v>
      </c>
      <c r="G766">
        <v>1.17</v>
      </c>
      <c r="H766" s="1">
        <v>46463</v>
      </c>
      <c r="I766" s="1">
        <v>46099</v>
      </c>
      <c r="J766">
        <v>186.03</v>
      </c>
      <c r="K766" t="s">
        <v>35</v>
      </c>
      <c r="L766">
        <v>344</v>
      </c>
      <c r="M766" t="s">
        <v>36</v>
      </c>
    </row>
    <row r="767" spans="1:13" x14ac:dyDescent="0.25">
      <c r="A767" t="s">
        <v>807</v>
      </c>
      <c r="B767" t="s">
        <v>12</v>
      </c>
      <c r="C767" t="s">
        <v>13</v>
      </c>
      <c r="D767" t="s">
        <v>40</v>
      </c>
      <c r="E767">
        <v>158</v>
      </c>
      <c r="F767">
        <v>26</v>
      </c>
      <c r="G767">
        <v>0.93</v>
      </c>
      <c r="H767" s="1">
        <v>46277</v>
      </c>
      <c r="I767" s="1">
        <v>46078</v>
      </c>
      <c r="J767">
        <v>146.94</v>
      </c>
      <c r="K767" t="s">
        <v>35</v>
      </c>
      <c r="L767">
        <v>158</v>
      </c>
      <c r="M767" t="s">
        <v>36</v>
      </c>
    </row>
    <row r="768" spans="1:13" x14ac:dyDescent="0.25">
      <c r="A768" t="s">
        <v>808</v>
      </c>
      <c r="B768" t="s">
        <v>14</v>
      </c>
      <c r="C768" t="s">
        <v>15</v>
      </c>
      <c r="D768" t="s">
        <v>38</v>
      </c>
      <c r="E768">
        <v>163</v>
      </c>
      <c r="F768">
        <v>83</v>
      </c>
      <c r="G768">
        <v>0.85</v>
      </c>
      <c r="H768" s="1">
        <v>46217</v>
      </c>
      <c r="I768" s="1">
        <v>45955</v>
      </c>
      <c r="J768">
        <v>138.54999999999998</v>
      </c>
      <c r="K768" t="s">
        <v>35</v>
      </c>
      <c r="L768">
        <v>98</v>
      </c>
      <c r="M768" t="s">
        <v>36</v>
      </c>
    </row>
    <row r="769" spans="1:13" x14ac:dyDescent="0.25">
      <c r="A769" t="s">
        <v>809</v>
      </c>
      <c r="B769" t="s">
        <v>12</v>
      </c>
      <c r="C769" t="s">
        <v>13</v>
      </c>
      <c r="D769" t="s">
        <v>34</v>
      </c>
      <c r="E769">
        <v>69</v>
      </c>
      <c r="F769">
        <v>94</v>
      </c>
      <c r="G769">
        <v>0.62</v>
      </c>
      <c r="H769" s="1">
        <v>46150</v>
      </c>
      <c r="I769" s="1">
        <v>45988</v>
      </c>
      <c r="J769">
        <v>42.78</v>
      </c>
      <c r="K769" t="s">
        <v>44</v>
      </c>
      <c r="L769">
        <v>31</v>
      </c>
      <c r="M769" t="s">
        <v>36</v>
      </c>
    </row>
    <row r="770" spans="1:13" x14ac:dyDescent="0.25">
      <c r="A770" t="s">
        <v>810</v>
      </c>
      <c r="B770" t="s">
        <v>23</v>
      </c>
      <c r="C770" t="s">
        <v>24</v>
      </c>
      <c r="D770" t="s">
        <v>38</v>
      </c>
      <c r="E770">
        <v>93</v>
      </c>
      <c r="F770">
        <v>64</v>
      </c>
      <c r="G770">
        <v>1.97</v>
      </c>
      <c r="H770" s="1">
        <v>46325</v>
      </c>
      <c r="I770" s="1">
        <v>46085</v>
      </c>
      <c r="J770">
        <v>183.21</v>
      </c>
      <c r="K770" t="s">
        <v>35</v>
      </c>
      <c r="L770">
        <v>206</v>
      </c>
      <c r="M770" t="s">
        <v>36</v>
      </c>
    </row>
    <row r="771" spans="1:13" x14ac:dyDescent="0.25">
      <c r="A771" t="s">
        <v>811</v>
      </c>
      <c r="B771" t="s">
        <v>27</v>
      </c>
      <c r="C771" t="s">
        <v>28</v>
      </c>
      <c r="D771" t="s">
        <v>38</v>
      </c>
      <c r="E771">
        <v>130</v>
      </c>
      <c r="F771">
        <v>42</v>
      </c>
      <c r="G771">
        <v>1.33</v>
      </c>
      <c r="H771" s="1">
        <v>46230</v>
      </c>
      <c r="I771" s="1">
        <v>46071</v>
      </c>
      <c r="J771">
        <v>172.9</v>
      </c>
      <c r="K771" t="s">
        <v>35</v>
      </c>
      <c r="L771">
        <v>111</v>
      </c>
      <c r="M771" t="s">
        <v>36</v>
      </c>
    </row>
    <row r="772" spans="1:13" x14ac:dyDescent="0.25">
      <c r="A772" t="s">
        <v>812</v>
      </c>
      <c r="B772" t="s">
        <v>17</v>
      </c>
      <c r="C772" t="s">
        <v>18</v>
      </c>
      <c r="D772" t="s">
        <v>49</v>
      </c>
      <c r="E772">
        <v>195</v>
      </c>
      <c r="F772">
        <v>36</v>
      </c>
      <c r="G772">
        <v>1.82</v>
      </c>
      <c r="H772" s="1">
        <v>46383</v>
      </c>
      <c r="I772" s="1">
        <v>46084</v>
      </c>
      <c r="J772">
        <v>354.90000000000003</v>
      </c>
      <c r="K772" t="s">
        <v>35</v>
      </c>
      <c r="L772">
        <v>264</v>
      </c>
      <c r="M772" t="s">
        <v>36</v>
      </c>
    </row>
    <row r="773" spans="1:13" x14ac:dyDescent="0.25">
      <c r="A773" t="s">
        <v>813</v>
      </c>
      <c r="B773" t="s">
        <v>12</v>
      </c>
      <c r="C773" t="s">
        <v>13</v>
      </c>
      <c r="D773" t="s">
        <v>34</v>
      </c>
      <c r="E773">
        <v>69</v>
      </c>
      <c r="F773">
        <v>68</v>
      </c>
      <c r="G773">
        <v>1.27</v>
      </c>
      <c r="H773" s="1">
        <v>46202</v>
      </c>
      <c r="I773" s="1">
        <v>46013</v>
      </c>
      <c r="J773">
        <v>87.63</v>
      </c>
      <c r="K773" t="s">
        <v>35</v>
      </c>
      <c r="L773">
        <v>83</v>
      </c>
      <c r="M773" t="s">
        <v>36</v>
      </c>
    </row>
    <row r="774" spans="1:13" x14ac:dyDescent="0.25">
      <c r="A774" t="s">
        <v>814</v>
      </c>
      <c r="B774" t="s">
        <v>14</v>
      </c>
      <c r="C774" t="s">
        <v>15</v>
      </c>
      <c r="D774" t="s">
        <v>38</v>
      </c>
      <c r="E774">
        <v>183</v>
      </c>
      <c r="F774">
        <v>94</v>
      </c>
      <c r="G774">
        <v>0.57999999999999996</v>
      </c>
      <c r="H774" s="1">
        <v>46484</v>
      </c>
      <c r="I774" s="1">
        <v>46029</v>
      </c>
      <c r="J774">
        <v>106.13999999999999</v>
      </c>
      <c r="K774" t="s">
        <v>35</v>
      </c>
      <c r="L774">
        <v>365</v>
      </c>
      <c r="M774" t="s">
        <v>36</v>
      </c>
    </row>
    <row r="775" spans="1:13" x14ac:dyDescent="0.25">
      <c r="A775" t="s">
        <v>815</v>
      </c>
      <c r="B775" t="s">
        <v>25</v>
      </c>
      <c r="C775" t="s">
        <v>15</v>
      </c>
      <c r="D775" t="s">
        <v>49</v>
      </c>
      <c r="E775">
        <v>198</v>
      </c>
      <c r="F775">
        <v>90</v>
      </c>
      <c r="G775">
        <v>1.44</v>
      </c>
      <c r="H775" s="1">
        <v>46164</v>
      </c>
      <c r="I775" s="1">
        <v>46116</v>
      </c>
      <c r="J775">
        <v>285.12</v>
      </c>
      <c r="K775" t="s">
        <v>35</v>
      </c>
      <c r="L775">
        <v>45</v>
      </c>
      <c r="M775" t="s">
        <v>36</v>
      </c>
    </row>
    <row r="776" spans="1:13" x14ac:dyDescent="0.25">
      <c r="A776" t="s">
        <v>816</v>
      </c>
      <c r="B776" t="s">
        <v>12</v>
      </c>
      <c r="C776" t="s">
        <v>13</v>
      </c>
      <c r="D776" t="s">
        <v>34</v>
      </c>
      <c r="E776">
        <v>198</v>
      </c>
      <c r="F776">
        <v>68</v>
      </c>
      <c r="G776">
        <v>1.88</v>
      </c>
      <c r="H776" s="1">
        <v>46406</v>
      </c>
      <c r="I776" s="1">
        <v>46077</v>
      </c>
      <c r="J776">
        <v>372.23999999999995</v>
      </c>
      <c r="K776" t="s">
        <v>35</v>
      </c>
      <c r="L776">
        <v>287</v>
      </c>
      <c r="M776" t="s">
        <v>36</v>
      </c>
    </row>
    <row r="777" spans="1:13" x14ac:dyDescent="0.25">
      <c r="A777" t="s">
        <v>817</v>
      </c>
      <c r="B777" t="s">
        <v>23</v>
      </c>
      <c r="C777" t="s">
        <v>24</v>
      </c>
      <c r="D777" t="s">
        <v>38</v>
      </c>
      <c r="E777">
        <v>41</v>
      </c>
      <c r="F777">
        <v>36</v>
      </c>
      <c r="G777">
        <v>1.62</v>
      </c>
      <c r="H777" s="1">
        <v>46429</v>
      </c>
      <c r="I777" s="1">
        <v>46006</v>
      </c>
      <c r="J777">
        <v>66.42</v>
      </c>
      <c r="K777" t="s">
        <v>35</v>
      </c>
      <c r="L777">
        <v>310</v>
      </c>
      <c r="M777" t="s">
        <v>36</v>
      </c>
    </row>
    <row r="778" spans="1:13" x14ac:dyDescent="0.25">
      <c r="A778" t="s">
        <v>818</v>
      </c>
      <c r="B778" t="s">
        <v>26</v>
      </c>
      <c r="C778" t="s">
        <v>22</v>
      </c>
      <c r="D778" t="s">
        <v>34</v>
      </c>
      <c r="E778">
        <v>66</v>
      </c>
      <c r="F778">
        <v>57</v>
      </c>
      <c r="G778">
        <v>1.42</v>
      </c>
      <c r="H778" s="1">
        <v>46395</v>
      </c>
      <c r="I778" s="1">
        <v>45993</v>
      </c>
      <c r="J778">
        <v>93.72</v>
      </c>
      <c r="K778" t="s">
        <v>35</v>
      </c>
      <c r="L778">
        <v>276</v>
      </c>
      <c r="M778" t="s">
        <v>36</v>
      </c>
    </row>
    <row r="779" spans="1:13" x14ac:dyDescent="0.25">
      <c r="A779" t="s">
        <v>819</v>
      </c>
      <c r="B779" t="s">
        <v>26</v>
      </c>
      <c r="C779" t="s">
        <v>22</v>
      </c>
      <c r="D779" t="s">
        <v>38</v>
      </c>
      <c r="E779">
        <v>38</v>
      </c>
      <c r="F779">
        <v>33</v>
      </c>
      <c r="G779">
        <v>1.1299999999999999</v>
      </c>
      <c r="H779" s="1">
        <v>46220</v>
      </c>
      <c r="I779" s="1">
        <v>46009</v>
      </c>
      <c r="J779">
        <v>42.94</v>
      </c>
      <c r="K779" t="s">
        <v>35</v>
      </c>
      <c r="L779">
        <v>101</v>
      </c>
      <c r="M779" t="s">
        <v>36</v>
      </c>
    </row>
    <row r="780" spans="1:13" x14ac:dyDescent="0.25">
      <c r="A780" t="s">
        <v>820</v>
      </c>
      <c r="B780" t="s">
        <v>25</v>
      </c>
      <c r="C780" t="s">
        <v>15</v>
      </c>
      <c r="D780" t="s">
        <v>38</v>
      </c>
      <c r="E780">
        <v>153</v>
      </c>
      <c r="F780">
        <v>51</v>
      </c>
      <c r="G780">
        <v>1.29</v>
      </c>
      <c r="H780" s="1">
        <v>46177</v>
      </c>
      <c r="I780" s="1">
        <v>46067</v>
      </c>
      <c r="J780">
        <v>197.37</v>
      </c>
      <c r="K780" t="s">
        <v>35</v>
      </c>
      <c r="L780">
        <v>58</v>
      </c>
      <c r="M780" t="s">
        <v>36</v>
      </c>
    </row>
    <row r="781" spans="1:13" x14ac:dyDescent="0.25">
      <c r="A781" t="s">
        <v>821</v>
      </c>
      <c r="B781" t="s">
        <v>23</v>
      </c>
      <c r="C781" t="s">
        <v>24</v>
      </c>
      <c r="D781" t="s">
        <v>40</v>
      </c>
      <c r="E781">
        <v>42</v>
      </c>
      <c r="F781">
        <v>96</v>
      </c>
      <c r="G781">
        <v>1.5</v>
      </c>
      <c r="H781" s="1">
        <v>46197</v>
      </c>
      <c r="I781" s="1">
        <v>46104</v>
      </c>
      <c r="J781">
        <v>63</v>
      </c>
      <c r="K781" t="s">
        <v>44</v>
      </c>
      <c r="L781">
        <v>78</v>
      </c>
      <c r="M781" t="s">
        <v>36</v>
      </c>
    </row>
    <row r="782" spans="1:13" x14ac:dyDescent="0.25">
      <c r="A782" t="s">
        <v>822</v>
      </c>
      <c r="B782" t="s">
        <v>23</v>
      </c>
      <c r="C782" t="s">
        <v>24</v>
      </c>
      <c r="D782" t="s">
        <v>40</v>
      </c>
      <c r="E782">
        <v>74</v>
      </c>
      <c r="F782">
        <v>88</v>
      </c>
      <c r="G782">
        <v>0.66</v>
      </c>
      <c r="H782" s="1">
        <v>46220</v>
      </c>
      <c r="I782" s="1">
        <v>46016</v>
      </c>
      <c r="J782">
        <v>48.84</v>
      </c>
      <c r="K782" t="s">
        <v>44</v>
      </c>
      <c r="L782">
        <v>101</v>
      </c>
      <c r="M782" t="s">
        <v>36</v>
      </c>
    </row>
    <row r="783" spans="1:13" x14ac:dyDescent="0.25">
      <c r="A783" t="s">
        <v>823</v>
      </c>
      <c r="B783" t="s">
        <v>19</v>
      </c>
      <c r="C783" t="s">
        <v>20</v>
      </c>
      <c r="D783" t="s">
        <v>34</v>
      </c>
      <c r="E783">
        <v>131</v>
      </c>
      <c r="F783">
        <v>53</v>
      </c>
      <c r="G783">
        <v>0.84</v>
      </c>
      <c r="H783" s="1">
        <v>46409</v>
      </c>
      <c r="I783" s="1">
        <v>46073</v>
      </c>
      <c r="J783">
        <v>110.03999999999999</v>
      </c>
      <c r="K783" t="s">
        <v>35</v>
      </c>
      <c r="L783">
        <v>290</v>
      </c>
      <c r="M783" t="s">
        <v>36</v>
      </c>
    </row>
    <row r="784" spans="1:13" x14ac:dyDescent="0.25">
      <c r="A784" t="s">
        <v>824</v>
      </c>
      <c r="B784" t="s">
        <v>23</v>
      </c>
      <c r="C784" t="s">
        <v>24</v>
      </c>
      <c r="D784" t="s">
        <v>38</v>
      </c>
      <c r="E784">
        <v>0</v>
      </c>
      <c r="F784">
        <v>87</v>
      </c>
      <c r="G784">
        <v>1.03</v>
      </c>
      <c r="H784" s="1">
        <v>46415</v>
      </c>
      <c r="I784" s="1">
        <v>46007</v>
      </c>
      <c r="J784">
        <v>0</v>
      </c>
      <c r="K784" t="s">
        <v>728</v>
      </c>
      <c r="L784">
        <v>296</v>
      </c>
      <c r="M784" t="s">
        <v>36</v>
      </c>
    </row>
    <row r="785" spans="1:13" x14ac:dyDescent="0.25">
      <c r="A785" t="s">
        <v>825</v>
      </c>
      <c r="B785" t="s">
        <v>21</v>
      </c>
      <c r="C785" t="s">
        <v>22</v>
      </c>
      <c r="D785" t="s">
        <v>49</v>
      </c>
      <c r="E785">
        <v>47</v>
      </c>
      <c r="F785">
        <v>58</v>
      </c>
      <c r="G785">
        <v>1.29</v>
      </c>
      <c r="H785" s="1">
        <v>46463</v>
      </c>
      <c r="I785" s="1">
        <v>45954</v>
      </c>
      <c r="J785">
        <v>60.63</v>
      </c>
      <c r="K785" t="s">
        <v>44</v>
      </c>
      <c r="L785">
        <v>344</v>
      </c>
      <c r="M785" t="s">
        <v>36</v>
      </c>
    </row>
    <row r="786" spans="1:13" x14ac:dyDescent="0.25">
      <c r="A786" t="s">
        <v>826</v>
      </c>
      <c r="B786" t="s">
        <v>25</v>
      </c>
      <c r="C786" t="s">
        <v>15</v>
      </c>
      <c r="D786" t="s">
        <v>38</v>
      </c>
      <c r="E786">
        <v>40</v>
      </c>
      <c r="F786">
        <v>41</v>
      </c>
      <c r="G786">
        <v>0.91</v>
      </c>
      <c r="H786" s="1">
        <v>46344</v>
      </c>
      <c r="I786" s="1">
        <v>45984</v>
      </c>
      <c r="J786">
        <v>36.4</v>
      </c>
      <c r="K786" t="s">
        <v>44</v>
      </c>
      <c r="L786">
        <v>225</v>
      </c>
      <c r="M786" t="s">
        <v>36</v>
      </c>
    </row>
    <row r="787" spans="1:13" x14ac:dyDescent="0.25">
      <c r="A787" t="s">
        <v>827</v>
      </c>
      <c r="B787" t="s">
        <v>12</v>
      </c>
      <c r="C787" t="s">
        <v>13</v>
      </c>
      <c r="D787" t="s">
        <v>34</v>
      </c>
      <c r="E787">
        <v>142</v>
      </c>
      <c r="F787">
        <v>44</v>
      </c>
      <c r="G787">
        <v>0.94</v>
      </c>
      <c r="H787" s="1">
        <v>46389</v>
      </c>
      <c r="I787" s="1">
        <v>45984</v>
      </c>
      <c r="J787">
        <v>133.47999999999999</v>
      </c>
      <c r="K787" t="s">
        <v>35</v>
      </c>
      <c r="L787">
        <v>270</v>
      </c>
      <c r="M787" t="s">
        <v>36</v>
      </c>
    </row>
    <row r="788" spans="1:13" x14ac:dyDescent="0.25">
      <c r="A788" t="s">
        <v>828</v>
      </c>
      <c r="B788" t="s">
        <v>17</v>
      </c>
      <c r="C788" t="s">
        <v>18</v>
      </c>
      <c r="D788" t="s">
        <v>49</v>
      </c>
      <c r="E788">
        <v>168</v>
      </c>
      <c r="F788">
        <v>42</v>
      </c>
      <c r="G788">
        <v>0.76</v>
      </c>
      <c r="H788" s="1">
        <v>46401</v>
      </c>
      <c r="I788" s="1">
        <v>45973</v>
      </c>
      <c r="J788">
        <v>127.68</v>
      </c>
      <c r="K788" t="s">
        <v>35</v>
      </c>
      <c r="L788">
        <v>282</v>
      </c>
      <c r="M788" t="s">
        <v>36</v>
      </c>
    </row>
    <row r="789" spans="1:13" x14ac:dyDescent="0.25">
      <c r="A789" t="s">
        <v>829</v>
      </c>
      <c r="B789" t="s">
        <v>26</v>
      </c>
      <c r="C789" t="s">
        <v>22</v>
      </c>
      <c r="D789" t="s">
        <v>38</v>
      </c>
      <c r="E789">
        <v>144</v>
      </c>
      <c r="F789">
        <v>67</v>
      </c>
      <c r="G789">
        <v>1.23</v>
      </c>
      <c r="H789" s="1">
        <v>46296</v>
      </c>
      <c r="I789" s="1">
        <v>46115</v>
      </c>
      <c r="J789">
        <v>177.12</v>
      </c>
      <c r="K789" t="s">
        <v>35</v>
      </c>
      <c r="L789">
        <v>177</v>
      </c>
      <c r="M789" t="s">
        <v>36</v>
      </c>
    </row>
    <row r="790" spans="1:13" x14ac:dyDescent="0.25">
      <c r="A790" t="s">
        <v>830</v>
      </c>
      <c r="B790" t="s">
        <v>17</v>
      </c>
      <c r="C790" t="s">
        <v>18</v>
      </c>
      <c r="D790" t="s">
        <v>40</v>
      </c>
      <c r="E790">
        <v>9</v>
      </c>
      <c r="F790">
        <v>21</v>
      </c>
      <c r="G790">
        <v>1.4</v>
      </c>
      <c r="H790" s="1">
        <v>46382</v>
      </c>
      <c r="I790" s="1">
        <v>45963</v>
      </c>
      <c r="J790">
        <v>12.6</v>
      </c>
      <c r="K790" t="s">
        <v>44</v>
      </c>
      <c r="L790">
        <v>263</v>
      </c>
      <c r="M790" t="s">
        <v>36</v>
      </c>
    </row>
    <row r="791" spans="1:13" x14ac:dyDescent="0.25">
      <c r="A791" t="s">
        <v>831</v>
      </c>
      <c r="B791" t="s">
        <v>26</v>
      </c>
      <c r="C791" t="s">
        <v>22</v>
      </c>
      <c r="D791" t="s">
        <v>49</v>
      </c>
      <c r="E791">
        <v>3</v>
      </c>
      <c r="F791">
        <v>80</v>
      </c>
      <c r="G791">
        <v>0.65</v>
      </c>
      <c r="H791" s="1">
        <v>46322</v>
      </c>
      <c r="I791" s="1">
        <v>46089</v>
      </c>
      <c r="J791">
        <v>1.9500000000000002</v>
      </c>
      <c r="K791" t="s">
        <v>44</v>
      </c>
      <c r="L791">
        <v>203</v>
      </c>
      <c r="M791" t="s">
        <v>36</v>
      </c>
    </row>
    <row r="792" spans="1:13" x14ac:dyDescent="0.25">
      <c r="A792" t="s">
        <v>832</v>
      </c>
      <c r="B792" t="s">
        <v>14</v>
      </c>
      <c r="C792" t="s">
        <v>15</v>
      </c>
      <c r="D792" t="s">
        <v>40</v>
      </c>
      <c r="E792">
        <v>7</v>
      </c>
      <c r="F792">
        <v>26</v>
      </c>
      <c r="G792">
        <v>1.79</v>
      </c>
      <c r="H792" s="1">
        <v>46258</v>
      </c>
      <c r="I792" s="1">
        <v>46026</v>
      </c>
      <c r="J792">
        <v>12.530000000000001</v>
      </c>
      <c r="K792" t="s">
        <v>44</v>
      </c>
      <c r="L792">
        <v>139</v>
      </c>
      <c r="M792" t="s">
        <v>36</v>
      </c>
    </row>
    <row r="793" spans="1:13" x14ac:dyDescent="0.25">
      <c r="A793" t="s">
        <v>833</v>
      </c>
      <c r="B793" t="s">
        <v>26</v>
      </c>
      <c r="C793" t="s">
        <v>22</v>
      </c>
      <c r="D793" t="s">
        <v>49</v>
      </c>
      <c r="E793">
        <v>95</v>
      </c>
      <c r="F793">
        <v>93</v>
      </c>
      <c r="G793">
        <v>1.01</v>
      </c>
      <c r="H793" s="1">
        <v>46166</v>
      </c>
      <c r="I793" s="1">
        <v>46008</v>
      </c>
      <c r="J793">
        <v>95.95</v>
      </c>
      <c r="K793" t="s">
        <v>35</v>
      </c>
      <c r="L793">
        <v>47</v>
      </c>
      <c r="M793" t="s">
        <v>36</v>
      </c>
    </row>
    <row r="794" spans="1:13" x14ac:dyDescent="0.25">
      <c r="A794" t="s">
        <v>834</v>
      </c>
      <c r="B794" t="s">
        <v>14</v>
      </c>
      <c r="C794" t="s">
        <v>15</v>
      </c>
      <c r="D794" t="s">
        <v>40</v>
      </c>
      <c r="E794">
        <v>82</v>
      </c>
      <c r="F794">
        <v>94</v>
      </c>
      <c r="G794">
        <v>1.54</v>
      </c>
      <c r="H794" s="1">
        <v>46349</v>
      </c>
      <c r="I794" s="1">
        <v>46083</v>
      </c>
      <c r="J794">
        <v>126.28</v>
      </c>
      <c r="K794" t="s">
        <v>44</v>
      </c>
      <c r="L794">
        <v>230</v>
      </c>
      <c r="M794" t="s">
        <v>36</v>
      </c>
    </row>
    <row r="795" spans="1:13" x14ac:dyDescent="0.25">
      <c r="A795" t="s">
        <v>835</v>
      </c>
      <c r="B795" t="s">
        <v>23</v>
      </c>
      <c r="C795" t="s">
        <v>24</v>
      </c>
      <c r="D795" t="s">
        <v>38</v>
      </c>
      <c r="E795">
        <v>80</v>
      </c>
      <c r="F795">
        <v>67</v>
      </c>
      <c r="G795">
        <v>1.34</v>
      </c>
      <c r="H795" s="1">
        <v>46350</v>
      </c>
      <c r="I795" s="1">
        <v>45973</v>
      </c>
      <c r="J795">
        <v>107.2</v>
      </c>
      <c r="K795" t="s">
        <v>35</v>
      </c>
      <c r="L795">
        <v>231</v>
      </c>
      <c r="M795" t="s">
        <v>36</v>
      </c>
    </row>
    <row r="796" spans="1:13" x14ac:dyDescent="0.25">
      <c r="A796" t="s">
        <v>836</v>
      </c>
      <c r="B796" t="s">
        <v>16</v>
      </c>
      <c r="C796" t="s">
        <v>13</v>
      </c>
      <c r="D796" t="s">
        <v>38</v>
      </c>
      <c r="E796">
        <v>113</v>
      </c>
      <c r="F796">
        <v>45</v>
      </c>
      <c r="G796">
        <v>0.77</v>
      </c>
      <c r="H796" s="1">
        <v>46154</v>
      </c>
      <c r="I796" s="1">
        <v>46057</v>
      </c>
      <c r="J796">
        <v>87.01</v>
      </c>
      <c r="K796" t="s">
        <v>35</v>
      </c>
      <c r="L796">
        <v>35</v>
      </c>
      <c r="M796" t="s">
        <v>36</v>
      </c>
    </row>
    <row r="797" spans="1:13" x14ac:dyDescent="0.25">
      <c r="A797" t="s">
        <v>837</v>
      </c>
      <c r="B797" t="s">
        <v>21</v>
      </c>
      <c r="C797" t="s">
        <v>22</v>
      </c>
      <c r="D797" t="s">
        <v>49</v>
      </c>
      <c r="E797">
        <v>41</v>
      </c>
      <c r="F797">
        <v>78</v>
      </c>
      <c r="G797">
        <v>0.89</v>
      </c>
      <c r="H797" s="1">
        <v>46320</v>
      </c>
      <c r="I797" s="1">
        <v>46006</v>
      </c>
      <c r="J797">
        <v>36.49</v>
      </c>
      <c r="K797" t="s">
        <v>44</v>
      </c>
      <c r="L797">
        <v>201</v>
      </c>
      <c r="M797" t="s">
        <v>36</v>
      </c>
    </row>
    <row r="798" spans="1:13" x14ac:dyDescent="0.25">
      <c r="A798" t="s">
        <v>838</v>
      </c>
      <c r="B798" t="s">
        <v>19</v>
      </c>
      <c r="C798" t="s">
        <v>20</v>
      </c>
      <c r="D798" t="s">
        <v>40</v>
      </c>
      <c r="E798">
        <v>54</v>
      </c>
      <c r="F798">
        <v>31</v>
      </c>
      <c r="G798">
        <v>0.79</v>
      </c>
      <c r="H798" s="1">
        <v>46180</v>
      </c>
      <c r="I798" s="1">
        <v>46018</v>
      </c>
      <c r="J798">
        <v>42.660000000000004</v>
      </c>
      <c r="K798" t="s">
        <v>35</v>
      </c>
      <c r="L798">
        <v>61</v>
      </c>
      <c r="M798" t="s">
        <v>36</v>
      </c>
    </row>
    <row r="799" spans="1:13" x14ac:dyDescent="0.25">
      <c r="A799" t="s">
        <v>839</v>
      </c>
      <c r="B799" t="s">
        <v>12</v>
      </c>
      <c r="C799" t="s">
        <v>13</v>
      </c>
      <c r="D799" t="s">
        <v>40</v>
      </c>
      <c r="E799">
        <v>50</v>
      </c>
      <c r="F799">
        <v>93</v>
      </c>
      <c r="G799">
        <v>1.35</v>
      </c>
      <c r="H799" s="1">
        <v>46183</v>
      </c>
      <c r="I799" s="1">
        <v>46084</v>
      </c>
      <c r="J799">
        <v>67.5</v>
      </c>
      <c r="K799" t="s">
        <v>44</v>
      </c>
      <c r="L799">
        <v>64</v>
      </c>
      <c r="M799" t="s">
        <v>36</v>
      </c>
    </row>
    <row r="800" spans="1:13" x14ac:dyDescent="0.25">
      <c r="A800" t="s">
        <v>840</v>
      </c>
      <c r="B800" t="s">
        <v>23</v>
      </c>
      <c r="C800" t="s">
        <v>24</v>
      </c>
      <c r="D800" t="s">
        <v>49</v>
      </c>
      <c r="E800">
        <v>110</v>
      </c>
      <c r="F800">
        <v>72</v>
      </c>
      <c r="G800">
        <v>1.5</v>
      </c>
      <c r="H800" s="1">
        <v>46285</v>
      </c>
      <c r="I800" s="1">
        <v>45995</v>
      </c>
      <c r="J800">
        <v>165</v>
      </c>
      <c r="K800" t="s">
        <v>35</v>
      </c>
      <c r="L800">
        <v>166</v>
      </c>
      <c r="M800" t="s">
        <v>36</v>
      </c>
    </row>
    <row r="801" spans="1:13" x14ac:dyDescent="0.25">
      <c r="A801" t="s">
        <v>841</v>
      </c>
      <c r="B801" t="s">
        <v>27</v>
      </c>
      <c r="C801" t="s">
        <v>28</v>
      </c>
      <c r="D801" t="s">
        <v>34</v>
      </c>
      <c r="E801">
        <v>154</v>
      </c>
      <c r="F801">
        <v>64</v>
      </c>
      <c r="G801">
        <v>0.83</v>
      </c>
      <c r="H801" s="1">
        <v>46290</v>
      </c>
      <c r="I801" s="1">
        <v>46066</v>
      </c>
      <c r="J801">
        <v>127.82</v>
      </c>
      <c r="K801" t="s">
        <v>35</v>
      </c>
      <c r="L801">
        <v>171</v>
      </c>
      <c r="M801" t="s">
        <v>36</v>
      </c>
    </row>
    <row r="802" spans="1:13" x14ac:dyDescent="0.25">
      <c r="A802" t="s">
        <v>842</v>
      </c>
      <c r="B802" t="s">
        <v>19</v>
      </c>
      <c r="C802" t="s">
        <v>20</v>
      </c>
      <c r="D802" t="s">
        <v>38</v>
      </c>
      <c r="E802">
        <v>101</v>
      </c>
      <c r="F802">
        <v>59</v>
      </c>
      <c r="G802">
        <v>1.31</v>
      </c>
      <c r="H802" s="1">
        <v>46258</v>
      </c>
      <c r="I802" s="1">
        <v>46074</v>
      </c>
      <c r="J802">
        <v>132.31</v>
      </c>
      <c r="K802" t="s">
        <v>35</v>
      </c>
      <c r="L802">
        <v>139</v>
      </c>
      <c r="M802" t="s">
        <v>36</v>
      </c>
    </row>
    <row r="803" spans="1:13" x14ac:dyDescent="0.25">
      <c r="A803" t="s">
        <v>843</v>
      </c>
      <c r="B803" t="s">
        <v>25</v>
      </c>
      <c r="C803" t="s">
        <v>15</v>
      </c>
      <c r="D803" t="s">
        <v>34</v>
      </c>
      <c r="E803">
        <v>137</v>
      </c>
      <c r="F803">
        <v>54</v>
      </c>
      <c r="G803">
        <v>1.23</v>
      </c>
      <c r="H803" s="1">
        <v>46180</v>
      </c>
      <c r="I803" s="1">
        <v>45991</v>
      </c>
      <c r="J803">
        <v>168.51</v>
      </c>
      <c r="K803" t="s">
        <v>35</v>
      </c>
      <c r="L803">
        <v>61</v>
      </c>
      <c r="M803" t="s">
        <v>36</v>
      </c>
    </row>
    <row r="804" spans="1:13" x14ac:dyDescent="0.25">
      <c r="A804" t="s">
        <v>844</v>
      </c>
      <c r="B804" t="s">
        <v>14</v>
      </c>
      <c r="C804" t="s">
        <v>15</v>
      </c>
      <c r="D804" t="s">
        <v>38</v>
      </c>
      <c r="E804">
        <v>35</v>
      </c>
      <c r="F804">
        <v>86</v>
      </c>
      <c r="G804">
        <v>1.1499999999999999</v>
      </c>
      <c r="H804" s="1">
        <v>46381</v>
      </c>
      <c r="I804" s="1">
        <v>46097</v>
      </c>
      <c r="J804">
        <v>40.25</v>
      </c>
      <c r="K804" t="s">
        <v>44</v>
      </c>
      <c r="L804">
        <v>262</v>
      </c>
      <c r="M804" t="s">
        <v>36</v>
      </c>
    </row>
    <row r="805" spans="1:13" x14ac:dyDescent="0.25">
      <c r="A805" t="s">
        <v>845</v>
      </c>
      <c r="B805" t="s">
        <v>21</v>
      </c>
      <c r="C805" t="s">
        <v>22</v>
      </c>
      <c r="D805" t="s">
        <v>40</v>
      </c>
      <c r="E805">
        <v>13</v>
      </c>
      <c r="F805">
        <v>78</v>
      </c>
      <c r="G805">
        <v>0.9</v>
      </c>
      <c r="H805" s="1">
        <v>46378</v>
      </c>
      <c r="I805" s="1">
        <v>46007</v>
      </c>
      <c r="J805">
        <v>11.700000000000001</v>
      </c>
      <c r="K805" t="s">
        <v>44</v>
      </c>
      <c r="L805">
        <v>259</v>
      </c>
      <c r="M805" t="s">
        <v>36</v>
      </c>
    </row>
    <row r="806" spans="1:13" x14ac:dyDescent="0.25">
      <c r="A806" t="s">
        <v>846</v>
      </c>
      <c r="B806" t="s">
        <v>21</v>
      </c>
      <c r="C806" t="s">
        <v>22</v>
      </c>
      <c r="D806" t="s">
        <v>34</v>
      </c>
      <c r="E806">
        <v>25</v>
      </c>
      <c r="F806">
        <v>58</v>
      </c>
      <c r="G806">
        <v>0.55000000000000004</v>
      </c>
      <c r="H806" s="1">
        <v>46402</v>
      </c>
      <c r="I806" s="1">
        <v>45944</v>
      </c>
      <c r="J806">
        <v>13.750000000000002</v>
      </c>
      <c r="K806" t="s">
        <v>44</v>
      </c>
      <c r="L806">
        <v>283</v>
      </c>
      <c r="M806" t="s">
        <v>36</v>
      </c>
    </row>
    <row r="807" spans="1:13" x14ac:dyDescent="0.25">
      <c r="A807" t="s">
        <v>847</v>
      </c>
      <c r="B807" t="s">
        <v>21</v>
      </c>
      <c r="C807" t="s">
        <v>22</v>
      </c>
      <c r="D807" t="s">
        <v>49</v>
      </c>
      <c r="E807">
        <v>37</v>
      </c>
      <c r="F807">
        <v>96</v>
      </c>
      <c r="G807">
        <v>0.9</v>
      </c>
      <c r="H807" s="1">
        <v>46435</v>
      </c>
      <c r="I807" s="1">
        <v>46026</v>
      </c>
      <c r="J807">
        <v>33.300000000000004</v>
      </c>
      <c r="K807" t="s">
        <v>44</v>
      </c>
      <c r="L807">
        <v>316</v>
      </c>
      <c r="M807" t="s">
        <v>36</v>
      </c>
    </row>
    <row r="808" spans="1:13" x14ac:dyDescent="0.25">
      <c r="A808" t="s">
        <v>848</v>
      </c>
      <c r="B808" t="s">
        <v>27</v>
      </c>
      <c r="C808" t="s">
        <v>28</v>
      </c>
      <c r="D808" t="s">
        <v>38</v>
      </c>
      <c r="E808">
        <v>109</v>
      </c>
      <c r="F808">
        <v>78</v>
      </c>
      <c r="G808">
        <v>1.41</v>
      </c>
      <c r="H808" s="1">
        <v>46421</v>
      </c>
      <c r="I808" s="1">
        <v>46104</v>
      </c>
      <c r="J808">
        <v>153.69</v>
      </c>
      <c r="K808" t="s">
        <v>35</v>
      </c>
      <c r="L808">
        <v>302</v>
      </c>
      <c r="M808" t="s">
        <v>36</v>
      </c>
    </row>
    <row r="809" spans="1:13" x14ac:dyDescent="0.25">
      <c r="A809" t="s">
        <v>849</v>
      </c>
      <c r="B809" t="s">
        <v>19</v>
      </c>
      <c r="C809" t="s">
        <v>20</v>
      </c>
      <c r="D809" t="s">
        <v>40</v>
      </c>
      <c r="E809">
        <v>120</v>
      </c>
      <c r="F809">
        <v>69</v>
      </c>
      <c r="G809">
        <v>1.89</v>
      </c>
      <c r="H809" s="1">
        <v>46229</v>
      </c>
      <c r="I809" s="1">
        <v>46102</v>
      </c>
      <c r="J809">
        <v>226.79999999999998</v>
      </c>
      <c r="K809" t="s">
        <v>35</v>
      </c>
      <c r="L809">
        <v>110</v>
      </c>
      <c r="M809" t="s">
        <v>36</v>
      </c>
    </row>
    <row r="810" spans="1:13" x14ac:dyDescent="0.25">
      <c r="A810" t="s">
        <v>850</v>
      </c>
      <c r="B810" t="s">
        <v>27</v>
      </c>
      <c r="C810" t="s">
        <v>28</v>
      </c>
      <c r="D810" t="s">
        <v>38</v>
      </c>
      <c r="E810">
        <v>148</v>
      </c>
      <c r="F810">
        <v>21</v>
      </c>
      <c r="G810">
        <v>0.94</v>
      </c>
      <c r="H810" s="1">
        <v>46457</v>
      </c>
      <c r="I810" s="1">
        <v>45979</v>
      </c>
      <c r="J810">
        <v>139.12</v>
      </c>
      <c r="K810" t="s">
        <v>35</v>
      </c>
      <c r="L810">
        <v>338</v>
      </c>
      <c r="M810" t="s">
        <v>36</v>
      </c>
    </row>
    <row r="811" spans="1:13" x14ac:dyDescent="0.25">
      <c r="A811" t="s">
        <v>851</v>
      </c>
      <c r="B811" t="s">
        <v>23</v>
      </c>
      <c r="C811" t="s">
        <v>24</v>
      </c>
      <c r="D811" t="s">
        <v>40</v>
      </c>
      <c r="E811">
        <v>97</v>
      </c>
      <c r="F811">
        <v>35</v>
      </c>
      <c r="G811">
        <v>2</v>
      </c>
      <c r="H811" s="1">
        <v>46226</v>
      </c>
      <c r="I811" s="1">
        <v>45971</v>
      </c>
      <c r="J811">
        <v>194</v>
      </c>
      <c r="K811" t="s">
        <v>35</v>
      </c>
      <c r="L811">
        <v>107</v>
      </c>
      <c r="M811" t="s">
        <v>36</v>
      </c>
    </row>
    <row r="812" spans="1:13" x14ac:dyDescent="0.25">
      <c r="A812" t="s">
        <v>852</v>
      </c>
      <c r="B812" t="s">
        <v>26</v>
      </c>
      <c r="C812" t="s">
        <v>22</v>
      </c>
      <c r="D812" t="s">
        <v>40</v>
      </c>
      <c r="E812">
        <v>43</v>
      </c>
      <c r="F812">
        <v>78</v>
      </c>
      <c r="G812">
        <v>0.99</v>
      </c>
      <c r="H812" s="1">
        <v>46201</v>
      </c>
      <c r="I812" s="1">
        <v>45956</v>
      </c>
      <c r="J812">
        <v>42.57</v>
      </c>
      <c r="K812" t="s">
        <v>44</v>
      </c>
      <c r="L812">
        <v>82</v>
      </c>
      <c r="M812" t="s">
        <v>36</v>
      </c>
    </row>
    <row r="813" spans="1:13" x14ac:dyDescent="0.25">
      <c r="A813" t="s">
        <v>853</v>
      </c>
      <c r="B813" t="s">
        <v>21</v>
      </c>
      <c r="C813" t="s">
        <v>22</v>
      </c>
      <c r="D813" t="s">
        <v>38</v>
      </c>
      <c r="E813">
        <v>31</v>
      </c>
      <c r="F813">
        <v>82</v>
      </c>
      <c r="G813">
        <v>1.44</v>
      </c>
      <c r="H813" s="1">
        <v>46201</v>
      </c>
      <c r="I813" s="1">
        <v>45951</v>
      </c>
      <c r="J813">
        <v>44.64</v>
      </c>
      <c r="K813" t="s">
        <v>44</v>
      </c>
      <c r="L813">
        <v>82</v>
      </c>
      <c r="M813" t="s">
        <v>36</v>
      </c>
    </row>
    <row r="814" spans="1:13" x14ac:dyDescent="0.25">
      <c r="A814" t="s">
        <v>854</v>
      </c>
      <c r="B814" t="s">
        <v>26</v>
      </c>
      <c r="C814" t="s">
        <v>22</v>
      </c>
      <c r="D814" t="s">
        <v>49</v>
      </c>
      <c r="E814">
        <v>42</v>
      </c>
      <c r="F814">
        <v>49</v>
      </c>
      <c r="G814">
        <v>0.64</v>
      </c>
      <c r="H814" s="1">
        <v>46298</v>
      </c>
      <c r="I814" s="1">
        <v>46021</v>
      </c>
      <c r="J814">
        <v>26.88</v>
      </c>
      <c r="K814" t="s">
        <v>44</v>
      </c>
      <c r="L814">
        <v>179</v>
      </c>
      <c r="M814" t="s">
        <v>36</v>
      </c>
    </row>
    <row r="815" spans="1:13" x14ac:dyDescent="0.25">
      <c r="A815" t="s">
        <v>855</v>
      </c>
      <c r="B815" t="s">
        <v>16</v>
      </c>
      <c r="C815" t="s">
        <v>13</v>
      </c>
      <c r="D815" t="s">
        <v>38</v>
      </c>
      <c r="E815">
        <v>49</v>
      </c>
      <c r="F815">
        <v>51</v>
      </c>
      <c r="G815">
        <v>1.47</v>
      </c>
      <c r="H815" s="1">
        <v>46259</v>
      </c>
      <c r="I815" s="1">
        <v>46005</v>
      </c>
      <c r="J815">
        <v>72.03</v>
      </c>
      <c r="K815" t="s">
        <v>44</v>
      </c>
      <c r="L815">
        <v>140</v>
      </c>
      <c r="M815" t="s">
        <v>36</v>
      </c>
    </row>
    <row r="816" spans="1:13" x14ac:dyDescent="0.25">
      <c r="A816" t="s">
        <v>856</v>
      </c>
      <c r="B816" t="s">
        <v>27</v>
      </c>
      <c r="C816" t="s">
        <v>28</v>
      </c>
      <c r="D816" t="s">
        <v>38</v>
      </c>
      <c r="E816">
        <v>107</v>
      </c>
      <c r="F816">
        <v>37</v>
      </c>
      <c r="G816">
        <v>0.66</v>
      </c>
      <c r="H816" s="1">
        <v>46245</v>
      </c>
      <c r="I816" s="1">
        <v>46045</v>
      </c>
      <c r="J816">
        <v>70.62</v>
      </c>
      <c r="K816" t="s">
        <v>35</v>
      </c>
      <c r="L816">
        <v>126</v>
      </c>
      <c r="M816" t="s">
        <v>36</v>
      </c>
    </row>
    <row r="817" spans="1:13" x14ac:dyDescent="0.25">
      <c r="A817" t="s">
        <v>857</v>
      </c>
      <c r="B817" t="s">
        <v>12</v>
      </c>
      <c r="C817" t="s">
        <v>13</v>
      </c>
      <c r="D817" t="s">
        <v>49</v>
      </c>
      <c r="E817">
        <v>25</v>
      </c>
      <c r="F817">
        <v>62</v>
      </c>
      <c r="G817">
        <v>1.41</v>
      </c>
      <c r="H817" s="1">
        <v>46228</v>
      </c>
      <c r="I817" s="1">
        <v>46063</v>
      </c>
      <c r="J817">
        <v>35.25</v>
      </c>
      <c r="K817" t="s">
        <v>44</v>
      </c>
      <c r="L817">
        <v>109</v>
      </c>
      <c r="M817" t="s">
        <v>36</v>
      </c>
    </row>
    <row r="818" spans="1:13" x14ac:dyDescent="0.25">
      <c r="A818" t="s">
        <v>858</v>
      </c>
      <c r="B818" t="s">
        <v>17</v>
      </c>
      <c r="C818" t="s">
        <v>18</v>
      </c>
      <c r="D818" t="s">
        <v>40</v>
      </c>
      <c r="E818">
        <v>151</v>
      </c>
      <c r="F818">
        <v>89</v>
      </c>
      <c r="G818">
        <v>0.86</v>
      </c>
      <c r="H818" s="1">
        <v>46234</v>
      </c>
      <c r="I818" s="1">
        <v>45981</v>
      </c>
      <c r="J818">
        <v>129.85999999999999</v>
      </c>
      <c r="K818" t="s">
        <v>35</v>
      </c>
      <c r="L818">
        <v>115</v>
      </c>
      <c r="M818" t="s">
        <v>36</v>
      </c>
    </row>
    <row r="819" spans="1:13" x14ac:dyDescent="0.25">
      <c r="A819" t="s">
        <v>859</v>
      </c>
      <c r="B819" t="s">
        <v>16</v>
      </c>
      <c r="C819" t="s">
        <v>13</v>
      </c>
      <c r="D819" t="s">
        <v>38</v>
      </c>
      <c r="E819">
        <v>144</v>
      </c>
      <c r="F819">
        <v>25</v>
      </c>
      <c r="G819">
        <v>1.77</v>
      </c>
      <c r="H819" s="1">
        <v>46163</v>
      </c>
      <c r="I819" s="1">
        <v>45984</v>
      </c>
      <c r="J819">
        <v>254.88</v>
      </c>
      <c r="K819" t="s">
        <v>35</v>
      </c>
      <c r="L819">
        <v>44</v>
      </c>
      <c r="M819" t="s">
        <v>36</v>
      </c>
    </row>
    <row r="820" spans="1:13" x14ac:dyDescent="0.25">
      <c r="A820" t="s">
        <v>860</v>
      </c>
      <c r="B820" t="s">
        <v>25</v>
      </c>
      <c r="C820" t="s">
        <v>15</v>
      </c>
      <c r="D820" t="s">
        <v>40</v>
      </c>
      <c r="E820">
        <v>47</v>
      </c>
      <c r="F820">
        <v>67</v>
      </c>
      <c r="G820">
        <v>0.68</v>
      </c>
      <c r="H820" s="1">
        <v>46420</v>
      </c>
      <c r="I820" s="1">
        <v>45948</v>
      </c>
      <c r="J820">
        <v>31.96</v>
      </c>
      <c r="K820" t="s">
        <v>44</v>
      </c>
      <c r="L820">
        <v>301</v>
      </c>
      <c r="M820" t="s">
        <v>36</v>
      </c>
    </row>
    <row r="821" spans="1:13" x14ac:dyDescent="0.25">
      <c r="A821" t="s">
        <v>861</v>
      </c>
      <c r="B821" t="s">
        <v>26</v>
      </c>
      <c r="C821" t="s">
        <v>22</v>
      </c>
      <c r="D821" t="s">
        <v>40</v>
      </c>
      <c r="E821">
        <v>132</v>
      </c>
      <c r="F821">
        <v>92</v>
      </c>
      <c r="G821">
        <v>1.56</v>
      </c>
      <c r="H821" s="1">
        <v>46168</v>
      </c>
      <c r="I821" s="1">
        <v>45941</v>
      </c>
      <c r="J821">
        <v>205.92000000000002</v>
      </c>
      <c r="K821" t="s">
        <v>35</v>
      </c>
      <c r="L821">
        <v>49</v>
      </c>
      <c r="M821" t="s">
        <v>36</v>
      </c>
    </row>
    <row r="822" spans="1:13" x14ac:dyDescent="0.25">
      <c r="A822" t="s">
        <v>862</v>
      </c>
      <c r="B822" t="s">
        <v>25</v>
      </c>
      <c r="C822" t="s">
        <v>15</v>
      </c>
      <c r="D822" t="s">
        <v>34</v>
      </c>
      <c r="E822">
        <v>4</v>
      </c>
      <c r="F822">
        <v>70</v>
      </c>
      <c r="G822">
        <v>1.43</v>
      </c>
      <c r="H822" s="1">
        <v>46478</v>
      </c>
      <c r="I822" s="1">
        <v>46082</v>
      </c>
      <c r="J822">
        <v>5.72</v>
      </c>
      <c r="K822" t="s">
        <v>44</v>
      </c>
      <c r="L822">
        <v>359</v>
      </c>
      <c r="M822" t="s">
        <v>36</v>
      </c>
    </row>
    <row r="823" spans="1:13" x14ac:dyDescent="0.25">
      <c r="A823" t="s">
        <v>863</v>
      </c>
      <c r="B823" t="s">
        <v>12</v>
      </c>
      <c r="C823" t="s">
        <v>13</v>
      </c>
      <c r="D823" t="s">
        <v>40</v>
      </c>
      <c r="E823">
        <v>177</v>
      </c>
      <c r="F823">
        <v>73</v>
      </c>
      <c r="G823">
        <v>1.57</v>
      </c>
      <c r="H823" s="1">
        <v>46462</v>
      </c>
      <c r="I823" s="1">
        <v>46088</v>
      </c>
      <c r="J823">
        <v>277.89</v>
      </c>
      <c r="K823" t="s">
        <v>35</v>
      </c>
      <c r="L823">
        <v>343</v>
      </c>
      <c r="M823" t="s">
        <v>36</v>
      </c>
    </row>
    <row r="824" spans="1:13" x14ac:dyDescent="0.25">
      <c r="A824" t="s">
        <v>864</v>
      </c>
      <c r="B824" t="s">
        <v>25</v>
      </c>
      <c r="C824" t="s">
        <v>15</v>
      </c>
      <c r="D824" t="s">
        <v>34</v>
      </c>
      <c r="E824">
        <v>53</v>
      </c>
      <c r="F824">
        <v>27</v>
      </c>
      <c r="G824">
        <v>1.45</v>
      </c>
      <c r="H824" s="1">
        <v>46292</v>
      </c>
      <c r="I824" s="1">
        <v>46091</v>
      </c>
      <c r="J824">
        <v>76.849999999999994</v>
      </c>
      <c r="K824" t="s">
        <v>35</v>
      </c>
      <c r="L824">
        <v>173</v>
      </c>
      <c r="M824" t="s">
        <v>36</v>
      </c>
    </row>
    <row r="825" spans="1:13" x14ac:dyDescent="0.25">
      <c r="A825" t="s">
        <v>865</v>
      </c>
      <c r="B825" t="s">
        <v>21</v>
      </c>
      <c r="C825" t="s">
        <v>22</v>
      </c>
      <c r="D825" t="s">
        <v>49</v>
      </c>
      <c r="E825">
        <v>11</v>
      </c>
      <c r="F825">
        <v>29</v>
      </c>
      <c r="G825">
        <v>1.21</v>
      </c>
      <c r="H825" s="1">
        <v>46179</v>
      </c>
      <c r="I825" s="1">
        <v>46004</v>
      </c>
      <c r="J825">
        <v>13.309999999999999</v>
      </c>
      <c r="K825" t="s">
        <v>44</v>
      </c>
      <c r="L825">
        <v>60</v>
      </c>
      <c r="M825" t="s">
        <v>36</v>
      </c>
    </row>
    <row r="826" spans="1:13" x14ac:dyDescent="0.25">
      <c r="A826" t="s">
        <v>866</v>
      </c>
      <c r="B826" t="s">
        <v>12</v>
      </c>
      <c r="C826" t="s">
        <v>13</v>
      </c>
      <c r="D826" t="s">
        <v>34</v>
      </c>
      <c r="E826">
        <v>35</v>
      </c>
      <c r="F826">
        <v>26</v>
      </c>
      <c r="G826">
        <v>1.92</v>
      </c>
      <c r="H826" s="1">
        <v>46215</v>
      </c>
      <c r="I826" s="1">
        <v>45952</v>
      </c>
      <c r="J826">
        <v>67.2</v>
      </c>
      <c r="K826" t="s">
        <v>35</v>
      </c>
      <c r="L826">
        <v>96</v>
      </c>
      <c r="M826" t="s">
        <v>36</v>
      </c>
    </row>
    <row r="827" spans="1:13" x14ac:dyDescent="0.25">
      <c r="A827" t="s">
        <v>867</v>
      </c>
      <c r="B827" t="s">
        <v>17</v>
      </c>
      <c r="C827" t="s">
        <v>18</v>
      </c>
      <c r="D827" t="s">
        <v>34</v>
      </c>
      <c r="E827">
        <v>187</v>
      </c>
      <c r="F827">
        <v>63</v>
      </c>
      <c r="G827">
        <v>0.72</v>
      </c>
      <c r="H827" s="1">
        <v>46441</v>
      </c>
      <c r="I827" s="1">
        <v>45994</v>
      </c>
      <c r="J827">
        <v>134.63999999999999</v>
      </c>
      <c r="K827" t="s">
        <v>35</v>
      </c>
      <c r="L827">
        <v>322</v>
      </c>
      <c r="M827" t="s">
        <v>36</v>
      </c>
    </row>
    <row r="828" spans="1:13" x14ac:dyDescent="0.25">
      <c r="A828" t="s">
        <v>868</v>
      </c>
      <c r="B828" t="s">
        <v>14</v>
      </c>
      <c r="C828" t="s">
        <v>15</v>
      </c>
      <c r="D828" t="s">
        <v>38</v>
      </c>
      <c r="E828">
        <v>80</v>
      </c>
      <c r="F828">
        <v>30</v>
      </c>
      <c r="G828">
        <v>1.71</v>
      </c>
      <c r="H828" s="1">
        <v>46273</v>
      </c>
      <c r="I828" s="1">
        <v>45961</v>
      </c>
      <c r="J828">
        <v>136.80000000000001</v>
      </c>
      <c r="K828" t="s">
        <v>35</v>
      </c>
      <c r="L828">
        <v>154</v>
      </c>
      <c r="M828" t="s">
        <v>36</v>
      </c>
    </row>
    <row r="829" spans="1:13" x14ac:dyDescent="0.25">
      <c r="A829" t="s">
        <v>869</v>
      </c>
      <c r="B829" t="s">
        <v>19</v>
      </c>
      <c r="C829" t="s">
        <v>20</v>
      </c>
      <c r="D829" t="s">
        <v>40</v>
      </c>
      <c r="E829">
        <v>72</v>
      </c>
      <c r="F829">
        <v>54</v>
      </c>
      <c r="G829">
        <v>1.95</v>
      </c>
      <c r="H829" s="1">
        <v>46158</v>
      </c>
      <c r="I829" s="1">
        <v>46113</v>
      </c>
      <c r="J829">
        <v>140.4</v>
      </c>
      <c r="K829" t="s">
        <v>35</v>
      </c>
      <c r="L829">
        <v>39</v>
      </c>
      <c r="M829" t="s">
        <v>36</v>
      </c>
    </row>
    <row r="830" spans="1:13" x14ac:dyDescent="0.25">
      <c r="A830" t="s">
        <v>870</v>
      </c>
      <c r="B830" t="s">
        <v>14</v>
      </c>
      <c r="C830" t="s">
        <v>15</v>
      </c>
      <c r="D830" t="s">
        <v>38</v>
      </c>
      <c r="E830">
        <v>163</v>
      </c>
      <c r="F830">
        <v>32</v>
      </c>
      <c r="G830">
        <v>1.17</v>
      </c>
      <c r="H830" s="1">
        <v>46459</v>
      </c>
      <c r="I830" s="1">
        <v>45939</v>
      </c>
      <c r="J830">
        <v>190.70999999999998</v>
      </c>
      <c r="K830" t="s">
        <v>35</v>
      </c>
      <c r="L830">
        <v>340</v>
      </c>
      <c r="M830" t="s">
        <v>36</v>
      </c>
    </row>
    <row r="831" spans="1:13" x14ac:dyDescent="0.25">
      <c r="A831" t="s">
        <v>871</v>
      </c>
      <c r="B831" t="s">
        <v>26</v>
      </c>
      <c r="C831" t="s">
        <v>22</v>
      </c>
      <c r="D831" t="s">
        <v>38</v>
      </c>
      <c r="E831">
        <v>35</v>
      </c>
      <c r="F831">
        <v>29</v>
      </c>
      <c r="G831">
        <v>1.74</v>
      </c>
      <c r="H831" s="1">
        <v>46230</v>
      </c>
      <c r="I831" s="1">
        <v>45951</v>
      </c>
      <c r="J831">
        <v>60.9</v>
      </c>
      <c r="K831" t="s">
        <v>35</v>
      </c>
      <c r="L831">
        <v>111</v>
      </c>
      <c r="M831" t="s">
        <v>36</v>
      </c>
    </row>
    <row r="832" spans="1:13" x14ac:dyDescent="0.25">
      <c r="A832" t="s">
        <v>872</v>
      </c>
      <c r="B832" t="s">
        <v>17</v>
      </c>
      <c r="C832" t="s">
        <v>18</v>
      </c>
      <c r="D832" t="s">
        <v>34</v>
      </c>
      <c r="E832">
        <v>124</v>
      </c>
      <c r="F832">
        <v>22</v>
      </c>
      <c r="G832">
        <v>1.1399999999999999</v>
      </c>
      <c r="H832" s="1">
        <v>46167</v>
      </c>
      <c r="I832" s="1">
        <v>45972</v>
      </c>
      <c r="J832">
        <v>141.35999999999999</v>
      </c>
      <c r="K832" t="s">
        <v>35</v>
      </c>
      <c r="L832">
        <v>48</v>
      </c>
      <c r="M832" t="s">
        <v>36</v>
      </c>
    </row>
    <row r="833" spans="1:13" x14ac:dyDescent="0.25">
      <c r="A833" t="s">
        <v>873</v>
      </c>
      <c r="B833" t="s">
        <v>19</v>
      </c>
      <c r="C833" t="s">
        <v>20</v>
      </c>
      <c r="D833" t="s">
        <v>49</v>
      </c>
      <c r="E833">
        <v>12</v>
      </c>
      <c r="F833">
        <v>39</v>
      </c>
      <c r="G833">
        <v>1.25</v>
      </c>
      <c r="H833" s="1">
        <v>46175</v>
      </c>
      <c r="I833" s="1">
        <v>46053</v>
      </c>
      <c r="J833">
        <v>15</v>
      </c>
      <c r="K833" t="s">
        <v>44</v>
      </c>
      <c r="L833">
        <v>56</v>
      </c>
      <c r="M833" t="s">
        <v>36</v>
      </c>
    </row>
    <row r="834" spans="1:13" x14ac:dyDescent="0.25">
      <c r="A834" t="s">
        <v>874</v>
      </c>
      <c r="B834" t="s">
        <v>17</v>
      </c>
      <c r="C834" t="s">
        <v>18</v>
      </c>
      <c r="D834" t="s">
        <v>34</v>
      </c>
      <c r="E834">
        <v>40</v>
      </c>
      <c r="F834">
        <v>26</v>
      </c>
      <c r="G834">
        <v>0.64</v>
      </c>
      <c r="H834" s="1">
        <v>46255</v>
      </c>
      <c r="I834" s="1">
        <v>46055</v>
      </c>
      <c r="J834">
        <v>25.6</v>
      </c>
      <c r="K834" t="s">
        <v>35</v>
      </c>
      <c r="L834">
        <v>136</v>
      </c>
      <c r="M834" t="s">
        <v>36</v>
      </c>
    </row>
    <row r="835" spans="1:13" x14ac:dyDescent="0.25">
      <c r="A835" t="s">
        <v>875</v>
      </c>
      <c r="B835" t="s">
        <v>21</v>
      </c>
      <c r="C835" t="s">
        <v>22</v>
      </c>
      <c r="D835" t="s">
        <v>40</v>
      </c>
      <c r="E835">
        <v>61</v>
      </c>
      <c r="F835">
        <v>80</v>
      </c>
      <c r="G835">
        <v>1.1100000000000001</v>
      </c>
      <c r="H835" s="1">
        <v>46415</v>
      </c>
      <c r="I835" s="1">
        <v>46098</v>
      </c>
      <c r="J835">
        <v>67.710000000000008</v>
      </c>
      <c r="K835" t="s">
        <v>44</v>
      </c>
      <c r="L835">
        <v>296</v>
      </c>
      <c r="M835" t="s">
        <v>36</v>
      </c>
    </row>
    <row r="836" spans="1:13" x14ac:dyDescent="0.25">
      <c r="A836" t="s">
        <v>876</v>
      </c>
      <c r="B836" t="s">
        <v>16</v>
      </c>
      <c r="C836" t="s">
        <v>13</v>
      </c>
      <c r="D836" t="s">
        <v>40</v>
      </c>
      <c r="E836">
        <v>191</v>
      </c>
      <c r="F836">
        <v>53</v>
      </c>
      <c r="G836">
        <v>1.05</v>
      </c>
      <c r="H836" s="1">
        <v>46261</v>
      </c>
      <c r="I836" s="1">
        <v>46105</v>
      </c>
      <c r="J836">
        <v>200.55</v>
      </c>
      <c r="K836" t="s">
        <v>35</v>
      </c>
      <c r="L836">
        <v>142</v>
      </c>
      <c r="M836" t="s">
        <v>36</v>
      </c>
    </row>
    <row r="837" spans="1:13" x14ac:dyDescent="0.25">
      <c r="A837" t="s">
        <v>877</v>
      </c>
      <c r="B837" t="s">
        <v>25</v>
      </c>
      <c r="C837" t="s">
        <v>15</v>
      </c>
      <c r="D837" t="s">
        <v>34</v>
      </c>
      <c r="E837">
        <v>84</v>
      </c>
      <c r="F837">
        <v>76</v>
      </c>
      <c r="G837">
        <v>1.3</v>
      </c>
      <c r="H837" s="1">
        <v>46216</v>
      </c>
      <c r="I837" s="1">
        <v>45974</v>
      </c>
      <c r="J837">
        <v>109.2</v>
      </c>
      <c r="K837" t="s">
        <v>35</v>
      </c>
      <c r="L837">
        <v>97</v>
      </c>
      <c r="M837" t="s">
        <v>36</v>
      </c>
    </row>
    <row r="838" spans="1:13" x14ac:dyDescent="0.25">
      <c r="A838" t="s">
        <v>878</v>
      </c>
      <c r="B838" t="s">
        <v>16</v>
      </c>
      <c r="C838" t="s">
        <v>13</v>
      </c>
      <c r="D838" t="s">
        <v>38</v>
      </c>
      <c r="E838">
        <v>65</v>
      </c>
      <c r="F838">
        <v>80</v>
      </c>
      <c r="G838">
        <v>1.38</v>
      </c>
      <c r="H838" s="1">
        <v>46439</v>
      </c>
      <c r="I838" s="1">
        <v>46038</v>
      </c>
      <c r="J838">
        <v>89.699999999999989</v>
      </c>
      <c r="K838" t="s">
        <v>44</v>
      </c>
      <c r="L838">
        <v>320</v>
      </c>
      <c r="M838" t="s">
        <v>36</v>
      </c>
    </row>
    <row r="839" spans="1:13" x14ac:dyDescent="0.25">
      <c r="A839" t="s">
        <v>879</v>
      </c>
      <c r="B839" t="s">
        <v>12</v>
      </c>
      <c r="C839" t="s">
        <v>13</v>
      </c>
      <c r="D839" t="s">
        <v>38</v>
      </c>
      <c r="E839">
        <v>16</v>
      </c>
      <c r="F839">
        <v>92</v>
      </c>
      <c r="G839">
        <v>0.93</v>
      </c>
      <c r="H839" s="1">
        <v>46290</v>
      </c>
      <c r="I839" s="1">
        <v>45980</v>
      </c>
      <c r="J839">
        <v>14.88</v>
      </c>
      <c r="K839" t="s">
        <v>44</v>
      </c>
      <c r="L839">
        <v>171</v>
      </c>
      <c r="M839" t="s">
        <v>36</v>
      </c>
    </row>
    <row r="840" spans="1:13" x14ac:dyDescent="0.25">
      <c r="A840" t="s">
        <v>880</v>
      </c>
      <c r="B840" t="s">
        <v>25</v>
      </c>
      <c r="C840" t="s">
        <v>15</v>
      </c>
      <c r="D840" t="s">
        <v>38</v>
      </c>
      <c r="E840">
        <v>154</v>
      </c>
      <c r="F840">
        <v>52</v>
      </c>
      <c r="G840">
        <v>1.82</v>
      </c>
      <c r="H840" s="1">
        <v>46334</v>
      </c>
      <c r="I840" s="1">
        <v>46045</v>
      </c>
      <c r="J840">
        <v>280.28000000000003</v>
      </c>
      <c r="K840" t="s">
        <v>35</v>
      </c>
      <c r="L840">
        <v>215</v>
      </c>
      <c r="M840" t="s">
        <v>36</v>
      </c>
    </row>
    <row r="841" spans="1:13" x14ac:dyDescent="0.25">
      <c r="A841" t="s">
        <v>881</v>
      </c>
      <c r="B841" t="s">
        <v>16</v>
      </c>
      <c r="C841" t="s">
        <v>13</v>
      </c>
      <c r="D841" t="s">
        <v>49</v>
      </c>
      <c r="E841">
        <v>153</v>
      </c>
      <c r="F841">
        <v>30</v>
      </c>
      <c r="G841">
        <v>1.76</v>
      </c>
      <c r="H841" s="1">
        <v>46475</v>
      </c>
      <c r="I841" s="1">
        <v>45944</v>
      </c>
      <c r="J841">
        <v>269.28000000000003</v>
      </c>
      <c r="K841" t="s">
        <v>35</v>
      </c>
      <c r="L841">
        <v>356</v>
      </c>
      <c r="M841" t="s">
        <v>36</v>
      </c>
    </row>
    <row r="842" spans="1:13" x14ac:dyDescent="0.25">
      <c r="A842" t="s">
        <v>882</v>
      </c>
      <c r="B842" t="s">
        <v>12</v>
      </c>
      <c r="C842" t="s">
        <v>13</v>
      </c>
      <c r="D842" t="s">
        <v>38</v>
      </c>
      <c r="E842">
        <v>119</v>
      </c>
      <c r="F842">
        <v>62</v>
      </c>
      <c r="G842">
        <v>1.95</v>
      </c>
      <c r="H842" s="1">
        <v>46449</v>
      </c>
      <c r="I842" s="1">
        <v>45964</v>
      </c>
      <c r="J842">
        <v>232.04999999999998</v>
      </c>
      <c r="K842" t="s">
        <v>35</v>
      </c>
      <c r="L842">
        <v>330</v>
      </c>
      <c r="M842" t="s">
        <v>36</v>
      </c>
    </row>
    <row r="843" spans="1:13" x14ac:dyDescent="0.25">
      <c r="A843" t="s">
        <v>883</v>
      </c>
      <c r="B843" t="s">
        <v>23</v>
      </c>
      <c r="C843" t="s">
        <v>24</v>
      </c>
      <c r="D843" t="s">
        <v>49</v>
      </c>
      <c r="E843">
        <v>136</v>
      </c>
      <c r="F843">
        <v>33</v>
      </c>
      <c r="G843">
        <v>1.7</v>
      </c>
      <c r="H843" s="1">
        <v>46163</v>
      </c>
      <c r="I843" s="1">
        <v>45948</v>
      </c>
      <c r="J843">
        <v>231.2</v>
      </c>
      <c r="K843" t="s">
        <v>35</v>
      </c>
      <c r="L843">
        <v>44</v>
      </c>
      <c r="M843" t="s">
        <v>36</v>
      </c>
    </row>
    <row r="844" spans="1:13" x14ac:dyDescent="0.25">
      <c r="A844" t="s">
        <v>884</v>
      </c>
      <c r="B844" t="s">
        <v>23</v>
      </c>
      <c r="C844" t="s">
        <v>24</v>
      </c>
      <c r="D844" t="s">
        <v>40</v>
      </c>
      <c r="E844">
        <v>101</v>
      </c>
      <c r="F844">
        <v>93</v>
      </c>
      <c r="G844">
        <v>1.29</v>
      </c>
      <c r="H844" s="1">
        <v>46244</v>
      </c>
      <c r="I844" s="1">
        <v>46053</v>
      </c>
      <c r="J844">
        <v>130.29</v>
      </c>
      <c r="K844" t="s">
        <v>35</v>
      </c>
      <c r="L844">
        <v>125</v>
      </c>
      <c r="M844" t="s">
        <v>36</v>
      </c>
    </row>
    <row r="845" spans="1:13" x14ac:dyDescent="0.25">
      <c r="A845" t="s">
        <v>885</v>
      </c>
      <c r="B845" t="s">
        <v>27</v>
      </c>
      <c r="C845" t="s">
        <v>28</v>
      </c>
      <c r="D845" t="s">
        <v>34</v>
      </c>
      <c r="E845">
        <v>65</v>
      </c>
      <c r="F845">
        <v>100</v>
      </c>
      <c r="G845">
        <v>0.73</v>
      </c>
      <c r="H845" s="1">
        <v>46292</v>
      </c>
      <c r="I845" s="1">
        <v>46063</v>
      </c>
      <c r="J845">
        <v>47.449999999999996</v>
      </c>
      <c r="K845" t="s">
        <v>44</v>
      </c>
      <c r="L845">
        <v>173</v>
      </c>
      <c r="M845" t="s">
        <v>36</v>
      </c>
    </row>
    <row r="846" spans="1:13" x14ac:dyDescent="0.25">
      <c r="A846" t="s">
        <v>886</v>
      </c>
      <c r="B846" t="s">
        <v>14</v>
      </c>
      <c r="C846" t="s">
        <v>15</v>
      </c>
      <c r="D846" t="s">
        <v>40</v>
      </c>
      <c r="E846">
        <v>5</v>
      </c>
      <c r="F846">
        <v>83</v>
      </c>
      <c r="G846">
        <v>1.1200000000000001</v>
      </c>
      <c r="H846" s="1">
        <v>46477</v>
      </c>
      <c r="I846" s="1">
        <v>46007</v>
      </c>
      <c r="J846">
        <v>5.6000000000000005</v>
      </c>
      <c r="K846" t="s">
        <v>44</v>
      </c>
      <c r="L846">
        <v>358</v>
      </c>
      <c r="M846" t="s">
        <v>36</v>
      </c>
    </row>
    <row r="847" spans="1:13" x14ac:dyDescent="0.25">
      <c r="A847" t="s">
        <v>887</v>
      </c>
      <c r="B847" t="s">
        <v>23</v>
      </c>
      <c r="C847" t="s">
        <v>24</v>
      </c>
      <c r="D847" t="s">
        <v>34</v>
      </c>
      <c r="E847">
        <v>197</v>
      </c>
      <c r="F847">
        <v>91</v>
      </c>
      <c r="G847">
        <v>0.51</v>
      </c>
      <c r="H847" s="1">
        <v>46359</v>
      </c>
      <c r="I847" s="1">
        <v>45943</v>
      </c>
      <c r="J847">
        <v>100.47</v>
      </c>
      <c r="K847" t="s">
        <v>35</v>
      </c>
      <c r="L847">
        <v>240</v>
      </c>
      <c r="M847" t="s">
        <v>36</v>
      </c>
    </row>
    <row r="848" spans="1:13" x14ac:dyDescent="0.25">
      <c r="A848" t="s">
        <v>888</v>
      </c>
      <c r="B848" t="s">
        <v>14</v>
      </c>
      <c r="C848" t="s">
        <v>15</v>
      </c>
      <c r="D848" t="s">
        <v>49</v>
      </c>
      <c r="E848">
        <v>75</v>
      </c>
      <c r="F848">
        <v>40</v>
      </c>
      <c r="G848">
        <v>1.4</v>
      </c>
      <c r="H848" s="1">
        <v>46236</v>
      </c>
      <c r="I848" s="1">
        <v>46024</v>
      </c>
      <c r="J848">
        <v>105</v>
      </c>
      <c r="K848" t="s">
        <v>35</v>
      </c>
      <c r="L848">
        <v>117</v>
      </c>
      <c r="M848" t="s">
        <v>36</v>
      </c>
    </row>
    <row r="849" spans="1:13" x14ac:dyDescent="0.25">
      <c r="A849" t="s">
        <v>889</v>
      </c>
      <c r="B849" t="s">
        <v>17</v>
      </c>
      <c r="C849" t="s">
        <v>18</v>
      </c>
      <c r="D849" t="s">
        <v>49</v>
      </c>
      <c r="E849">
        <v>8</v>
      </c>
      <c r="F849">
        <v>20</v>
      </c>
      <c r="G849">
        <v>0.87</v>
      </c>
      <c r="H849" s="1">
        <v>46369</v>
      </c>
      <c r="I849" s="1">
        <v>46062</v>
      </c>
      <c r="J849">
        <v>6.96</v>
      </c>
      <c r="K849" t="s">
        <v>44</v>
      </c>
      <c r="L849">
        <v>250</v>
      </c>
      <c r="M849" t="s">
        <v>36</v>
      </c>
    </row>
    <row r="850" spans="1:13" x14ac:dyDescent="0.25">
      <c r="A850" t="s">
        <v>890</v>
      </c>
      <c r="B850" t="s">
        <v>21</v>
      </c>
      <c r="C850" t="s">
        <v>22</v>
      </c>
      <c r="D850" t="s">
        <v>34</v>
      </c>
      <c r="E850">
        <v>71</v>
      </c>
      <c r="F850">
        <v>85</v>
      </c>
      <c r="G850">
        <v>1.07</v>
      </c>
      <c r="H850" s="1">
        <v>46151</v>
      </c>
      <c r="I850" s="1">
        <v>45979</v>
      </c>
      <c r="J850">
        <v>75.97</v>
      </c>
      <c r="K850" t="s">
        <v>44</v>
      </c>
      <c r="L850">
        <v>32</v>
      </c>
      <c r="M850" t="s">
        <v>36</v>
      </c>
    </row>
    <row r="851" spans="1:13" x14ac:dyDescent="0.25">
      <c r="A851" t="s">
        <v>891</v>
      </c>
      <c r="B851" t="s">
        <v>16</v>
      </c>
      <c r="C851" t="s">
        <v>13</v>
      </c>
      <c r="D851" t="s">
        <v>34</v>
      </c>
      <c r="E851">
        <v>103</v>
      </c>
      <c r="F851">
        <v>60</v>
      </c>
      <c r="G851">
        <v>1.03</v>
      </c>
      <c r="H851" s="1">
        <v>46262</v>
      </c>
      <c r="I851" s="1">
        <v>46017</v>
      </c>
      <c r="J851">
        <v>106.09</v>
      </c>
      <c r="K851" t="s">
        <v>35</v>
      </c>
      <c r="L851">
        <v>143</v>
      </c>
      <c r="M851" t="s">
        <v>36</v>
      </c>
    </row>
    <row r="852" spans="1:13" x14ac:dyDescent="0.25">
      <c r="A852" t="s">
        <v>892</v>
      </c>
      <c r="B852" t="s">
        <v>12</v>
      </c>
      <c r="C852" t="s">
        <v>13</v>
      </c>
      <c r="D852" t="s">
        <v>38</v>
      </c>
      <c r="E852">
        <v>33</v>
      </c>
      <c r="F852">
        <v>24</v>
      </c>
      <c r="G852">
        <v>1.36</v>
      </c>
      <c r="H852" s="1">
        <v>46254</v>
      </c>
      <c r="I852" s="1">
        <v>46118</v>
      </c>
      <c r="J852">
        <v>44.88</v>
      </c>
      <c r="K852" t="s">
        <v>35</v>
      </c>
      <c r="L852">
        <v>135</v>
      </c>
      <c r="M852" t="s">
        <v>36</v>
      </c>
    </row>
    <row r="853" spans="1:13" x14ac:dyDescent="0.25">
      <c r="A853" t="s">
        <v>893</v>
      </c>
      <c r="B853" t="s">
        <v>19</v>
      </c>
      <c r="C853" t="s">
        <v>20</v>
      </c>
      <c r="D853" t="s">
        <v>38</v>
      </c>
      <c r="E853">
        <v>35</v>
      </c>
      <c r="F853">
        <v>73</v>
      </c>
      <c r="G853">
        <v>1.1499999999999999</v>
      </c>
      <c r="H853" s="1">
        <v>46250</v>
      </c>
      <c r="I853" s="1">
        <v>46083</v>
      </c>
      <c r="J853">
        <v>40.25</v>
      </c>
      <c r="K853" t="s">
        <v>44</v>
      </c>
      <c r="L853">
        <v>131</v>
      </c>
      <c r="M853" t="s">
        <v>36</v>
      </c>
    </row>
    <row r="854" spans="1:13" x14ac:dyDescent="0.25">
      <c r="A854" t="s">
        <v>894</v>
      </c>
      <c r="B854" t="s">
        <v>27</v>
      </c>
      <c r="C854" t="s">
        <v>28</v>
      </c>
      <c r="D854" t="s">
        <v>40</v>
      </c>
      <c r="E854">
        <v>169</v>
      </c>
      <c r="F854">
        <v>53</v>
      </c>
      <c r="G854">
        <v>0.73</v>
      </c>
      <c r="H854" s="1">
        <v>46428</v>
      </c>
      <c r="I854" s="1">
        <v>46099</v>
      </c>
      <c r="J854">
        <v>123.36999999999999</v>
      </c>
      <c r="K854" t="s">
        <v>35</v>
      </c>
      <c r="L854">
        <v>309</v>
      </c>
      <c r="M854" t="s">
        <v>36</v>
      </c>
    </row>
    <row r="855" spans="1:13" x14ac:dyDescent="0.25">
      <c r="A855" t="s">
        <v>895</v>
      </c>
      <c r="B855" t="s">
        <v>25</v>
      </c>
      <c r="C855" t="s">
        <v>15</v>
      </c>
      <c r="D855" t="s">
        <v>34</v>
      </c>
      <c r="E855">
        <v>116</v>
      </c>
      <c r="F855">
        <v>74</v>
      </c>
      <c r="G855">
        <v>0.89</v>
      </c>
      <c r="H855" s="1">
        <v>46454</v>
      </c>
      <c r="I855" s="1">
        <v>46049</v>
      </c>
      <c r="J855">
        <v>103.24</v>
      </c>
      <c r="K855" t="s">
        <v>35</v>
      </c>
      <c r="L855">
        <v>335</v>
      </c>
      <c r="M855" t="s">
        <v>36</v>
      </c>
    </row>
    <row r="856" spans="1:13" x14ac:dyDescent="0.25">
      <c r="A856" t="s">
        <v>896</v>
      </c>
      <c r="B856" t="s">
        <v>23</v>
      </c>
      <c r="C856" t="s">
        <v>24</v>
      </c>
      <c r="D856" t="s">
        <v>34</v>
      </c>
      <c r="E856">
        <v>156</v>
      </c>
      <c r="F856">
        <v>21</v>
      </c>
      <c r="G856">
        <v>1.1000000000000001</v>
      </c>
      <c r="H856" s="1">
        <v>46361</v>
      </c>
      <c r="I856" s="1">
        <v>45997</v>
      </c>
      <c r="J856">
        <v>171.60000000000002</v>
      </c>
      <c r="K856" t="s">
        <v>35</v>
      </c>
      <c r="L856">
        <v>242</v>
      </c>
      <c r="M856" t="s">
        <v>36</v>
      </c>
    </row>
    <row r="857" spans="1:13" x14ac:dyDescent="0.25">
      <c r="A857" t="s">
        <v>897</v>
      </c>
      <c r="B857" t="s">
        <v>14</v>
      </c>
      <c r="C857" t="s">
        <v>15</v>
      </c>
      <c r="D857" t="s">
        <v>40</v>
      </c>
      <c r="E857">
        <v>70</v>
      </c>
      <c r="F857">
        <v>71</v>
      </c>
      <c r="G857">
        <v>0.62</v>
      </c>
      <c r="H857" s="1">
        <v>46305</v>
      </c>
      <c r="I857" s="1">
        <v>45945</v>
      </c>
      <c r="J857">
        <v>43.4</v>
      </c>
      <c r="K857" t="s">
        <v>44</v>
      </c>
      <c r="L857">
        <v>186</v>
      </c>
      <c r="M857" t="s">
        <v>36</v>
      </c>
    </row>
    <row r="858" spans="1:13" x14ac:dyDescent="0.25">
      <c r="A858" t="s">
        <v>898</v>
      </c>
      <c r="B858" t="s">
        <v>25</v>
      </c>
      <c r="C858" t="s">
        <v>15</v>
      </c>
      <c r="D858" t="s">
        <v>38</v>
      </c>
      <c r="E858">
        <v>189</v>
      </c>
      <c r="F858">
        <v>83</v>
      </c>
      <c r="G858">
        <v>0.75</v>
      </c>
      <c r="H858" s="1">
        <v>46261</v>
      </c>
      <c r="I858" s="1">
        <v>46093</v>
      </c>
      <c r="J858">
        <v>141.75</v>
      </c>
      <c r="K858" t="s">
        <v>35</v>
      </c>
      <c r="L858">
        <v>142</v>
      </c>
      <c r="M858" t="s">
        <v>36</v>
      </c>
    </row>
    <row r="859" spans="1:13" x14ac:dyDescent="0.25">
      <c r="A859" t="s">
        <v>899</v>
      </c>
      <c r="B859" t="s">
        <v>16</v>
      </c>
      <c r="C859" t="s">
        <v>13</v>
      </c>
      <c r="D859" t="s">
        <v>34</v>
      </c>
      <c r="E859">
        <v>200</v>
      </c>
      <c r="F859">
        <v>45</v>
      </c>
      <c r="G859">
        <v>0.95</v>
      </c>
      <c r="H859" s="1">
        <v>46228</v>
      </c>
      <c r="I859" s="1">
        <v>46012</v>
      </c>
      <c r="J859">
        <v>190</v>
      </c>
      <c r="K859" t="s">
        <v>35</v>
      </c>
      <c r="L859">
        <v>109</v>
      </c>
      <c r="M859" t="s">
        <v>36</v>
      </c>
    </row>
    <row r="860" spans="1:13" x14ac:dyDescent="0.25">
      <c r="A860" t="s">
        <v>900</v>
      </c>
      <c r="B860" t="s">
        <v>26</v>
      </c>
      <c r="C860" t="s">
        <v>22</v>
      </c>
      <c r="D860" t="s">
        <v>40</v>
      </c>
      <c r="E860">
        <v>115</v>
      </c>
      <c r="F860">
        <v>77</v>
      </c>
      <c r="G860">
        <v>1.26</v>
      </c>
      <c r="H860" s="1">
        <v>46360</v>
      </c>
      <c r="I860" s="1">
        <v>46105</v>
      </c>
      <c r="J860">
        <v>144.9</v>
      </c>
      <c r="K860" t="s">
        <v>35</v>
      </c>
      <c r="L860">
        <v>241</v>
      </c>
      <c r="M860" t="s">
        <v>36</v>
      </c>
    </row>
    <row r="861" spans="1:13" x14ac:dyDescent="0.25">
      <c r="A861" t="s">
        <v>901</v>
      </c>
      <c r="B861" t="s">
        <v>16</v>
      </c>
      <c r="C861" t="s">
        <v>13</v>
      </c>
      <c r="D861" t="s">
        <v>38</v>
      </c>
      <c r="E861">
        <v>158</v>
      </c>
      <c r="F861">
        <v>41</v>
      </c>
      <c r="G861">
        <v>0.59</v>
      </c>
      <c r="H861" s="1">
        <v>46481</v>
      </c>
      <c r="I861" s="1">
        <v>46017</v>
      </c>
      <c r="J861">
        <v>93.22</v>
      </c>
      <c r="K861" t="s">
        <v>35</v>
      </c>
      <c r="L861">
        <v>362</v>
      </c>
      <c r="M861" t="s">
        <v>36</v>
      </c>
    </row>
    <row r="862" spans="1:13" x14ac:dyDescent="0.25">
      <c r="A862" t="s">
        <v>902</v>
      </c>
      <c r="B862" t="s">
        <v>14</v>
      </c>
      <c r="C862" t="s">
        <v>15</v>
      </c>
      <c r="D862" t="s">
        <v>40</v>
      </c>
      <c r="E862">
        <v>97</v>
      </c>
      <c r="F862">
        <v>36</v>
      </c>
      <c r="G862">
        <v>1.62</v>
      </c>
      <c r="H862" s="1">
        <v>46452</v>
      </c>
      <c r="I862" s="1">
        <v>46080</v>
      </c>
      <c r="J862">
        <v>157.14000000000001</v>
      </c>
      <c r="K862" t="s">
        <v>35</v>
      </c>
      <c r="L862">
        <v>333</v>
      </c>
      <c r="M862" t="s">
        <v>36</v>
      </c>
    </row>
    <row r="863" spans="1:13" x14ac:dyDescent="0.25">
      <c r="A863" t="s">
        <v>903</v>
      </c>
      <c r="B863" t="s">
        <v>16</v>
      </c>
      <c r="C863" t="s">
        <v>13</v>
      </c>
      <c r="D863" t="s">
        <v>49</v>
      </c>
      <c r="E863">
        <v>63</v>
      </c>
      <c r="F863">
        <v>69</v>
      </c>
      <c r="G863">
        <v>0.52</v>
      </c>
      <c r="H863" s="1">
        <v>46216</v>
      </c>
      <c r="I863" s="1">
        <v>45977</v>
      </c>
      <c r="J863">
        <v>32.76</v>
      </c>
      <c r="K863" t="s">
        <v>44</v>
      </c>
      <c r="L863">
        <v>97</v>
      </c>
      <c r="M863" t="s">
        <v>36</v>
      </c>
    </row>
    <row r="864" spans="1:13" x14ac:dyDescent="0.25">
      <c r="A864" t="s">
        <v>904</v>
      </c>
      <c r="B864" t="s">
        <v>26</v>
      </c>
      <c r="C864" t="s">
        <v>22</v>
      </c>
      <c r="D864" t="s">
        <v>34</v>
      </c>
      <c r="E864">
        <v>159</v>
      </c>
      <c r="F864">
        <v>34</v>
      </c>
      <c r="G864">
        <v>1.3</v>
      </c>
      <c r="H864" s="1">
        <v>46440</v>
      </c>
      <c r="I864" s="1">
        <v>46018</v>
      </c>
      <c r="J864">
        <v>206.70000000000002</v>
      </c>
      <c r="K864" t="s">
        <v>35</v>
      </c>
      <c r="L864">
        <v>321</v>
      </c>
      <c r="M864" t="s">
        <v>36</v>
      </c>
    </row>
    <row r="865" spans="1:13" x14ac:dyDescent="0.25">
      <c r="A865" t="s">
        <v>905</v>
      </c>
      <c r="B865" t="s">
        <v>19</v>
      </c>
      <c r="C865" t="s">
        <v>20</v>
      </c>
      <c r="D865" t="s">
        <v>40</v>
      </c>
      <c r="E865">
        <v>29</v>
      </c>
      <c r="F865">
        <v>52</v>
      </c>
      <c r="G865">
        <v>1.37</v>
      </c>
      <c r="H865" s="1">
        <v>46480</v>
      </c>
      <c r="I865" s="1">
        <v>45992</v>
      </c>
      <c r="J865">
        <v>39.730000000000004</v>
      </c>
      <c r="K865" t="s">
        <v>44</v>
      </c>
      <c r="L865">
        <v>361</v>
      </c>
      <c r="M865" t="s">
        <v>36</v>
      </c>
    </row>
    <row r="866" spans="1:13" x14ac:dyDescent="0.25">
      <c r="A866" t="s">
        <v>906</v>
      </c>
      <c r="B866" t="s">
        <v>17</v>
      </c>
      <c r="C866" t="s">
        <v>18</v>
      </c>
      <c r="D866" t="s">
        <v>40</v>
      </c>
      <c r="E866">
        <v>91</v>
      </c>
      <c r="F866">
        <v>94</v>
      </c>
      <c r="G866">
        <v>1.98</v>
      </c>
      <c r="H866" s="1">
        <v>46460</v>
      </c>
      <c r="I866" s="1">
        <v>45965</v>
      </c>
      <c r="J866">
        <v>180.18</v>
      </c>
      <c r="K866" t="s">
        <v>44</v>
      </c>
      <c r="L866">
        <v>341</v>
      </c>
      <c r="M866" t="s">
        <v>36</v>
      </c>
    </row>
    <row r="867" spans="1:13" x14ac:dyDescent="0.25">
      <c r="A867" t="s">
        <v>907</v>
      </c>
      <c r="B867" t="s">
        <v>12</v>
      </c>
      <c r="C867" t="s">
        <v>13</v>
      </c>
      <c r="D867" t="s">
        <v>49</v>
      </c>
      <c r="E867">
        <v>159</v>
      </c>
      <c r="F867">
        <v>59</v>
      </c>
      <c r="G867">
        <v>1.1599999999999999</v>
      </c>
      <c r="H867" s="1">
        <v>46155</v>
      </c>
      <c r="I867" s="1">
        <v>46028</v>
      </c>
      <c r="J867">
        <v>184.44</v>
      </c>
      <c r="K867" t="s">
        <v>35</v>
      </c>
      <c r="L867">
        <v>36</v>
      </c>
      <c r="M867" t="s">
        <v>36</v>
      </c>
    </row>
    <row r="868" spans="1:13" x14ac:dyDescent="0.25">
      <c r="A868" t="s">
        <v>908</v>
      </c>
      <c r="B868" t="s">
        <v>26</v>
      </c>
      <c r="C868" t="s">
        <v>22</v>
      </c>
      <c r="D868" t="s">
        <v>34</v>
      </c>
      <c r="E868">
        <v>5</v>
      </c>
      <c r="F868">
        <v>27</v>
      </c>
      <c r="G868">
        <v>1.98</v>
      </c>
      <c r="H868" s="1">
        <v>46331</v>
      </c>
      <c r="I868" s="1">
        <v>46085</v>
      </c>
      <c r="J868">
        <v>9.9</v>
      </c>
      <c r="K868" t="s">
        <v>44</v>
      </c>
      <c r="L868">
        <v>212</v>
      </c>
      <c r="M868" t="s">
        <v>36</v>
      </c>
    </row>
    <row r="869" spans="1:13" x14ac:dyDescent="0.25">
      <c r="A869" t="s">
        <v>909</v>
      </c>
      <c r="B869" t="s">
        <v>16</v>
      </c>
      <c r="C869" t="s">
        <v>13</v>
      </c>
      <c r="D869" t="s">
        <v>38</v>
      </c>
      <c r="E869">
        <v>48</v>
      </c>
      <c r="F869">
        <v>64</v>
      </c>
      <c r="G869">
        <v>0.9</v>
      </c>
      <c r="H869" s="1">
        <v>46402</v>
      </c>
      <c r="I869" s="1">
        <v>45998</v>
      </c>
      <c r="J869">
        <v>43.2</v>
      </c>
      <c r="K869" t="s">
        <v>44</v>
      </c>
      <c r="L869">
        <v>283</v>
      </c>
      <c r="M869" t="s">
        <v>36</v>
      </c>
    </row>
    <row r="870" spans="1:13" x14ac:dyDescent="0.25">
      <c r="A870" t="s">
        <v>910</v>
      </c>
      <c r="B870" t="s">
        <v>16</v>
      </c>
      <c r="C870" t="s">
        <v>13</v>
      </c>
      <c r="D870" t="s">
        <v>40</v>
      </c>
      <c r="E870">
        <v>115</v>
      </c>
      <c r="F870">
        <v>99</v>
      </c>
      <c r="G870">
        <v>1.04</v>
      </c>
      <c r="H870" s="1">
        <v>46220</v>
      </c>
      <c r="I870" s="1">
        <v>46050</v>
      </c>
      <c r="J870">
        <v>119.60000000000001</v>
      </c>
      <c r="K870" t="s">
        <v>35</v>
      </c>
      <c r="L870">
        <v>101</v>
      </c>
      <c r="M870" t="s">
        <v>36</v>
      </c>
    </row>
    <row r="871" spans="1:13" x14ac:dyDescent="0.25">
      <c r="A871" t="s">
        <v>911</v>
      </c>
      <c r="B871" t="s">
        <v>12</v>
      </c>
      <c r="C871" t="s">
        <v>13</v>
      </c>
      <c r="D871" t="s">
        <v>40</v>
      </c>
      <c r="E871">
        <v>52</v>
      </c>
      <c r="F871">
        <v>39</v>
      </c>
      <c r="G871">
        <v>1.37</v>
      </c>
      <c r="H871" s="1">
        <v>46273</v>
      </c>
      <c r="I871" s="1">
        <v>45985</v>
      </c>
      <c r="J871">
        <v>71.240000000000009</v>
      </c>
      <c r="K871" t="s">
        <v>35</v>
      </c>
      <c r="L871">
        <v>154</v>
      </c>
      <c r="M871" t="s">
        <v>36</v>
      </c>
    </row>
    <row r="872" spans="1:13" x14ac:dyDescent="0.25">
      <c r="A872" t="s">
        <v>912</v>
      </c>
      <c r="B872" t="s">
        <v>14</v>
      </c>
      <c r="C872" t="s">
        <v>15</v>
      </c>
      <c r="D872" t="s">
        <v>40</v>
      </c>
      <c r="E872">
        <v>11</v>
      </c>
      <c r="F872">
        <v>20</v>
      </c>
      <c r="G872">
        <v>1.32</v>
      </c>
      <c r="H872" s="1">
        <v>46318</v>
      </c>
      <c r="I872" s="1">
        <v>46114</v>
      </c>
      <c r="J872">
        <v>14.520000000000001</v>
      </c>
      <c r="K872" t="s">
        <v>44</v>
      </c>
      <c r="L872">
        <v>199</v>
      </c>
      <c r="M872" t="s">
        <v>36</v>
      </c>
    </row>
    <row r="873" spans="1:13" x14ac:dyDescent="0.25">
      <c r="A873" t="s">
        <v>913</v>
      </c>
      <c r="B873" t="s">
        <v>16</v>
      </c>
      <c r="C873" t="s">
        <v>13</v>
      </c>
      <c r="D873" t="s">
        <v>34</v>
      </c>
      <c r="E873">
        <v>103</v>
      </c>
      <c r="F873">
        <v>74</v>
      </c>
      <c r="G873">
        <v>1.52</v>
      </c>
      <c r="H873" s="1">
        <v>46359</v>
      </c>
      <c r="I873" s="1">
        <v>45970</v>
      </c>
      <c r="J873">
        <v>156.56</v>
      </c>
      <c r="K873" t="s">
        <v>35</v>
      </c>
      <c r="L873">
        <v>240</v>
      </c>
      <c r="M873" t="s">
        <v>36</v>
      </c>
    </row>
    <row r="874" spans="1:13" x14ac:dyDescent="0.25">
      <c r="A874" t="s">
        <v>914</v>
      </c>
      <c r="B874" t="s">
        <v>17</v>
      </c>
      <c r="C874" t="s">
        <v>18</v>
      </c>
      <c r="D874" t="s">
        <v>38</v>
      </c>
      <c r="E874">
        <v>95</v>
      </c>
      <c r="F874">
        <v>88</v>
      </c>
      <c r="G874">
        <v>0.88</v>
      </c>
      <c r="H874" s="1">
        <v>46394</v>
      </c>
      <c r="I874" s="1">
        <v>46108</v>
      </c>
      <c r="J874">
        <v>83.6</v>
      </c>
      <c r="K874" t="s">
        <v>35</v>
      </c>
      <c r="L874">
        <v>275</v>
      </c>
      <c r="M874" t="s">
        <v>36</v>
      </c>
    </row>
    <row r="875" spans="1:13" x14ac:dyDescent="0.25">
      <c r="A875" t="s">
        <v>915</v>
      </c>
      <c r="B875" t="s">
        <v>27</v>
      </c>
      <c r="C875" t="s">
        <v>28</v>
      </c>
      <c r="D875" t="s">
        <v>38</v>
      </c>
      <c r="E875">
        <v>130</v>
      </c>
      <c r="F875">
        <v>88</v>
      </c>
      <c r="G875">
        <v>0.57999999999999996</v>
      </c>
      <c r="H875" s="1">
        <v>46290</v>
      </c>
      <c r="I875" s="1">
        <v>45954</v>
      </c>
      <c r="J875">
        <v>75.399999999999991</v>
      </c>
      <c r="K875" t="s">
        <v>35</v>
      </c>
      <c r="L875">
        <v>171</v>
      </c>
      <c r="M875" t="s">
        <v>36</v>
      </c>
    </row>
    <row r="876" spans="1:13" x14ac:dyDescent="0.25">
      <c r="A876" t="s">
        <v>916</v>
      </c>
      <c r="B876" t="s">
        <v>21</v>
      </c>
      <c r="C876" t="s">
        <v>22</v>
      </c>
      <c r="D876" t="s">
        <v>40</v>
      </c>
      <c r="E876">
        <v>181</v>
      </c>
      <c r="F876">
        <v>69</v>
      </c>
      <c r="G876">
        <v>1.52</v>
      </c>
      <c r="H876" s="1">
        <v>46370</v>
      </c>
      <c r="I876" s="1">
        <v>46091</v>
      </c>
      <c r="J876">
        <v>275.12</v>
      </c>
      <c r="K876" t="s">
        <v>35</v>
      </c>
      <c r="L876">
        <v>251</v>
      </c>
      <c r="M876" t="s">
        <v>36</v>
      </c>
    </row>
    <row r="877" spans="1:13" x14ac:dyDescent="0.25">
      <c r="A877" t="s">
        <v>917</v>
      </c>
      <c r="B877" t="s">
        <v>12</v>
      </c>
      <c r="C877" t="s">
        <v>13</v>
      </c>
      <c r="D877" t="s">
        <v>40</v>
      </c>
      <c r="E877">
        <v>7</v>
      </c>
      <c r="F877">
        <v>50</v>
      </c>
      <c r="G877">
        <v>1.8</v>
      </c>
      <c r="H877" s="1">
        <v>46237</v>
      </c>
      <c r="I877" s="1">
        <v>46023</v>
      </c>
      <c r="J877">
        <v>12.6</v>
      </c>
      <c r="K877" t="s">
        <v>44</v>
      </c>
      <c r="L877">
        <v>118</v>
      </c>
      <c r="M877" t="s">
        <v>36</v>
      </c>
    </row>
    <row r="878" spans="1:13" x14ac:dyDescent="0.25">
      <c r="A878" t="s">
        <v>918</v>
      </c>
      <c r="B878" t="s">
        <v>27</v>
      </c>
      <c r="C878" t="s">
        <v>28</v>
      </c>
      <c r="D878" t="s">
        <v>38</v>
      </c>
      <c r="E878">
        <v>73</v>
      </c>
      <c r="F878">
        <v>86</v>
      </c>
      <c r="G878">
        <v>1.1399999999999999</v>
      </c>
      <c r="H878" s="1">
        <v>46158</v>
      </c>
      <c r="I878" s="1">
        <v>46099</v>
      </c>
      <c r="J878">
        <v>83.22</v>
      </c>
      <c r="K878" t="s">
        <v>44</v>
      </c>
      <c r="L878">
        <v>39</v>
      </c>
      <c r="M878" t="s">
        <v>36</v>
      </c>
    </row>
    <row r="879" spans="1:13" x14ac:dyDescent="0.25">
      <c r="A879" t="s">
        <v>919</v>
      </c>
      <c r="B879" t="s">
        <v>23</v>
      </c>
      <c r="C879" t="s">
        <v>24</v>
      </c>
      <c r="D879" t="s">
        <v>38</v>
      </c>
      <c r="E879">
        <v>63</v>
      </c>
      <c r="F879">
        <v>71</v>
      </c>
      <c r="G879">
        <v>1.62</v>
      </c>
      <c r="H879" s="1">
        <v>46263</v>
      </c>
      <c r="I879" s="1">
        <v>46092</v>
      </c>
      <c r="J879">
        <v>102.06</v>
      </c>
      <c r="K879" t="s">
        <v>44</v>
      </c>
      <c r="L879">
        <v>144</v>
      </c>
      <c r="M879" t="s">
        <v>36</v>
      </c>
    </row>
    <row r="880" spans="1:13" x14ac:dyDescent="0.25">
      <c r="A880" t="s">
        <v>920</v>
      </c>
      <c r="B880" t="s">
        <v>17</v>
      </c>
      <c r="C880" t="s">
        <v>18</v>
      </c>
      <c r="D880" t="s">
        <v>40</v>
      </c>
      <c r="E880">
        <v>34</v>
      </c>
      <c r="F880">
        <v>38</v>
      </c>
      <c r="G880">
        <v>1.85</v>
      </c>
      <c r="H880" s="1">
        <v>46149</v>
      </c>
      <c r="I880" s="1">
        <v>46007</v>
      </c>
      <c r="J880">
        <v>62.900000000000006</v>
      </c>
      <c r="K880" t="s">
        <v>44</v>
      </c>
      <c r="L880">
        <v>30</v>
      </c>
      <c r="M880" t="s">
        <v>482</v>
      </c>
    </row>
    <row r="881" spans="1:13" x14ac:dyDescent="0.25">
      <c r="A881" t="s">
        <v>921</v>
      </c>
      <c r="B881" t="s">
        <v>23</v>
      </c>
      <c r="C881" t="s">
        <v>24</v>
      </c>
      <c r="D881" t="s">
        <v>38</v>
      </c>
      <c r="E881">
        <v>129</v>
      </c>
      <c r="F881">
        <v>91</v>
      </c>
      <c r="G881">
        <v>1.26</v>
      </c>
      <c r="H881" s="1">
        <v>46243</v>
      </c>
      <c r="I881" s="1">
        <v>45996</v>
      </c>
      <c r="J881">
        <v>162.54</v>
      </c>
      <c r="K881" t="s">
        <v>35</v>
      </c>
      <c r="L881">
        <v>124</v>
      </c>
      <c r="M881" t="s">
        <v>36</v>
      </c>
    </row>
    <row r="882" spans="1:13" x14ac:dyDescent="0.25">
      <c r="A882" t="s">
        <v>922</v>
      </c>
      <c r="B882" t="s">
        <v>25</v>
      </c>
      <c r="C882" t="s">
        <v>15</v>
      </c>
      <c r="D882" t="s">
        <v>40</v>
      </c>
      <c r="E882">
        <v>188</v>
      </c>
      <c r="F882">
        <v>55</v>
      </c>
      <c r="G882">
        <v>1.67</v>
      </c>
      <c r="H882" s="1">
        <v>46318</v>
      </c>
      <c r="I882" s="1">
        <v>46017</v>
      </c>
      <c r="J882">
        <v>313.95999999999998</v>
      </c>
      <c r="K882" t="s">
        <v>35</v>
      </c>
      <c r="L882">
        <v>199</v>
      </c>
      <c r="M882" t="s">
        <v>36</v>
      </c>
    </row>
    <row r="883" spans="1:13" x14ac:dyDescent="0.25">
      <c r="A883" t="s">
        <v>923</v>
      </c>
      <c r="B883" t="s">
        <v>16</v>
      </c>
      <c r="C883" t="s">
        <v>13</v>
      </c>
      <c r="D883" t="s">
        <v>34</v>
      </c>
      <c r="E883">
        <v>67</v>
      </c>
      <c r="F883">
        <v>27</v>
      </c>
      <c r="G883">
        <v>0.69</v>
      </c>
      <c r="H883" s="1">
        <v>46424</v>
      </c>
      <c r="I883" s="1">
        <v>46035</v>
      </c>
      <c r="J883">
        <v>46.23</v>
      </c>
      <c r="K883" t="s">
        <v>35</v>
      </c>
      <c r="L883">
        <v>305</v>
      </c>
      <c r="M883" t="s">
        <v>36</v>
      </c>
    </row>
    <row r="884" spans="1:13" x14ac:dyDescent="0.25">
      <c r="A884" t="s">
        <v>924</v>
      </c>
      <c r="B884" t="s">
        <v>14</v>
      </c>
      <c r="C884" t="s">
        <v>15</v>
      </c>
      <c r="D884" t="s">
        <v>34</v>
      </c>
      <c r="E884">
        <v>146</v>
      </c>
      <c r="F884">
        <v>98</v>
      </c>
      <c r="G884">
        <v>0.79</v>
      </c>
      <c r="H884" s="1">
        <v>46400</v>
      </c>
      <c r="I884" s="1">
        <v>46037</v>
      </c>
      <c r="J884">
        <v>115.34</v>
      </c>
      <c r="K884" t="s">
        <v>35</v>
      </c>
      <c r="L884">
        <v>281</v>
      </c>
      <c r="M884" t="s">
        <v>36</v>
      </c>
    </row>
    <row r="885" spans="1:13" x14ac:dyDescent="0.25">
      <c r="A885" t="s">
        <v>925</v>
      </c>
      <c r="B885" t="s">
        <v>26</v>
      </c>
      <c r="C885" t="s">
        <v>22</v>
      </c>
      <c r="D885" t="s">
        <v>38</v>
      </c>
      <c r="E885">
        <v>115</v>
      </c>
      <c r="F885">
        <v>58</v>
      </c>
      <c r="G885">
        <v>0.82</v>
      </c>
      <c r="H885" s="1">
        <v>46470</v>
      </c>
      <c r="I885" s="1">
        <v>45994</v>
      </c>
      <c r="J885">
        <v>94.3</v>
      </c>
      <c r="K885" t="s">
        <v>35</v>
      </c>
      <c r="L885">
        <v>351</v>
      </c>
      <c r="M885" t="s">
        <v>36</v>
      </c>
    </row>
    <row r="886" spans="1:13" x14ac:dyDescent="0.25">
      <c r="A886" t="s">
        <v>926</v>
      </c>
      <c r="B886" t="s">
        <v>14</v>
      </c>
      <c r="C886" t="s">
        <v>15</v>
      </c>
      <c r="D886" t="s">
        <v>49</v>
      </c>
      <c r="E886">
        <v>34</v>
      </c>
      <c r="F886">
        <v>50</v>
      </c>
      <c r="G886">
        <v>1.84</v>
      </c>
      <c r="H886" s="1">
        <v>46271</v>
      </c>
      <c r="I886" s="1">
        <v>46047</v>
      </c>
      <c r="J886">
        <v>62.56</v>
      </c>
      <c r="K886" t="s">
        <v>44</v>
      </c>
      <c r="L886">
        <v>152</v>
      </c>
      <c r="M886" t="s">
        <v>36</v>
      </c>
    </row>
    <row r="887" spans="1:13" x14ac:dyDescent="0.25">
      <c r="A887" t="s">
        <v>927</v>
      </c>
      <c r="B887" t="s">
        <v>27</v>
      </c>
      <c r="C887" t="s">
        <v>28</v>
      </c>
      <c r="D887" t="s">
        <v>40</v>
      </c>
      <c r="E887">
        <v>82</v>
      </c>
      <c r="F887">
        <v>38</v>
      </c>
      <c r="G887">
        <v>1.31</v>
      </c>
      <c r="H887" s="1">
        <v>46350</v>
      </c>
      <c r="I887" s="1">
        <v>46054</v>
      </c>
      <c r="J887">
        <v>107.42</v>
      </c>
      <c r="K887" t="s">
        <v>35</v>
      </c>
      <c r="L887">
        <v>231</v>
      </c>
      <c r="M887" t="s">
        <v>36</v>
      </c>
    </row>
    <row r="888" spans="1:13" x14ac:dyDescent="0.25">
      <c r="A888" t="s">
        <v>928</v>
      </c>
      <c r="B888" t="s">
        <v>16</v>
      </c>
      <c r="C888" t="s">
        <v>13</v>
      </c>
      <c r="D888" t="s">
        <v>49</v>
      </c>
      <c r="E888">
        <v>76</v>
      </c>
      <c r="F888">
        <v>44</v>
      </c>
      <c r="G888">
        <v>0.81</v>
      </c>
      <c r="H888" s="1">
        <v>46365</v>
      </c>
      <c r="I888" s="1">
        <v>46041</v>
      </c>
      <c r="J888">
        <v>61.56</v>
      </c>
      <c r="K888" t="s">
        <v>35</v>
      </c>
      <c r="L888">
        <v>246</v>
      </c>
      <c r="M888" t="s">
        <v>36</v>
      </c>
    </row>
    <row r="889" spans="1:13" x14ac:dyDescent="0.25">
      <c r="A889" t="s">
        <v>929</v>
      </c>
      <c r="B889" t="s">
        <v>19</v>
      </c>
      <c r="C889" t="s">
        <v>20</v>
      </c>
      <c r="D889" t="s">
        <v>40</v>
      </c>
      <c r="E889">
        <v>0</v>
      </c>
      <c r="F889">
        <v>74</v>
      </c>
      <c r="G889">
        <v>1.49</v>
      </c>
      <c r="H889" s="1">
        <v>46339</v>
      </c>
      <c r="I889" s="1">
        <v>46004</v>
      </c>
      <c r="J889">
        <v>0</v>
      </c>
      <c r="K889" t="s">
        <v>728</v>
      </c>
      <c r="L889">
        <v>220</v>
      </c>
      <c r="M889" t="s">
        <v>36</v>
      </c>
    </row>
    <row r="890" spans="1:13" x14ac:dyDescent="0.25">
      <c r="A890" t="s">
        <v>930</v>
      </c>
      <c r="B890" t="s">
        <v>25</v>
      </c>
      <c r="C890" t="s">
        <v>15</v>
      </c>
      <c r="D890" t="s">
        <v>49</v>
      </c>
      <c r="E890">
        <v>12</v>
      </c>
      <c r="F890">
        <v>29</v>
      </c>
      <c r="G890">
        <v>1.36</v>
      </c>
      <c r="H890" s="1">
        <v>46475</v>
      </c>
      <c r="I890" s="1">
        <v>46105</v>
      </c>
      <c r="J890">
        <v>16.32</v>
      </c>
      <c r="K890" t="s">
        <v>44</v>
      </c>
      <c r="L890">
        <v>356</v>
      </c>
      <c r="M890" t="s">
        <v>36</v>
      </c>
    </row>
    <row r="891" spans="1:13" x14ac:dyDescent="0.25">
      <c r="A891" t="s">
        <v>931</v>
      </c>
      <c r="B891" t="s">
        <v>25</v>
      </c>
      <c r="C891" t="s">
        <v>15</v>
      </c>
      <c r="D891" t="s">
        <v>49</v>
      </c>
      <c r="E891">
        <v>32</v>
      </c>
      <c r="F891">
        <v>40</v>
      </c>
      <c r="G891">
        <v>1.01</v>
      </c>
      <c r="H891" s="1">
        <v>46308</v>
      </c>
      <c r="I891" s="1">
        <v>45960</v>
      </c>
      <c r="J891">
        <v>32.32</v>
      </c>
      <c r="K891" t="s">
        <v>44</v>
      </c>
      <c r="L891">
        <v>189</v>
      </c>
      <c r="M891" t="s">
        <v>36</v>
      </c>
    </row>
    <row r="892" spans="1:13" x14ac:dyDescent="0.25">
      <c r="A892" t="s">
        <v>932</v>
      </c>
      <c r="B892" t="s">
        <v>16</v>
      </c>
      <c r="C892" t="s">
        <v>13</v>
      </c>
      <c r="D892" t="s">
        <v>49</v>
      </c>
      <c r="E892">
        <v>122</v>
      </c>
      <c r="F892">
        <v>24</v>
      </c>
      <c r="G892">
        <v>1.71</v>
      </c>
      <c r="H892" s="1">
        <v>46252</v>
      </c>
      <c r="I892" s="1">
        <v>46075</v>
      </c>
      <c r="J892">
        <v>208.62</v>
      </c>
      <c r="K892" t="s">
        <v>35</v>
      </c>
      <c r="L892">
        <v>133</v>
      </c>
      <c r="M892" t="s">
        <v>36</v>
      </c>
    </row>
    <row r="893" spans="1:13" x14ac:dyDescent="0.25">
      <c r="A893" t="s">
        <v>933</v>
      </c>
      <c r="B893" t="s">
        <v>23</v>
      </c>
      <c r="C893" t="s">
        <v>24</v>
      </c>
      <c r="D893" t="s">
        <v>34</v>
      </c>
      <c r="E893">
        <v>53</v>
      </c>
      <c r="F893">
        <v>65</v>
      </c>
      <c r="G893">
        <v>1.38</v>
      </c>
      <c r="H893" s="1">
        <v>46428</v>
      </c>
      <c r="I893" s="1">
        <v>46028</v>
      </c>
      <c r="J893">
        <v>73.14</v>
      </c>
      <c r="K893" t="s">
        <v>44</v>
      </c>
      <c r="L893">
        <v>309</v>
      </c>
      <c r="M893" t="s">
        <v>36</v>
      </c>
    </row>
    <row r="894" spans="1:13" x14ac:dyDescent="0.25">
      <c r="A894" t="s">
        <v>934</v>
      </c>
      <c r="B894" t="s">
        <v>17</v>
      </c>
      <c r="C894" t="s">
        <v>18</v>
      </c>
      <c r="D894" t="s">
        <v>40</v>
      </c>
      <c r="E894">
        <v>77</v>
      </c>
      <c r="F894">
        <v>79</v>
      </c>
      <c r="G894">
        <v>1.1599999999999999</v>
      </c>
      <c r="H894" s="1">
        <v>46437</v>
      </c>
      <c r="I894" s="1">
        <v>46065</v>
      </c>
      <c r="J894">
        <v>89.32</v>
      </c>
      <c r="K894" t="s">
        <v>44</v>
      </c>
      <c r="L894">
        <v>318</v>
      </c>
      <c r="M894" t="s">
        <v>36</v>
      </c>
    </row>
    <row r="895" spans="1:13" x14ac:dyDescent="0.25">
      <c r="A895" t="s">
        <v>935</v>
      </c>
      <c r="B895" t="s">
        <v>26</v>
      </c>
      <c r="C895" t="s">
        <v>22</v>
      </c>
      <c r="D895" t="s">
        <v>34</v>
      </c>
      <c r="E895">
        <v>186</v>
      </c>
      <c r="F895">
        <v>58</v>
      </c>
      <c r="G895">
        <v>0.75</v>
      </c>
      <c r="H895" s="1">
        <v>46477</v>
      </c>
      <c r="I895" s="1">
        <v>46115</v>
      </c>
      <c r="J895">
        <v>139.5</v>
      </c>
      <c r="K895" t="s">
        <v>35</v>
      </c>
      <c r="L895">
        <v>358</v>
      </c>
      <c r="M895" t="s">
        <v>36</v>
      </c>
    </row>
    <row r="896" spans="1:13" x14ac:dyDescent="0.25">
      <c r="A896" t="s">
        <v>936</v>
      </c>
      <c r="B896" t="s">
        <v>26</v>
      </c>
      <c r="C896" t="s">
        <v>22</v>
      </c>
      <c r="D896" t="s">
        <v>49</v>
      </c>
      <c r="E896">
        <v>139</v>
      </c>
      <c r="F896">
        <v>77</v>
      </c>
      <c r="G896">
        <v>1.94</v>
      </c>
      <c r="H896" s="1">
        <v>46222</v>
      </c>
      <c r="I896" s="1">
        <v>46060</v>
      </c>
      <c r="J896">
        <v>269.65999999999997</v>
      </c>
      <c r="K896" t="s">
        <v>35</v>
      </c>
      <c r="L896">
        <v>103</v>
      </c>
      <c r="M896" t="s">
        <v>36</v>
      </c>
    </row>
    <row r="897" spans="1:13" x14ac:dyDescent="0.25">
      <c r="A897" t="s">
        <v>937</v>
      </c>
      <c r="B897" t="s">
        <v>17</v>
      </c>
      <c r="C897" t="s">
        <v>18</v>
      </c>
      <c r="D897" t="s">
        <v>49</v>
      </c>
      <c r="E897">
        <v>39</v>
      </c>
      <c r="F897">
        <v>66</v>
      </c>
      <c r="G897">
        <v>0.55000000000000004</v>
      </c>
      <c r="H897" s="1">
        <v>46209</v>
      </c>
      <c r="I897" s="1">
        <v>46018</v>
      </c>
      <c r="J897">
        <v>21.450000000000003</v>
      </c>
      <c r="K897" t="s">
        <v>44</v>
      </c>
      <c r="L897">
        <v>90</v>
      </c>
      <c r="M897" t="s">
        <v>36</v>
      </c>
    </row>
    <row r="898" spans="1:13" x14ac:dyDescent="0.25">
      <c r="A898" t="s">
        <v>938</v>
      </c>
      <c r="B898" t="s">
        <v>21</v>
      </c>
      <c r="C898" t="s">
        <v>22</v>
      </c>
      <c r="D898" t="s">
        <v>40</v>
      </c>
      <c r="E898">
        <v>30</v>
      </c>
      <c r="F898">
        <v>85</v>
      </c>
      <c r="G898">
        <v>0.67</v>
      </c>
      <c r="H898" s="1">
        <v>46166</v>
      </c>
      <c r="I898" s="1">
        <v>46083</v>
      </c>
      <c r="J898">
        <v>20.100000000000001</v>
      </c>
      <c r="K898" t="s">
        <v>44</v>
      </c>
      <c r="L898">
        <v>47</v>
      </c>
      <c r="M898" t="s">
        <v>36</v>
      </c>
    </row>
    <row r="899" spans="1:13" x14ac:dyDescent="0.25">
      <c r="A899" t="s">
        <v>939</v>
      </c>
      <c r="B899" t="s">
        <v>21</v>
      </c>
      <c r="C899" t="s">
        <v>22</v>
      </c>
      <c r="D899" t="s">
        <v>40</v>
      </c>
      <c r="E899">
        <v>183</v>
      </c>
      <c r="F899">
        <v>51</v>
      </c>
      <c r="G899">
        <v>1.52</v>
      </c>
      <c r="H899" s="1">
        <v>46421</v>
      </c>
      <c r="I899" s="1">
        <v>45966</v>
      </c>
      <c r="J899">
        <v>278.16000000000003</v>
      </c>
      <c r="K899" t="s">
        <v>35</v>
      </c>
      <c r="L899">
        <v>302</v>
      </c>
      <c r="M899" t="s">
        <v>36</v>
      </c>
    </row>
    <row r="900" spans="1:13" x14ac:dyDescent="0.25">
      <c r="A900" t="s">
        <v>940</v>
      </c>
      <c r="B900" t="s">
        <v>12</v>
      </c>
      <c r="C900" t="s">
        <v>13</v>
      </c>
      <c r="D900" t="s">
        <v>40</v>
      </c>
      <c r="E900">
        <v>181</v>
      </c>
      <c r="F900">
        <v>61</v>
      </c>
      <c r="G900">
        <v>1</v>
      </c>
      <c r="H900" s="1">
        <v>46185</v>
      </c>
      <c r="I900" s="1">
        <v>46105</v>
      </c>
      <c r="J900">
        <v>181</v>
      </c>
      <c r="K900" t="s">
        <v>35</v>
      </c>
      <c r="L900">
        <v>66</v>
      </c>
      <c r="M900" t="s">
        <v>36</v>
      </c>
    </row>
    <row r="901" spans="1:13" x14ac:dyDescent="0.25">
      <c r="A901" t="s">
        <v>941</v>
      </c>
      <c r="B901" t="s">
        <v>14</v>
      </c>
      <c r="C901" t="s">
        <v>15</v>
      </c>
      <c r="D901" t="s">
        <v>38</v>
      </c>
      <c r="E901">
        <v>150</v>
      </c>
      <c r="F901">
        <v>40</v>
      </c>
      <c r="G901">
        <v>1.8</v>
      </c>
      <c r="H901" s="1">
        <v>46479</v>
      </c>
      <c r="I901" s="1">
        <v>46038</v>
      </c>
      <c r="J901">
        <v>270</v>
      </c>
      <c r="K901" t="s">
        <v>35</v>
      </c>
      <c r="L901">
        <v>360</v>
      </c>
      <c r="M901" t="s">
        <v>36</v>
      </c>
    </row>
    <row r="902" spans="1:13" x14ac:dyDescent="0.25">
      <c r="A902" t="s">
        <v>942</v>
      </c>
      <c r="B902" t="s">
        <v>23</v>
      </c>
      <c r="C902" t="s">
        <v>24</v>
      </c>
      <c r="D902" t="s">
        <v>38</v>
      </c>
      <c r="E902">
        <v>33</v>
      </c>
      <c r="F902">
        <v>89</v>
      </c>
      <c r="G902">
        <v>1.34</v>
      </c>
      <c r="H902" s="1">
        <v>46377</v>
      </c>
      <c r="I902" s="1">
        <v>46072</v>
      </c>
      <c r="J902">
        <v>44.220000000000006</v>
      </c>
      <c r="K902" t="s">
        <v>44</v>
      </c>
      <c r="L902">
        <v>258</v>
      </c>
      <c r="M902" t="s">
        <v>36</v>
      </c>
    </row>
    <row r="903" spans="1:13" x14ac:dyDescent="0.25">
      <c r="A903" t="s">
        <v>943</v>
      </c>
      <c r="B903" t="s">
        <v>23</v>
      </c>
      <c r="C903" t="s">
        <v>24</v>
      </c>
      <c r="D903" t="s">
        <v>49</v>
      </c>
      <c r="E903">
        <v>106</v>
      </c>
      <c r="F903">
        <v>59</v>
      </c>
      <c r="G903">
        <v>1.1399999999999999</v>
      </c>
      <c r="H903" s="1">
        <v>46203</v>
      </c>
      <c r="I903" s="1">
        <v>45944</v>
      </c>
      <c r="J903">
        <v>120.83999999999999</v>
      </c>
      <c r="K903" t="s">
        <v>35</v>
      </c>
      <c r="L903">
        <v>84</v>
      </c>
      <c r="M903" t="s">
        <v>36</v>
      </c>
    </row>
    <row r="904" spans="1:13" x14ac:dyDescent="0.25">
      <c r="A904" t="s">
        <v>944</v>
      </c>
      <c r="B904" t="s">
        <v>19</v>
      </c>
      <c r="C904" t="s">
        <v>20</v>
      </c>
      <c r="D904" t="s">
        <v>49</v>
      </c>
      <c r="E904">
        <v>39</v>
      </c>
      <c r="F904">
        <v>22</v>
      </c>
      <c r="G904">
        <v>1.75</v>
      </c>
      <c r="H904" s="1">
        <v>46259</v>
      </c>
      <c r="I904" s="1">
        <v>46110</v>
      </c>
      <c r="J904">
        <v>68.25</v>
      </c>
      <c r="K904" t="s">
        <v>35</v>
      </c>
      <c r="L904">
        <v>140</v>
      </c>
      <c r="M904" t="s">
        <v>36</v>
      </c>
    </row>
    <row r="905" spans="1:13" x14ac:dyDescent="0.25">
      <c r="A905" t="s">
        <v>945</v>
      </c>
      <c r="B905" t="s">
        <v>14</v>
      </c>
      <c r="C905" t="s">
        <v>15</v>
      </c>
      <c r="D905" t="s">
        <v>34</v>
      </c>
      <c r="E905">
        <v>171</v>
      </c>
      <c r="F905">
        <v>41</v>
      </c>
      <c r="G905">
        <v>0.78</v>
      </c>
      <c r="H905" s="1">
        <v>46392</v>
      </c>
      <c r="I905" s="1">
        <v>46062</v>
      </c>
      <c r="J905">
        <v>133.38</v>
      </c>
      <c r="K905" t="s">
        <v>35</v>
      </c>
      <c r="L905">
        <v>273</v>
      </c>
      <c r="M905" t="s">
        <v>36</v>
      </c>
    </row>
    <row r="906" spans="1:13" x14ac:dyDescent="0.25">
      <c r="A906" t="s">
        <v>946</v>
      </c>
      <c r="B906" t="s">
        <v>12</v>
      </c>
      <c r="C906" t="s">
        <v>13</v>
      </c>
      <c r="D906" t="s">
        <v>34</v>
      </c>
      <c r="E906">
        <v>99</v>
      </c>
      <c r="F906">
        <v>24</v>
      </c>
      <c r="G906">
        <v>1.8</v>
      </c>
      <c r="H906" s="1">
        <v>46369</v>
      </c>
      <c r="I906" s="1">
        <v>46033</v>
      </c>
      <c r="J906">
        <v>178.20000000000002</v>
      </c>
      <c r="K906" t="s">
        <v>35</v>
      </c>
      <c r="L906">
        <v>250</v>
      </c>
      <c r="M906" t="s">
        <v>36</v>
      </c>
    </row>
    <row r="907" spans="1:13" x14ac:dyDescent="0.25">
      <c r="A907" t="s">
        <v>947</v>
      </c>
      <c r="B907" t="s">
        <v>17</v>
      </c>
      <c r="C907" t="s">
        <v>18</v>
      </c>
      <c r="D907" t="s">
        <v>49</v>
      </c>
      <c r="E907">
        <v>22</v>
      </c>
      <c r="F907">
        <v>46</v>
      </c>
      <c r="G907">
        <v>1.27</v>
      </c>
      <c r="H907" s="1">
        <v>46162</v>
      </c>
      <c r="I907" s="1">
        <v>46048</v>
      </c>
      <c r="J907">
        <v>27.94</v>
      </c>
      <c r="K907" t="s">
        <v>44</v>
      </c>
      <c r="L907">
        <v>43</v>
      </c>
      <c r="M907" t="s">
        <v>36</v>
      </c>
    </row>
    <row r="908" spans="1:13" x14ac:dyDescent="0.25">
      <c r="A908" t="s">
        <v>948</v>
      </c>
      <c r="B908" t="s">
        <v>27</v>
      </c>
      <c r="C908" t="s">
        <v>28</v>
      </c>
      <c r="D908" t="s">
        <v>49</v>
      </c>
      <c r="E908">
        <v>185</v>
      </c>
      <c r="F908">
        <v>86</v>
      </c>
      <c r="G908">
        <v>1.73</v>
      </c>
      <c r="H908" s="1">
        <v>46349</v>
      </c>
      <c r="I908" s="1">
        <v>46057</v>
      </c>
      <c r="J908">
        <v>320.05</v>
      </c>
      <c r="K908" t="s">
        <v>35</v>
      </c>
      <c r="L908">
        <v>230</v>
      </c>
      <c r="M908" t="s">
        <v>36</v>
      </c>
    </row>
    <row r="909" spans="1:13" x14ac:dyDescent="0.25">
      <c r="A909" t="s">
        <v>949</v>
      </c>
      <c r="B909" t="s">
        <v>21</v>
      </c>
      <c r="C909" t="s">
        <v>22</v>
      </c>
      <c r="D909" t="s">
        <v>34</v>
      </c>
      <c r="E909">
        <v>101</v>
      </c>
      <c r="F909">
        <v>32</v>
      </c>
      <c r="G909">
        <v>0.93</v>
      </c>
      <c r="H909" s="1">
        <v>46348</v>
      </c>
      <c r="I909" s="1">
        <v>45982</v>
      </c>
      <c r="J909">
        <v>93.93</v>
      </c>
      <c r="K909" t="s">
        <v>35</v>
      </c>
      <c r="L909">
        <v>229</v>
      </c>
      <c r="M909" t="s">
        <v>36</v>
      </c>
    </row>
    <row r="910" spans="1:13" x14ac:dyDescent="0.25">
      <c r="A910" t="s">
        <v>950</v>
      </c>
      <c r="B910" t="s">
        <v>19</v>
      </c>
      <c r="C910" t="s">
        <v>20</v>
      </c>
      <c r="D910" t="s">
        <v>38</v>
      </c>
      <c r="E910">
        <v>158</v>
      </c>
      <c r="F910">
        <v>25</v>
      </c>
      <c r="G910">
        <v>1.96</v>
      </c>
      <c r="H910" s="1">
        <v>46352</v>
      </c>
      <c r="I910" s="1">
        <v>46085</v>
      </c>
      <c r="J910">
        <v>309.68</v>
      </c>
      <c r="K910" t="s">
        <v>35</v>
      </c>
      <c r="L910">
        <v>233</v>
      </c>
      <c r="M910" t="s">
        <v>36</v>
      </c>
    </row>
    <row r="911" spans="1:13" x14ac:dyDescent="0.25">
      <c r="A911" t="s">
        <v>951</v>
      </c>
      <c r="B911" t="s">
        <v>21</v>
      </c>
      <c r="C911" t="s">
        <v>22</v>
      </c>
      <c r="D911" t="s">
        <v>49</v>
      </c>
      <c r="E911">
        <v>75</v>
      </c>
      <c r="F911">
        <v>65</v>
      </c>
      <c r="G911">
        <v>1.34</v>
      </c>
      <c r="H911" s="1">
        <v>46363</v>
      </c>
      <c r="I911" s="1">
        <v>46074</v>
      </c>
      <c r="J911">
        <v>100.5</v>
      </c>
      <c r="K911" t="s">
        <v>35</v>
      </c>
      <c r="L911">
        <v>244</v>
      </c>
      <c r="M911" t="s">
        <v>36</v>
      </c>
    </row>
    <row r="912" spans="1:13" x14ac:dyDescent="0.25">
      <c r="A912" t="s">
        <v>952</v>
      </c>
      <c r="B912" t="s">
        <v>23</v>
      </c>
      <c r="C912" t="s">
        <v>24</v>
      </c>
      <c r="D912" t="s">
        <v>34</v>
      </c>
      <c r="E912">
        <v>162</v>
      </c>
      <c r="F912">
        <v>77</v>
      </c>
      <c r="G912">
        <v>0.61</v>
      </c>
      <c r="H912" s="1">
        <v>46279</v>
      </c>
      <c r="I912" s="1">
        <v>46008</v>
      </c>
      <c r="J912">
        <v>98.82</v>
      </c>
      <c r="K912" t="s">
        <v>35</v>
      </c>
      <c r="L912">
        <v>160</v>
      </c>
      <c r="M912" t="s">
        <v>36</v>
      </c>
    </row>
    <row r="913" spans="1:13" x14ac:dyDescent="0.25">
      <c r="A913" t="s">
        <v>953</v>
      </c>
      <c r="B913" t="s">
        <v>14</v>
      </c>
      <c r="C913" t="s">
        <v>15</v>
      </c>
      <c r="D913" t="s">
        <v>40</v>
      </c>
      <c r="E913">
        <v>195</v>
      </c>
      <c r="F913">
        <v>36</v>
      </c>
      <c r="G913">
        <v>0.86</v>
      </c>
      <c r="H913" s="1">
        <v>46217</v>
      </c>
      <c r="I913" s="1">
        <v>46077</v>
      </c>
      <c r="J913">
        <v>167.7</v>
      </c>
      <c r="K913" t="s">
        <v>35</v>
      </c>
      <c r="L913">
        <v>98</v>
      </c>
      <c r="M913" t="s">
        <v>36</v>
      </c>
    </row>
    <row r="914" spans="1:13" x14ac:dyDescent="0.25">
      <c r="A914" t="s">
        <v>954</v>
      </c>
      <c r="B914" t="s">
        <v>19</v>
      </c>
      <c r="C914" t="s">
        <v>20</v>
      </c>
      <c r="D914" t="s">
        <v>49</v>
      </c>
      <c r="E914">
        <v>167</v>
      </c>
      <c r="F914">
        <v>64</v>
      </c>
      <c r="G914">
        <v>1.53</v>
      </c>
      <c r="H914" s="1">
        <v>46380</v>
      </c>
      <c r="I914" s="1">
        <v>45999</v>
      </c>
      <c r="J914">
        <v>255.51</v>
      </c>
      <c r="K914" t="s">
        <v>35</v>
      </c>
      <c r="L914">
        <v>261</v>
      </c>
      <c r="M914" t="s">
        <v>36</v>
      </c>
    </row>
    <row r="915" spans="1:13" x14ac:dyDescent="0.25">
      <c r="A915" t="s">
        <v>955</v>
      </c>
      <c r="B915" t="s">
        <v>19</v>
      </c>
      <c r="C915" t="s">
        <v>20</v>
      </c>
      <c r="D915" t="s">
        <v>49</v>
      </c>
      <c r="E915">
        <v>115</v>
      </c>
      <c r="F915">
        <v>29</v>
      </c>
      <c r="G915">
        <v>1.95</v>
      </c>
      <c r="H915" s="1">
        <v>46177</v>
      </c>
      <c r="I915" s="1">
        <v>45998</v>
      </c>
      <c r="J915">
        <v>224.25</v>
      </c>
      <c r="K915" t="s">
        <v>35</v>
      </c>
      <c r="L915">
        <v>58</v>
      </c>
      <c r="M915" t="s">
        <v>36</v>
      </c>
    </row>
    <row r="916" spans="1:13" x14ac:dyDescent="0.25">
      <c r="A916" t="s">
        <v>956</v>
      </c>
      <c r="B916" t="s">
        <v>12</v>
      </c>
      <c r="C916" t="s">
        <v>13</v>
      </c>
      <c r="D916" t="s">
        <v>34</v>
      </c>
      <c r="E916">
        <v>170</v>
      </c>
      <c r="F916">
        <v>88</v>
      </c>
      <c r="G916">
        <v>1.42</v>
      </c>
      <c r="H916" s="1">
        <v>46456</v>
      </c>
      <c r="I916" s="1">
        <v>45976</v>
      </c>
      <c r="J916">
        <v>241.39999999999998</v>
      </c>
      <c r="K916" t="s">
        <v>35</v>
      </c>
      <c r="L916">
        <v>337</v>
      </c>
      <c r="M916" t="s">
        <v>36</v>
      </c>
    </row>
    <row r="917" spans="1:13" x14ac:dyDescent="0.25">
      <c r="A917" t="s">
        <v>957</v>
      </c>
      <c r="B917" t="s">
        <v>25</v>
      </c>
      <c r="C917" t="s">
        <v>15</v>
      </c>
      <c r="D917" t="s">
        <v>40</v>
      </c>
      <c r="E917">
        <v>125</v>
      </c>
      <c r="F917">
        <v>61</v>
      </c>
      <c r="G917">
        <v>0.94</v>
      </c>
      <c r="H917" s="1">
        <v>46337</v>
      </c>
      <c r="I917" s="1">
        <v>46095</v>
      </c>
      <c r="J917">
        <v>117.5</v>
      </c>
      <c r="K917" t="s">
        <v>35</v>
      </c>
      <c r="L917">
        <v>218</v>
      </c>
      <c r="M917" t="s">
        <v>36</v>
      </c>
    </row>
    <row r="918" spans="1:13" x14ac:dyDescent="0.25">
      <c r="A918" t="s">
        <v>958</v>
      </c>
      <c r="B918" t="s">
        <v>21</v>
      </c>
      <c r="C918" t="s">
        <v>22</v>
      </c>
      <c r="D918" t="s">
        <v>38</v>
      </c>
      <c r="E918">
        <v>149</v>
      </c>
      <c r="F918">
        <v>79</v>
      </c>
      <c r="G918">
        <v>1.9</v>
      </c>
      <c r="H918" s="1">
        <v>46358</v>
      </c>
      <c r="I918" s="1">
        <v>45984</v>
      </c>
      <c r="J918">
        <v>283.09999999999997</v>
      </c>
      <c r="K918" t="s">
        <v>35</v>
      </c>
      <c r="L918">
        <v>239</v>
      </c>
      <c r="M918" t="s">
        <v>36</v>
      </c>
    </row>
    <row r="919" spans="1:13" x14ac:dyDescent="0.25">
      <c r="A919" t="s">
        <v>959</v>
      </c>
      <c r="B919" t="s">
        <v>27</v>
      </c>
      <c r="C919" t="s">
        <v>28</v>
      </c>
      <c r="D919" t="s">
        <v>34</v>
      </c>
      <c r="E919">
        <v>14</v>
      </c>
      <c r="F919">
        <v>56</v>
      </c>
      <c r="G919">
        <v>1.81</v>
      </c>
      <c r="H919" s="1">
        <v>46375</v>
      </c>
      <c r="I919" s="1">
        <v>46101</v>
      </c>
      <c r="J919">
        <v>25.34</v>
      </c>
      <c r="K919" t="s">
        <v>44</v>
      </c>
      <c r="L919">
        <v>256</v>
      </c>
      <c r="M919" t="s">
        <v>36</v>
      </c>
    </row>
    <row r="920" spans="1:13" x14ac:dyDescent="0.25">
      <c r="A920" t="s">
        <v>960</v>
      </c>
      <c r="B920" t="s">
        <v>16</v>
      </c>
      <c r="C920" t="s">
        <v>13</v>
      </c>
      <c r="D920" t="s">
        <v>40</v>
      </c>
      <c r="E920">
        <v>106</v>
      </c>
      <c r="F920">
        <v>64</v>
      </c>
      <c r="G920">
        <v>1.64</v>
      </c>
      <c r="H920" s="1">
        <v>46357</v>
      </c>
      <c r="I920" s="1">
        <v>45979</v>
      </c>
      <c r="J920">
        <v>173.84</v>
      </c>
      <c r="K920" t="s">
        <v>35</v>
      </c>
      <c r="L920">
        <v>238</v>
      </c>
      <c r="M920" t="s">
        <v>36</v>
      </c>
    </row>
    <row r="921" spans="1:13" x14ac:dyDescent="0.25">
      <c r="A921" t="s">
        <v>961</v>
      </c>
      <c r="B921" t="s">
        <v>26</v>
      </c>
      <c r="C921" t="s">
        <v>22</v>
      </c>
      <c r="D921" t="s">
        <v>49</v>
      </c>
      <c r="E921">
        <v>72</v>
      </c>
      <c r="F921">
        <v>89</v>
      </c>
      <c r="G921">
        <v>0.86</v>
      </c>
      <c r="H921" s="1">
        <v>46356</v>
      </c>
      <c r="I921" s="1">
        <v>45962</v>
      </c>
      <c r="J921">
        <v>61.92</v>
      </c>
      <c r="K921" t="s">
        <v>44</v>
      </c>
      <c r="L921">
        <v>237</v>
      </c>
      <c r="M921" t="s">
        <v>36</v>
      </c>
    </row>
    <row r="922" spans="1:13" x14ac:dyDescent="0.25">
      <c r="A922" t="s">
        <v>962</v>
      </c>
      <c r="B922" t="s">
        <v>19</v>
      </c>
      <c r="C922" t="s">
        <v>20</v>
      </c>
      <c r="D922" t="s">
        <v>40</v>
      </c>
      <c r="E922">
        <v>107</v>
      </c>
      <c r="F922">
        <v>87</v>
      </c>
      <c r="G922">
        <v>0.56999999999999995</v>
      </c>
      <c r="H922" s="1">
        <v>46388</v>
      </c>
      <c r="I922" s="1">
        <v>46013</v>
      </c>
      <c r="J922">
        <v>60.989999999999995</v>
      </c>
      <c r="K922" t="s">
        <v>35</v>
      </c>
      <c r="L922">
        <v>269</v>
      </c>
      <c r="M922" t="s">
        <v>36</v>
      </c>
    </row>
    <row r="923" spans="1:13" x14ac:dyDescent="0.25">
      <c r="A923" t="s">
        <v>963</v>
      </c>
      <c r="B923" t="s">
        <v>21</v>
      </c>
      <c r="C923" t="s">
        <v>22</v>
      </c>
      <c r="D923" t="s">
        <v>34</v>
      </c>
      <c r="E923">
        <v>156</v>
      </c>
      <c r="F923">
        <v>27</v>
      </c>
      <c r="G923">
        <v>1.17</v>
      </c>
      <c r="H923" s="1">
        <v>46435</v>
      </c>
      <c r="I923" s="1">
        <v>45986</v>
      </c>
      <c r="J923">
        <v>182.51999999999998</v>
      </c>
      <c r="K923" t="s">
        <v>35</v>
      </c>
      <c r="L923">
        <v>316</v>
      </c>
      <c r="M923" t="s">
        <v>36</v>
      </c>
    </row>
    <row r="924" spans="1:13" x14ac:dyDescent="0.25">
      <c r="A924" t="s">
        <v>964</v>
      </c>
      <c r="B924" t="s">
        <v>26</v>
      </c>
      <c r="C924" t="s">
        <v>22</v>
      </c>
      <c r="D924" t="s">
        <v>49</v>
      </c>
      <c r="E924">
        <v>71</v>
      </c>
      <c r="F924">
        <v>24</v>
      </c>
      <c r="G924">
        <v>1.65</v>
      </c>
      <c r="H924" s="1">
        <v>46435</v>
      </c>
      <c r="I924" s="1">
        <v>46116</v>
      </c>
      <c r="J924">
        <v>117.14999999999999</v>
      </c>
      <c r="K924" t="s">
        <v>35</v>
      </c>
      <c r="L924">
        <v>316</v>
      </c>
      <c r="M924" t="s">
        <v>36</v>
      </c>
    </row>
    <row r="925" spans="1:13" x14ac:dyDescent="0.25">
      <c r="A925" t="s">
        <v>965</v>
      </c>
      <c r="B925" t="s">
        <v>16</v>
      </c>
      <c r="C925" t="s">
        <v>13</v>
      </c>
      <c r="D925" t="s">
        <v>40</v>
      </c>
      <c r="E925">
        <v>55</v>
      </c>
      <c r="F925">
        <v>81</v>
      </c>
      <c r="G925">
        <v>2</v>
      </c>
      <c r="H925" s="1">
        <v>46149</v>
      </c>
      <c r="I925" s="1">
        <v>45956</v>
      </c>
      <c r="J925">
        <v>110</v>
      </c>
      <c r="K925" t="s">
        <v>44</v>
      </c>
      <c r="L925">
        <v>30</v>
      </c>
      <c r="M925" t="s">
        <v>482</v>
      </c>
    </row>
    <row r="926" spans="1:13" x14ac:dyDescent="0.25">
      <c r="A926" t="s">
        <v>966</v>
      </c>
      <c r="B926" t="s">
        <v>23</v>
      </c>
      <c r="C926" t="s">
        <v>24</v>
      </c>
      <c r="D926" t="s">
        <v>49</v>
      </c>
      <c r="E926">
        <v>200</v>
      </c>
      <c r="F926">
        <v>46</v>
      </c>
      <c r="G926">
        <v>0.83</v>
      </c>
      <c r="H926" s="1">
        <v>46203</v>
      </c>
      <c r="I926" s="1">
        <v>46054</v>
      </c>
      <c r="J926">
        <v>166</v>
      </c>
      <c r="K926" t="s">
        <v>35</v>
      </c>
      <c r="L926">
        <v>84</v>
      </c>
      <c r="M926" t="s">
        <v>36</v>
      </c>
    </row>
    <row r="927" spans="1:13" x14ac:dyDescent="0.25">
      <c r="A927" t="s">
        <v>967</v>
      </c>
      <c r="B927" t="s">
        <v>23</v>
      </c>
      <c r="C927" t="s">
        <v>24</v>
      </c>
      <c r="D927" t="s">
        <v>38</v>
      </c>
      <c r="E927">
        <v>199</v>
      </c>
      <c r="F927">
        <v>64</v>
      </c>
      <c r="G927">
        <v>1.77</v>
      </c>
      <c r="H927" s="1">
        <v>46326</v>
      </c>
      <c r="I927" s="1">
        <v>46035</v>
      </c>
      <c r="J927">
        <v>352.23</v>
      </c>
      <c r="K927" t="s">
        <v>35</v>
      </c>
      <c r="L927">
        <v>207</v>
      </c>
      <c r="M927" t="s">
        <v>36</v>
      </c>
    </row>
    <row r="928" spans="1:13" x14ac:dyDescent="0.25">
      <c r="A928" t="s">
        <v>968</v>
      </c>
      <c r="B928" t="s">
        <v>26</v>
      </c>
      <c r="C928" t="s">
        <v>22</v>
      </c>
      <c r="D928" t="s">
        <v>40</v>
      </c>
      <c r="E928">
        <v>36</v>
      </c>
      <c r="F928">
        <v>41</v>
      </c>
      <c r="G928">
        <v>0.95</v>
      </c>
      <c r="H928" s="1">
        <v>46397</v>
      </c>
      <c r="I928" s="1">
        <v>46099</v>
      </c>
      <c r="J928">
        <v>34.199999999999996</v>
      </c>
      <c r="K928" t="s">
        <v>44</v>
      </c>
      <c r="L928">
        <v>278</v>
      </c>
      <c r="M928" t="s">
        <v>36</v>
      </c>
    </row>
    <row r="929" spans="1:13" x14ac:dyDescent="0.25">
      <c r="A929" t="s">
        <v>969</v>
      </c>
      <c r="B929" t="s">
        <v>25</v>
      </c>
      <c r="C929" t="s">
        <v>15</v>
      </c>
      <c r="D929" t="s">
        <v>34</v>
      </c>
      <c r="E929">
        <v>148</v>
      </c>
      <c r="F929">
        <v>58</v>
      </c>
      <c r="G929">
        <v>1.98</v>
      </c>
      <c r="H929" s="1">
        <v>46288</v>
      </c>
      <c r="I929" s="1">
        <v>45942</v>
      </c>
      <c r="J929">
        <v>293.04000000000002</v>
      </c>
      <c r="K929" t="s">
        <v>35</v>
      </c>
      <c r="L929">
        <v>169</v>
      </c>
      <c r="M929" t="s">
        <v>36</v>
      </c>
    </row>
    <row r="930" spans="1:13" x14ac:dyDescent="0.25">
      <c r="A930" t="s">
        <v>970</v>
      </c>
      <c r="B930" t="s">
        <v>12</v>
      </c>
      <c r="C930" t="s">
        <v>13</v>
      </c>
      <c r="D930" t="s">
        <v>34</v>
      </c>
      <c r="E930">
        <v>179</v>
      </c>
      <c r="F930">
        <v>26</v>
      </c>
      <c r="G930">
        <v>1.01</v>
      </c>
      <c r="H930" s="1">
        <v>46283</v>
      </c>
      <c r="I930" s="1">
        <v>46022</v>
      </c>
      <c r="J930">
        <v>180.79</v>
      </c>
      <c r="K930" t="s">
        <v>35</v>
      </c>
      <c r="L930">
        <v>164</v>
      </c>
      <c r="M930" t="s">
        <v>36</v>
      </c>
    </row>
    <row r="931" spans="1:13" x14ac:dyDescent="0.25">
      <c r="A931" t="s">
        <v>971</v>
      </c>
      <c r="B931" t="s">
        <v>23</v>
      </c>
      <c r="C931" t="s">
        <v>24</v>
      </c>
      <c r="D931" t="s">
        <v>49</v>
      </c>
      <c r="E931">
        <v>64</v>
      </c>
      <c r="F931">
        <v>34</v>
      </c>
      <c r="G931">
        <v>1.29</v>
      </c>
      <c r="H931" s="1">
        <v>46248</v>
      </c>
      <c r="I931" s="1">
        <v>45950</v>
      </c>
      <c r="J931">
        <v>82.56</v>
      </c>
      <c r="K931" t="s">
        <v>35</v>
      </c>
      <c r="L931">
        <v>129</v>
      </c>
      <c r="M931" t="s">
        <v>36</v>
      </c>
    </row>
    <row r="932" spans="1:13" x14ac:dyDescent="0.25">
      <c r="A932" t="s">
        <v>972</v>
      </c>
      <c r="B932" t="s">
        <v>14</v>
      </c>
      <c r="C932" t="s">
        <v>15</v>
      </c>
      <c r="D932" t="s">
        <v>34</v>
      </c>
      <c r="E932">
        <v>66</v>
      </c>
      <c r="F932">
        <v>57</v>
      </c>
      <c r="G932">
        <v>1.17</v>
      </c>
      <c r="H932" s="1">
        <v>46168</v>
      </c>
      <c r="I932" s="1">
        <v>46062</v>
      </c>
      <c r="J932">
        <v>77.22</v>
      </c>
      <c r="K932" t="s">
        <v>35</v>
      </c>
      <c r="L932">
        <v>49</v>
      </c>
      <c r="M932" t="s">
        <v>36</v>
      </c>
    </row>
    <row r="933" spans="1:13" x14ac:dyDescent="0.25">
      <c r="A933" t="s">
        <v>973</v>
      </c>
      <c r="B933" t="s">
        <v>12</v>
      </c>
      <c r="C933" t="s">
        <v>13</v>
      </c>
      <c r="D933" t="s">
        <v>49</v>
      </c>
      <c r="E933">
        <v>86</v>
      </c>
      <c r="F933">
        <v>80</v>
      </c>
      <c r="G933">
        <v>1.45</v>
      </c>
      <c r="H933" s="1">
        <v>46218</v>
      </c>
      <c r="I933" s="1">
        <v>46034</v>
      </c>
      <c r="J933">
        <v>124.7</v>
      </c>
      <c r="K933" t="s">
        <v>35</v>
      </c>
      <c r="L933">
        <v>99</v>
      </c>
      <c r="M933" t="s">
        <v>36</v>
      </c>
    </row>
    <row r="934" spans="1:13" x14ac:dyDescent="0.25">
      <c r="A934" t="s">
        <v>974</v>
      </c>
      <c r="B934" t="s">
        <v>17</v>
      </c>
      <c r="C934" t="s">
        <v>18</v>
      </c>
      <c r="D934" t="s">
        <v>49</v>
      </c>
      <c r="E934">
        <v>37</v>
      </c>
      <c r="F934">
        <v>41</v>
      </c>
      <c r="G934">
        <v>1.18</v>
      </c>
      <c r="H934" s="1">
        <v>46292</v>
      </c>
      <c r="I934" s="1">
        <v>45947</v>
      </c>
      <c r="J934">
        <v>43.66</v>
      </c>
      <c r="K934" t="s">
        <v>44</v>
      </c>
      <c r="L934">
        <v>173</v>
      </c>
      <c r="M934" t="s">
        <v>36</v>
      </c>
    </row>
    <row r="935" spans="1:13" x14ac:dyDescent="0.25">
      <c r="A935" t="s">
        <v>975</v>
      </c>
      <c r="B935" t="s">
        <v>26</v>
      </c>
      <c r="C935" t="s">
        <v>22</v>
      </c>
      <c r="D935" t="s">
        <v>34</v>
      </c>
      <c r="E935">
        <v>169</v>
      </c>
      <c r="F935">
        <v>55</v>
      </c>
      <c r="G935">
        <v>0.85</v>
      </c>
      <c r="H935" s="1">
        <v>46393</v>
      </c>
      <c r="I935" s="1">
        <v>46026</v>
      </c>
      <c r="J935">
        <v>143.65</v>
      </c>
      <c r="K935" t="s">
        <v>35</v>
      </c>
      <c r="L935">
        <v>274</v>
      </c>
      <c r="M935" t="s">
        <v>36</v>
      </c>
    </row>
    <row r="936" spans="1:13" x14ac:dyDescent="0.25">
      <c r="A936" t="s">
        <v>976</v>
      </c>
      <c r="B936" t="s">
        <v>14</v>
      </c>
      <c r="C936" t="s">
        <v>15</v>
      </c>
      <c r="D936" t="s">
        <v>38</v>
      </c>
      <c r="E936">
        <v>175</v>
      </c>
      <c r="F936">
        <v>22</v>
      </c>
      <c r="G936">
        <v>1.9</v>
      </c>
      <c r="H936" s="1">
        <v>46441</v>
      </c>
      <c r="I936" s="1">
        <v>45994</v>
      </c>
      <c r="J936">
        <v>332.5</v>
      </c>
      <c r="K936" t="s">
        <v>35</v>
      </c>
      <c r="L936">
        <v>322</v>
      </c>
      <c r="M936" t="s">
        <v>36</v>
      </c>
    </row>
    <row r="937" spans="1:13" x14ac:dyDescent="0.25">
      <c r="A937" t="s">
        <v>977</v>
      </c>
      <c r="B937" t="s">
        <v>27</v>
      </c>
      <c r="C937" t="s">
        <v>28</v>
      </c>
      <c r="D937" t="s">
        <v>38</v>
      </c>
      <c r="E937">
        <v>52</v>
      </c>
      <c r="F937">
        <v>84</v>
      </c>
      <c r="G937">
        <v>1.59</v>
      </c>
      <c r="H937" s="1">
        <v>46202</v>
      </c>
      <c r="I937" s="1">
        <v>45993</v>
      </c>
      <c r="J937">
        <v>82.68</v>
      </c>
      <c r="K937" t="s">
        <v>44</v>
      </c>
      <c r="L937">
        <v>83</v>
      </c>
      <c r="M937" t="s">
        <v>36</v>
      </c>
    </row>
    <row r="938" spans="1:13" x14ac:dyDescent="0.25">
      <c r="A938" t="s">
        <v>978</v>
      </c>
      <c r="B938" t="s">
        <v>26</v>
      </c>
      <c r="C938" t="s">
        <v>22</v>
      </c>
      <c r="D938" t="s">
        <v>49</v>
      </c>
      <c r="E938">
        <v>151</v>
      </c>
      <c r="F938">
        <v>93</v>
      </c>
      <c r="G938">
        <v>1.76</v>
      </c>
      <c r="H938" s="1">
        <v>46318</v>
      </c>
      <c r="I938" s="1">
        <v>45958</v>
      </c>
      <c r="J938">
        <v>265.76</v>
      </c>
      <c r="K938" t="s">
        <v>35</v>
      </c>
      <c r="L938">
        <v>199</v>
      </c>
      <c r="M938" t="s">
        <v>36</v>
      </c>
    </row>
    <row r="939" spans="1:13" x14ac:dyDescent="0.25">
      <c r="A939" t="s">
        <v>979</v>
      </c>
      <c r="B939" t="s">
        <v>17</v>
      </c>
      <c r="C939" t="s">
        <v>18</v>
      </c>
      <c r="D939" t="s">
        <v>34</v>
      </c>
      <c r="E939">
        <v>179</v>
      </c>
      <c r="F939">
        <v>41</v>
      </c>
      <c r="G939">
        <v>0.52</v>
      </c>
      <c r="H939" s="1">
        <v>46411</v>
      </c>
      <c r="I939" s="1">
        <v>46059</v>
      </c>
      <c r="J939">
        <v>93.08</v>
      </c>
      <c r="K939" t="s">
        <v>35</v>
      </c>
      <c r="L939">
        <v>292</v>
      </c>
      <c r="M939" t="s">
        <v>36</v>
      </c>
    </row>
    <row r="940" spans="1:13" x14ac:dyDescent="0.25">
      <c r="A940" t="s">
        <v>980</v>
      </c>
      <c r="B940" t="s">
        <v>26</v>
      </c>
      <c r="C940" t="s">
        <v>22</v>
      </c>
      <c r="D940" t="s">
        <v>40</v>
      </c>
      <c r="E940">
        <v>25</v>
      </c>
      <c r="F940">
        <v>81</v>
      </c>
      <c r="G940">
        <v>1.86</v>
      </c>
      <c r="H940" s="1">
        <v>46292</v>
      </c>
      <c r="I940" s="1">
        <v>46040</v>
      </c>
      <c r="J940">
        <v>46.5</v>
      </c>
      <c r="K940" t="s">
        <v>44</v>
      </c>
      <c r="L940">
        <v>173</v>
      </c>
      <c r="M940" t="s">
        <v>36</v>
      </c>
    </row>
    <row r="941" spans="1:13" x14ac:dyDescent="0.25">
      <c r="A941" t="s">
        <v>981</v>
      </c>
      <c r="B941" t="s">
        <v>27</v>
      </c>
      <c r="C941" t="s">
        <v>28</v>
      </c>
      <c r="D941" t="s">
        <v>34</v>
      </c>
      <c r="E941">
        <v>89</v>
      </c>
      <c r="F941">
        <v>33</v>
      </c>
      <c r="G941">
        <v>0.65</v>
      </c>
      <c r="H941" s="1">
        <v>46280</v>
      </c>
      <c r="I941" s="1">
        <v>46012</v>
      </c>
      <c r="J941">
        <v>57.85</v>
      </c>
      <c r="K941" t="s">
        <v>35</v>
      </c>
      <c r="L941">
        <v>161</v>
      </c>
      <c r="M941" t="s">
        <v>36</v>
      </c>
    </row>
    <row r="942" spans="1:13" x14ac:dyDescent="0.25">
      <c r="A942" t="s">
        <v>982</v>
      </c>
      <c r="B942" t="s">
        <v>23</v>
      </c>
      <c r="C942" t="s">
        <v>24</v>
      </c>
      <c r="D942" t="s">
        <v>34</v>
      </c>
      <c r="E942">
        <v>174</v>
      </c>
      <c r="F942">
        <v>39</v>
      </c>
      <c r="G942">
        <v>1.44</v>
      </c>
      <c r="H942" s="1">
        <v>46281</v>
      </c>
      <c r="I942" s="1">
        <v>46076</v>
      </c>
      <c r="J942">
        <v>250.56</v>
      </c>
      <c r="K942" t="s">
        <v>35</v>
      </c>
      <c r="L942">
        <v>162</v>
      </c>
      <c r="M942" t="s">
        <v>36</v>
      </c>
    </row>
    <row r="943" spans="1:13" x14ac:dyDescent="0.25">
      <c r="A943" t="s">
        <v>983</v>
      </c>
      <c r="B943" t="s">
        <v>27</v>
      </c>
      <c r="C943" t="s">
        <v>28</v>
      </c>
      <c r="D943" t="s">
        <v>38</v>
      </c>
      <c r="E943">
        <v>135</v>
      </c>
      <c r="F943">
        <v>74</v>
      </c>
      <c r="G943">
        <v>1.0900000000000001</v>
      </c>
      <c r="H943" s="1">
        <v>46251</v>
      </c>
      <c r="I943" s="1">
        <v>46065</v>
      </c>
      <c r="J943">
        <v>147.15</v>
      </c>
      <c r="K943" t="s">
        <v>35</v>
      </c>
      <c r="L943">
        <v>132</v>
      </c>
      <c r="M943" t="s">
        <v>36</v>
      </c>
    </row>
    <row r="944" spans="1:13" x14ac:dyDescent="0.25">
      <c r="A944" t="s">
        <v>984</v>
      </c>
      <c r="B944" t="s">
        <v>27</v>
      </c>
      <c r="C944" t="s">
        <v>28</v>
      </c>
      <c r="D944" t="s">
        <v>49</v>
      </c>
      <c r="E944">
        <v>186</v>
      </c>
      <c r="F944">
        <v>27</v>
      </c>
      <c r="G944">
        <v>1.55</v>
      </c>
      <c r="H944" s="1">
        <v>46212</v>
      </c>
      <c r="I944" s="1">
        <v>46018</v>
      </c>
      <c r="J944">
        <v>288.3</v>
      </c>
      <c r="K944" t="s">
        <v>35</v>
      </c>
      <c r="L944">
        <v>93</v>
      </c>
      <c r="M944" t="s">
        <v>36</v>
      </c>
    </row>
    <row r="945" spans="1:13" x14ac:dyDescent="0.25">
      <c r="A945" t="s">
        <v>985</v>
      </c>
      <c r="B945" t="s">
        <v>21</v>
      </c>
      <c r="C945" t="s">
        <v>22</v>
      </c>
      <c r="D945" t="s">
        <v>38</v>
      </c>
      <c r="E945">
        <v>28</v>
      </c>
      <c r="F945">
        <v>68</v>
      </c>
      <c r="G945">
        <v>0.67</v>
      </c>
      <c r="H945" s="1">
        <v>46484</v>
      </c>
      <c r="I945" s="1">
        <v>45961</v>
      </c>
      <c r="J945">
        <v>18.760000000000002</v>
      </c>
      <c r="K945" t="s">
        <v>44</v>
      </c>
      <c r="L945">
        <v>365</v>
      </c>
      <c r="M945" t="s">
        <v>36</v>
      </c>
    </row>
    <row r="946" spans="1:13" x14ac:dyDescent="0.25">
      <c r="A946" t="s">
        <v>986</v>
      </c>
      <c r="B946" t="s">
        <v>16</v>
      </c>
      <c r="C946" t="s">
        <v>13</v>
      </c>
      <c r="D946" t="s">
        <v>40</v>
      </c>
      <c r="E946">
        <v>39</v>
      </c>
      <c r="F946">
        <v>35</v>
      </c>
      <c r="G946">
        <v>1.97</v>
      </c>
      <c r="H946" s="1">
        <v>46409</v>
      </c>
      <c r="I946" s="1">
        <v>46096</v>
      </c>
      <c r="J946">
        <v>76.83</v>
      </c>
      <c r="K946" t="s">
        <v>35</v>
      </c>
      <c r="L946">
        <v>290</v>
      </c>
      <c r="M946" t="s">
        <v>36</v>
      </c>
    </row>
    <row r="947" spans="1:13" x14ac:dyDescent="0.25">
      <c r="A947" t="s">
        <v>987</v>
      </c>
      <c r="B947" t="s">
        <v>27</v>
      </c>
      <c r="C947" t="s">
        <v>28</v>
      </c>
      <c r="D947" t="s">
        <v>34</v>
      </c>
      <c r="E947">
        <v>177</v>
      </c>
      <c r="F947">
        <v>24</v>
      </c>
      <c r="G947">
        <v>1.74</v>
      </c>
      <c r="H947" s="1">
        <v>46204</v>
      </c>
      <c r="I947" s="1">
        <v>46111</v>
      </c>
      <c r="J947">
        <v>307.98</v>
      </c>
      <c r="K947" t="s">
        <v>35</v>
      </c>
      <c r="L947">
        <v>85</v>
      </c>
      <c r="M947" t="s">
        <v>36</v>
      </c>
    </row>
    <row r="948" spans="1:13" x14ac:dyDescent="0.25">
      <c r="A948" t="s">
        <v>988</v>
      </c>
      <c r="B948" t="s">
        <v>25</v>
      </c>
      <c r="C948" t="s">
        <v>15</v>
      </c>
      <c r="D948" t="s">
        <v>40</v>
      </c>
      <c r="E948">
        <v>111</v>
      </c>
      <c r="F948">
        <v>87</v>
      </c>
      <c r="G948">
        <v>0.63</v>
      </c>
      <c r="H948" s="1">
        <v>46361</v>
      </c>
      <c r="I948" s="1">
        <v>46085</v>
      </c>
      <c r="J948">
        <v>69.930000000000007</v>
      </c>
      <c r="K948" t="s">
        <v>35</v>
      </c>
      <c r="L948">
        <v>242</v>
      </c>
      <c r="M948" t="s">
        <v>36</v>
      </c>
    </row>
    <row r="949" spans="1:13" x14ac:dyDescent="0.25">
      <c r="A949" t="s">
        <v>989</v>
      </c>
      <c r="B949" t="s">
        <v>17</v>
      </c>
      <c r="C949" t="s">
        <v>18</v>
      </c>
      <c r="D949" t="s">
        <v>49</v>
      </c>
      <c r="E949">
        <v>26</v>
      </c>
      <c r="F949">
        <v>91</v>
      </c>
      <c r="G949">
        <v>1.74</v>
      </c>
      <c r="H949" s="1">
        <v>46202</v>
      </c>
      <c r="I949" s="1">
        <v>46035</v>
      </c>
      <c r="J949">
        <v>45.24</v>
      </c>
      <c r="K949" t="s">
        <v>44</v>
      </c>
      <c r="L949">
        <v>83</v>
      </c>
      <c r="M949" t="s">
        <v>36</v>
      </c>
    </row>
    <row r="950" spans="1:13" x14ac:dyDescent="0.25">
      <c r="A950" t="s">
        <v>990</v>
      </c>
      <c r="B950" t="s">
        <v>17</v>
      </c>
      <c r="C950" t="s">
        <v>18</v>
      </c>
      <c r="D950" t="s">
        <v>40</v>
      </c>
      <c r="E950">
        <v>50</v>
      </c>
      <c r="F950">
        <v>32</v>
      </c>
      <c r="G950">
        <v>1.53</v>
      </c>
      <c r="H950" s="1">
        <v>46476</v>
      </c>
      <c r="I950" s="1">
        <v>46108</v>
      </c>
      <c r="J950">
        <v>76.5</v>
      </c>
      <c r="K950" t="s">
        <v>35</v>
      </c>
      <c r="L950">
        <v>357</v>
      </c>
      <c r="M950" t="s">
        <v>36</v>
      </c>
    </row>
    <row r="951" spans="1:13" x14ac:dyDescent="0.25">
      <c r="A951" t="s">
        <v>991</v>
      </c>
      <c r="B951" t="s">
        <v>26</v>
      </c>
      <c r="C951" t="s">
        <v>22</v>
      </c>
      <c r="D951" t="s">
        <v>38</v>
      </c>
      <c r="E951">
        <v>9</v>
      </c>
      <c r="F951">
        <v>34</v>
      </c>
      <c r="G951">
        <v>1.1599999999999999</v>
      </c>
      <c r="H951" s="1">
        <v>46197</v>
      </c>
      <c r="I951" s="1">
        <v>46040</v>
      </c>
      <c r="J951">
        <v>10.44</v>
      </c>
      <c r="K951" t="s">
        <v>44</v>
      </c>
      <c r="L951">
        <v>78</v>
      </c>
      <c r="M951" t="s">
        <v>36</v>
      </c>
    </row>
    <row r="952" spans="1:13" x14ac:dyDescent="0.25">
      <c r="A952" t="s">
        <v>992</v>
      </c>
      <c r="B952" t="s">
        <v>12</v>
      </c>
      <c r="C952" t="s">
        <v>13</v>
      </c>
      <c r="D952" t="s">
        <v>38</v>
      </c>
      <c r="E952">
        <v>54</v>
      </c>
      <c r="F952">
        <v>70</v>
      </c>
      <c r="G952">
        <v>0.5</v>
      </c>
      <c r="H952" s="1">
        <v>46457</v>
      </c>
      <c r="I952" s="1">
        <v>45976</v>
      </c>
      <c r="J952">
        <v>27</v>
      </c>
      <c r="K952" t="s">
        <v>44</v>
      </c>
      <c r="L952">
        <v>338</v>
      </c>
      <c r="M952" t="s">
        <v>36</v>
      </c>
    </row>
    <row r="953" spans="1:13" x14ac:dyDescent="0.25">
      <c r="A953" t="s">
        <v>993</v>
      </c>
      <c r="B953" t="s">
        <v>16</v>
      </c>
      <c r="C953" t="s">
        <v>13</v>
      </c>
      <c r="D953" t="s">
        <v>38</v>
      </c>
      <c r="E953">
        <v>162</v>
      </c>
      <c r="F953">
        <v>59</v>
      </c>
      <c r="G953">
        <v>1.64</v>
      </c>
      <c r="H953" s="1">
        <v>46347</v>
      </c>
      <c r="I953" s="1">
        <v>46029</v>
      </c>
      <c r="J953">
        <v>265.68</v>
      </c>
      <c r="K953" t="s">
        <v>35</v>
      </c>
      <c r="L953">
        <v>228</v>
      </c>
      <c r="M953" t="s">
        <v>36</v>
      </c>
    </row>
    <row r="954" spans="1:13" x14ac:dyDescent="0.25">
      <c r="A954" t="s">
        <v>994</v>
      </c>
      <c r="B954" t="s">
        <v>16</v>
      </c>
      <c r="C954" t="s">
        <v>13</v>
      </c>
      <c r="D954" t="s">
        <v>49</v>
      </c>
      <c r="E954">
        <v>30</v>
      </c>
      <c r="F954">
        <v>52</v>
      </c>
      <c r="G954">
        <v>1.4</v>
      </c>
      <c r="H954" s="1">
        <v>46481</v>
      </c>
      <c r="I954" s="1">
        <v>46116</v>
      </c>
      <c r="J954">
        <v>42</v>
      </c>
      <c r="K954" t="s">
        <v>44</v>
      </c>
      <c r="L954">
        <v>362</v>
      </c>
      <c r="M954" t="s">
        <v>36</v>
      </c>
    </row>
    <row r="955" spans="1:13" x14ac:dyDescent="0.25">
      <c r="A955" t="s">
        <v>995</v>
      </c>
      <c r="B955" t="s">
        <v>17</v>
      </c>
      <c r="C955" t="s">
        <v>18</v>
      </c>
      <c r="D955" t="s">
        <v>49</v>
      </c>
      <c r="E955">
        <v>89</v>
      </c>
      <c r="F955">
        <v>22</v>
      </c>
      <c r="G955">
        <v>1.52</v>
      </c>
      <c r="H955" s="1">
        <v>46310</v>
      </c>
      <c r="I955" s="1">
        <v>46094</v>
      </c>
      <c r="J955">
        <v>135.28</v>
      </c>
      <c r="K955" t="s">
        <v>35</v>
      </c>
      <c r="L955">
        <v>191</v>
      </c>
      <c r="M955" t="s">
        <v>36</v>
      </c>
    </row>
    <row r="956" spans="1:13" x14ac:dyDescent="0.25">
      <c r="A956" t="s">
        <v>996</v>
      </c>
      <c r="B956" t="s">
        <v>17</v>
      </c>
      <c r="C956" t="s">
        <v>18</v>
      </c>
      <c r="D956" t="s">
        <v>38</v>
      </c>
      <c r="E956">
        <v>68</v>
      </c>
      <c r="F956">
        <v>93</v>
      </c>
      <c r="G956">
        <v>1.86</v>
      </c>
      <c r="H956" s="1">
        <v>46224</v>
      </c>
      <c r="I956" s="1">
        <v>46107</v>
      </c>
      <c r="J956">
        <v>126.48</v>
      </c>
      <c r="K956" t="s">
        <v>44</v>
      </c>
      <c r="L956">
        <v>105</v>
      </c>
      <c r="M956" t="s">
        <v>36</v>
      </c>
    </row>
    <row r="957" spans="1:13" x14ac:dyDescent="0.25">
      <c r="A957" t="s">
        <v>997</v>
      </c>
      <c r="B957" t="s">
        <v>12</v>
      </c>
      <c r="C957" t="s">
        <v>13</v>
      </c>
      <c r="D957" t="s">
        <v>34</v>
      </c>
      <c r="E957">
        <v>102</v>
      </c>
      <c r="F957">
        <v>24</v>
      </c>
      <c r="G957">
        <v>1.84</v>
      </c>
      <c r="H957" s="1">
        <v>46195</v>
      </c>
      <c r="I957" s="1">
        <v>45988</v>
      </c>
      <c r="J957">
        <v>187.68</v>
      </c>
      <c r="K957" t="s">
        <v>35</v>
      </c>
      <c r="L957">
        <v>76</v>
      </c>
      <c r="M957" t="s">
        <v>36</v>
      </c>
    </row>
    <row r="958" spans="1:13" x14ac:dyDescent="0.25">
      <c r="A958" t="s">
        <v>998</v>
      </c>
      <c r="B958" t="s">
        <v>26</v>
      </c>
      <c r="C958" t="s">
        <v>22</v>
      </c>
      <c r="D958" t="s">
        <v>40</v>
      </c>
      <c r="E958">
        <v>34</v>
      </c>
      <c r="F958">
        <v>79</v>
      </c>
      <c r="G958">
        <v>0.98</v>
      </c>
      <c r="H958" s="1">
        <v>46375</v>
      </c>
      <c r="I958" s="1">
        <v>46084</v>
      </c>
      <c r="J958">
        <v>33.32</v>
      </c>
      <c r="K958" t="s">
        <v>44</v>
      </c>
      <c r="L958">
        <v>256</v>
      </c>
      <c r="M958" t="s">
        <v>36</v>
      </c>
    </row>
    <row r="959" spans="1:13" x14ac:dyDescent="0.25">
      <c r="A959" t="s">
        <v>999</v>
      </c>
      <c r="B959" t="s">
        <v>23</v>
      </c>
      <c r="C959" t="s">
        <v>24</v>
      </c>
      <c r="D959" t="s">
        <v>49</v>
      </c>
      <c r="E959">
        <v>127</v>
      </c>
      <c r="F959">
        <v>62</v>
      </c>
      <c r="G959">
        <v>1.5</v>
      </c>
      <c r="H959" s="1">
        <v>46425</v>
      </c>
      <c r="I959" s="1">
        <v>46000</v>
      </c>
      <c r="J959">
        <v>190.5</v>
      </c>
      <c r="K959" t="s">
        <v>35</v>
      </c>
      <c r="L959">
        <v>306</v>
      </c>
      <c r="M959" t="s">
        <v>36</v>
      </c>
    </row>
    <row r="960" spans="1:13" x14ac:dyDescent="0.25">
      <c r="A960" t="s">
        <v>1000</v>
      </c>
      <c r="B960" t="s">
        <v>21</v>
      </c>
      <c r="C960" t="s">
        <v>22</v>
      </c>
      <c r="D960" t="s">
        <v>40</v>
      </c>
      <c r="E960">
        <v>39</v>
      </c>
      <c r="F960">
        <v>98</v>
      </c>
      <c r="G960">
        <v>0.55000000000000004</v>
      </c>
      <c r="H960" s="1">
        <v>46248</v>
      </c>
      <c r="I960" s="1">
        <v>46053</v>
      </c>
      <c r="J960">
        <v>21.450000000000003</v>
      </c>
      <c r="K960" t="s">
        <v>44</v>
      </c>
      <c r="L960">
        <v>129</v>
      </c>
      <c r="M960" t="s">
        <v>36</v>
      </c>
    </row>
    <row r="961" spans="1:13" x14ac:dyDescent="0.25">
      <c r="A961" t="s">
        <v>1001</v>
      </c>
      <c r="B961" t="s">
        <v>16</v>
      </c>
      <c r="C961" t="s">
        <v>13</v>
      </c>
      <c r="D961" t="s">
        <v>38</v>
      </c>
      <c r="E961">
        <v>8</v>
      </c>
      <c r="F961">
        <v>63</v>
      </c>
      <c r="G961">
        <v>0.5</v>
      </c>
      <c r="H961" s="1">
        <v>46155</v>
      </c>
      <c r="I961" s="1">
        <v>46098</v>
      </c>
      <c r="J961">
        <v>4</v>
      </c>
      <c r="K961" t="s">
        <v>44</v>
      </c>
      <c r="L961">
        <v>36</v>
      </c>
      <c r="M961" t="s">
        <v>36</v>
      </c>
    </row>
    <row r="962" spans="1:13" x14ac:dyDescent="0.25">
      <c r="A962" t="s">
        <v>1002</v>
      </c>
      <c r="B962" t="s">
        <v>17</v>
      </c>
      <c r="C962" t="s">
        <v>18</v>
      </c>
      <c r="D962" t="s">
        <v>34</v>
      </c>
      <c r="E962">
        <v>41</v>
      </c>
      <c r="F962">
        <v>89</v>
      </c>
      <c r="G962">
        <v>0.59</v>
      </c>
      <c r="H962" s="1">
        <v>46465</v>
      </c>
      <c r="I962" s="1">
        <v>46046</v>
      </c>
      <c r="J962">
        <v>24.189999999999998</v>
      </c>
      <c r="K962" t="s">
        <v>44</v>
      </c>
      <c r="L962">
        <v>346</v>
      </c>
      <c r="M962" t="s">
        <v>36</v>
      </c>
    </row>
    <row r="963" spans="1:13" x14ac:dyDescent="0.25">
      <c r="A963" t="s">
        <v>1003</v>
      </c>
      <c r="B963" t="s">
        <v>16</v>
      </c>
      <c r="C963" t="s">
        <v>13</v>
      </c>
      <c r="D963" t="s">
        <v>38</v>
      </c>
      <c r="E963">
        <v>32</v>
      </c>
      <c r="F963">
        <v>57</v>
      </c>
      <c r="G963">
        <v>0.68</v>
      </c>
      <c r="H963" s="1">
        <v>46334</v>
      </c>
      <c r="I963" s="1">
        <v>46013</v>
      </c>
      <c r="J963">
        <v>21.76</v>
      </c>
      <c r="K963" t="s">
        <v>44</v>
      </c>
      <c r="L963">
        <v>215</v>
      </c>
      <c r="M963" t="s">
        <v>36</v>
      </c>
    </row>
    <row r="964" spans="1:13" x14ac:dyDescent="0.25">
      <c r="A964" t="s">
        <v>1004</v>
      </c>
      <c r="B964" t="s">
        <v>19</v>
      </c>
      <c r="C964" t="s">
        <v>20</v>
      </c>
      <c r="D964" t="s">
        <v>38</v>
      </c>
      <c r="E964">
        <v>54</v>
      </c>
      <c r="F964">
        <v>76</v>
      </c>
      <c r="G964">
        <v>1.42</v>
      </c>
      <c r="H964" s="1">
        <v>46294</v>
      </c>
      <c r="I964" s="1">
        <v>45988</v>
      </c>
      <c r="J964">
        <v>76.679999999999993</v>
      </c>
      <c r="K964" t="s">
        <v>44</v>
      </c>
      <c r="L964">
        <v>175</v>
      </c>
      <c r="M964" t="s">
        <v>36</v>
      </c>
    </row>
    <row r="965" spans="1:13" x14ac:dyDescent="0.25">
      <c r="A965" t="s">
        <v>1005</v>
      </c>
      <c r="B965" t="s">
        <v>14</v>
      </c>
      <c r="C965" t="s">
        <v>15</v>
      </c>
      <c r="D965" t="s">
        <v>40</v>
      </c>
      <c r="E965">
        <v>115</v>
      </c>
      <c r="F965">
        <v>69</v>
      </c>
      <c r="G965">
        <v>1.64</v>
      </c>
      <c r="H965" s="1">
        <v>46406</v>
      </c>
      <c r="I965" s="1">
        <v>46038</v>
      </c>
      <c r="J965">
        <v>188.6</v>
      </c>
      <c r="K965" t="s">
        <v>35</v>
      </c>
      <c r="L965">
        <v>287</v>
      </c>
      <c r="M965" t="s">
        <v>36</v>
      </c>
    </row>
    <row r="966" spans="1:13" x14ac:dyDescent="0.25">
      <c r="A966" t="s">
        <v>1006</v>
      </c>
      <c r="B966" t="s">
        <v>16</v>
      </c>
      <c r="C966" t="s">
        <v>13</v>
      </c>
      <c r="D966" t="s">
        <v>34</v>
      </c>
      <c r="E966">
        <v>147</v>
      </c>
      <c r="F966">
        <v>37</v>
      </c>
      <c r="G966">
        <v>1.56</v>
      </c>
      <c r="H966" s="1">
        <v>46474</v>
      </c>
      <c r="I966" s="1">
        <v>46002</v>
      </c>
      <c r="J966">
        <v>229.32000000000002</v>
      </c>
      <c r="K966" t="s">
        <v>35</v>
      </c>
      <c r="L966">
        <v>355</v>
      </c>
      <c r="M966" t="s">
        <v>36</v>
      </c>
    </row>
    <row r="967" spans="1:13" x14ac:dyDescent="0.25">
      <c r="A967" t="s">
        <v>1007</v>
      </c>
      <c r="B967" t="s">
        <v>25</v>
      </c>
      <c r="C967" t="s">
        <v>15</v>
      </c>
      <c r="D967" t="s">
        <v>40</v>
      </c>
      <c r="E967">
        <v>118</v>
      </c>
      <c r="F967">
        <v>62</v>
      </c>
      <c r="G967">
        <v>1.81</v>
      </c>
      <c r="H967" s="1">
        <v>46226</v>
      </c>
      <c r="I967" s="1">
        <v>46094</v>
      </c>
      <c r="J967">
        <v>213.58</v>
      </c>
      <c r="K967" t="s">
        <v>35</v>
      </c>
      <c r="L967">
        <v>107</v>
      </c>
      <c r="M967" t="s">
        <v>36</v>
      </c>
    </row>
    <row r="968" spans="1:13" x14ac:dyDescent="0.25">
      <c r="A968" t="s">
        <v>1008</v>
      </c>
      <c r="B968" t="s">
        <v>14</v>
      </c>
      <c r="C968" t="s">
        <v>15</v>
      </c>
      <c r="D968" t="s">
        <v>49</v>
      </c>
      <c r="E968">
        <v>197</v>
      </c>
      <c r="F968">
        <v>53</v>
      </c>
      <c r="G968">
        <v>0.7</v>
      </c>
      <c r="H968" s="1">
        <v>46205</v>
      </c>
      <c r="I968" s="1">
        <v>46086</v>
      </c>
      <c r="J968">
        <v>137.89999999999998</v>
      </c>
      <c r="K968" t="s">
        <v>35</v>
      </c>
      <c r="L968">
        <v>86</v>
      </c>
      <c r="M968" t="s">
        <v>36</v>
      </c>
    </row>
    <row r="969" spans="1:13" x14ac:dyDescent="0.25">
      <c r="A969" t="s">
        <v>1009</v>
      </c>
      <c r="B969" t="s">
        <v>16</v>
      </c>
      <c r="C969" t="s">
        <v>13</v>
      </c>
      <c r="D969" t="s">
        <v>38</v>
      </c>
      <c r="E969">
        <v>92</v>
      </c>
      <c r="F969">
        <v>22</v>
      </c>
      <c r="G969">
        <v>1.08</v>
      </c>
      <c r="H969" s="1">
        <v>46466</v>
      </c>
      <c r="I969" s="1">
        <v>46014</v>
      </c>
      <c r="J969">
        <v>99.360000000000014</v>
      </c>
      <c r="K969" t="s">
        <v>35</v>
      </c>
      <c r="L969">
        <v>347</v>
      </c>
      <c r="M969" t="s">
        <v>36</v>
      </c>
    </row>
    <row r="970" spans="1:13" x14ac:dyDescent="0.25">
      <c r="A970" t="s">
        <v>1010</v>
      </c>
      <c r="B970" t="s">
        <v>14</v>
      </c>
      <c r="C970" t="s">
        <v>15</v>
      </c>
      <c r="D970" t="s">
        <v>34</v>
      </c>
      <c r="E970">
        <v>33</v>
      </c>
      <c r="F970">
        <v>94</v>
      </c>
      <c r="G970">
        <v>0.82</v>
      </c>
      <c r="H970" s="1">
        <v>46363</v>
      </c>
      <c r="I970" s="1">
        <v>46111</v>
      </c>
      <c r="J970">
        <v>27.06</v>
      </c>
      <c r="K970" t="s">
        <v>44</v>
      </c>
      <c r="L970">
        <v>244</v>
      </c>
      <c r="M970" t="s">
        <v>36</v>
      </c>
    </row>
    <row r="971" spans="1:13" x14ac:dyDescent="0.25">
      <c r="A971" t="s">
        <v>1011</v>
      </c>
      <c r="B971" t="s">
        <v>25</v>
      </c>
      <c r="C971" t="s">
        <v>15</v>
      </c>
      <c r="D971" t="s">
        <v>49</v>
      </c>
      <c r="E971">
        <v>134</v>
      </c>
      <c r="F971">
        <v>92</v>
      </c>
      <c r="G971">
        <v>1.66</v>
      </c>
      <c r="H971" s="1">
        <v>46248</v>
      </c>
      <c r="I971" s="1">
        <v>46055</v>
      </c>
      <c r="J971">
        <v>222.44</v>
      </c>
      <c r="K971" t="s">
        <v>35</v>
      </c>
      <c r="L971">
        <v>129</v>
      </c>
      <c r="M971" t="s">
        <v>36</v>
      </c>
    </row>
    <row r="972" spans="1:13" x14ac:dyDescent="0.25">
      <c r="A972" t="s">
        <v>1012</v>
      </c>
      <c r="B972" t="s">
        <v>14</v>
      </c>
      <c r="C972" t="s">
        <v>15</v>
      </c>
      <c r="D972" t="s">
        <v>40</v>
      </c>
      <c r="E972">
        <v>112</v>
      </c>
      <c r="F972">
        <v>40</v>
      </c>
      <c r="G972">
        <v>1.26</v>
      </c>
      <c r="H972" s="1">
        <v>46474</v>
      </c>
      <c r="I972" s="1">
        <v>46041</v>
      </c>
      <c r="J972">
        <v>141.12</v>
      </c>
      <c r="K972" t="s">
        <v>35</v>
      </c>
      <c r="L972">
        <v>355</v>
      </c>
      <c r="M972" t="s">
        <v>36</v>
      </c>
    </row>
    <row r="973" spans="1:13" x14ac:dyDescent="0.25">
      <c r="A973" t="s">
        <v>1013</v>
      </c>
      <c r="B973" t="s">
        <v>17</v>
      </c>
      <c r="C973" t="s">
        <v>18</v>
      </c>
      <c r="D973" t="s">
        <v>38</v>
      </c>
      <c r="E973">
        <v>120</v>
      </c>
      <c r="F973">
        <v>21</v>
      </c>
      <c r="G973">
        <v>0.68</v>
      </c>
      <c r="H973" s="1">
        <v>46174</v>
      </c>
      <c r="I973" s="1">
        <v>46057</v>
      </c>
      <c r="J973">
        <v>81.600000000000009</v>
      </c>
      <c r="K973" t="s">
        <v>35</v>
      </c>
      <c r="L973">
        <v>55</v>
      </c>
      <c r="M973" t="s">
        <v>36</v>
      </c>
    </row>
    <row r="974" spans="1:13" x14ac:dyDescent="0.25">
      <c r="A974" t="s">
        <v>1014</v>
      </c>
      <c r="B974" t="s">
        <v>25</v>
      </c>
      <c r="C974" t="s">
        <v>15</v>
      </c>
      <c r="D974" t="s">
        <v>38</v>
      </c>
      <c r="E974">
        <v>116</v>
      </c>
      <c r="F974">
        <v>77</v>
      </c>
      <c r="G974">
        <v>0.9</v>
      </c>
      <c r="H974" s="1">
        <v>46292</v>
      </c>
      <c r="I974" s="1">
        <v>45967</v>
      </c>
      <c r="J974">
        <v>104.4</v>
      </c>
      <c r="K974" t="s">
        <v>35</v>
      </c>
      <c r="L974">
        <v>173</v>
      </c>
      <c r="M974" t="s">
        <v>36</v>
      </c>
    </row>
    <row r="975" spans="1:13" x14ac:dyDescent="0.25">
      <c r="A975" t="s">
        <v>1015</v>
      </c>
      <c r="B975" t="s">
        <v>23</v>
      </c>
      <c r="C975" t="s">
        <v>24</v>
      </c>
      <c r="D975" t="s">
        <v>40</v>
      </c>
      <c r="E975">
        <v>91</v>
      </c>
      <c r="F975">
        <v>97</v>
      </c>
      <c r="G975">
        <v>0.73</v>
      </c>
      <c r="H975" s="1">
        <v>46287</v>
      </c>
      <c r="I975" s="1">
        <v>46089</v>
      </c>
      <c r="J975">
        <v>66.429999999999993</v>
      </c>
      <c r="K975" t="s">
        <v>44</v>
      </c>
      <c r="L975">
        <v>168</v>
      </c>
      <c r="M975" t="s">
        <v>36</v>
      </c>
    </row>
    <row r="976" spans="1:13" x14ac:dyDescent="0.25">
      <c r="A976" t="s">
        <v>1016</v>
      </c>
      <c r="B976" t="s">
        <v>19</v>
      </c>
      <c r="C976" t="s">
        <v>20</v>
      </c>
      <c r="D976" t="s">
        <v>34</v>
      </c>
      <c r="E976">
        <v>80</v>
      </c>
      <c r="F976">
        <v>22</v>
      </c>
      <c r="G976">
        <v>1.82</v>
      </c>
      <c r="H976" s="1">
        <v>46467</v>
      </c>
      <c r="I976" s="1">
        <v>46002</v>
      </c>
      <c r="J976">
        <v>145.6</v>
      </c>
      <c r="K976" t="s">
        <v>35</v>
      </c>
      <c r="L976">
        <v>348</v>
      </c>
      <c r="M976" t="s">
        <v>36</v>
      </c>
    </row>
    <row r="977" spans="1:13" x14ac:dyDescent="0.25">
      <c r="A977" t="s">
        <v>1017</v>
      </c>
      <c r="B977" t="s">
        <v>12</v>
      </c>
      <c r="C977" t="s">
        <v>13</v>
      </c>
      <c r="D977" t="s">
        <v>34</v>
      </c>
      <c r="E977">
        <v>108</v>
      </c>
      <c r="F977">
        <v>87</v>
      </c>
      <c r="G977">
        <v>0.61</v>
      </c>
      <c r="H977" s="1">
        <v>46470</v>
      </c>
      <c r="I977" s="1">
        <v>46082</v>
      </c>
      <c r="J977">
        <v>65.88</v>
      </c>
      <c r="K977" t="s">
        <v>35</v>
      </c>
      <c r="L977">
        <v>351</v>
      </c>
      <c r="M977" t="s">
        <v>36</v>
      </c>
    </row>
    <row r="978" spans="1:13" x14ac:dyDescent="0.25">
      <c r="A978" t="s">
        <v>1018</v>
      </c>
      <c r="B978" t="s">
        <v>21</v>
      </c>
      <c r="C978" t="s">
        <v>22</v>
      </c>
      <c r="D978" t="s">
        <v>40</v>
      </c>
      <c r="E978">
        <v>78</v>
      </c>
      <c r="F978">
        <v>80</v>
      </c>
      <c r="G978">
        <v>0.99</v>
      </c>
      <c r="H978" s="1">
        <v>46302</v>
      </c>
      <c r="I978" s="1">
        <v>46093</v>
      </c>
      <c r="J978">
        <v>77.22</v>
      </c>
      <c r="K978" t="s">
        <v>44</v>
      </c>
      <c r="L978">
        <v>183</v>
      </c>
      <c r="M978" t="s">
        <v>36</v>
      </c>
    </row>
    <row r="979" spans="1:13" x14ac:dyDescent="0.25">
      <c r="A979" t="s">
        <v>1019</v>
      </c>
      <c r="B979" t="s">
        <v>23</v>
      </c>
      <c r="C979" t="s">
        <v>24</v>
      </c>
      <c r="D979" t="s">
        <v>40</v>
      </c>
      <c r="E979">
        <v>132</v>
      </c>
      <c r="F979">
        <v>77</v>
      </c>
      <c r="G979">
        <v>0.6</v>
      </c>
      <c r="H979" s="1">
        <v>46377</v>
      </c>
      <c r="I979" s="1">
        <v>46111</v>
      </c>
      <c r="J979">
        <v>79.2</v>
      </c>
      <c r="K979" t="s">
        <v>35</v>
      </c>
      <c r="L979">
        <v>258</v>
      </c>
      <c r="M979" t="s">
        <v>36</v>
      </c>
    </row>
    <row r="980" spans="1:13" x14ac:dyDescent="0.25">
      <c r="A980" t="s">
        <v>1020</v>
      </c>
      <c r="B980" t="s">
        <v>14</v>
      </c>
      <c r="C980" t="s">
        <v>15</v>
      </c>
      <c r="D980" t="s">
        <v>40</v>
      </c>
      <c r="E980">
        <v>88</v>
      </c>
      <c r="F980">
        <v>99</v>
      </c>
      <c r="G980">
        <v>1.44</v>
      </c>
      <c r="H980" s="1">
        <v>46317</v>
      </c>
      <c r="I980" s="1">
        <v>46105</v>
      </c>
      <c r="J980">
        <v>126.72</v>
      </c>
      <c r="K980" t="s">
        <v>44</v>
      </c>
      <c r="L980">
        <v>198</v>
      </c>
      <c r="M980" t="s">
        <v>36</v>
      </c>
    </row>
    <row r="981" spans="1:13" x14ac:dyDescent="0.25">
      <c r="A981" t="s">
        <v>1021</v>
      </c>
      <c r="B981" t="s">
        <v>19</v>
      </c>
      <c r="C981" t="s">
        <v>20</v>
      </c>
      <c r="D981" t="s">
        <v>49</v>
      </c>
      <c r="E981">
        <v>0</v>
      </c>
      <c r="F981">
        <v>90</v>
      </c>
      <c r="G981">
        <v>1.29</v>
      </c>
      <c r="H981" s="1">
        <v>46361</v>
      </c>
      <c r="I981" s="1">
        <v>45987</v>
      </c>
      <c r="J981">
        <v>0</v>
      </c>
      <c r="K981" t="s">
        <v>728</v>
      </c>
      <c r="L981">
        <v>242</v>
      </c>
      <c r="M981" t="s">
        <v>36</v>
      </c>
    </row>
    <row r="982" spans="1:13" x14ac:dyDescent="0.25">
      <c r="A982" t="s">
        <v>1022</v>
      </c>
      <c r="B982" t="s">
        <v>19</v>
      </c>
      <c r="C982" t="s">
        <v>20</v>
      </c>
      <c r="D982" t="s">
        <v>40</v>
      </c>
      <c r="E982">
        <v>158</v>
      </c>
      <c r="F982">
        <v>29</v>
      </c>
      <c r="G982">
        <v>0.67</v>
      </c>
      <c r="H982" s="1">
        <v>46349</v>
      </c>
      <c r="I982" s="1">
        <v>46086</v>
      </c>
      <c r="J982">
        <v>105.86</v>
      </c>
      <c r="K982" t="s">
        <v>35</v>
      </c>
      <c r="L982">
        <v>230</v>
      </c>
      <c r="M982" t="s">
        <v>36</v>
      </c>
    </row>
    <row r="983" spans="1:13" x14ac:dyDescent="0.25">
      <c r="A983" t="s">
        <v>1023</v>
      </c>
      <c r="B983" t="s">
        <v>17</v>
      </c>
      <c r="C983" t="s">
        <v>18</v>
      </c>
      <c r="D983" t="s">
        <v>34</v>
      </c>
      <c r="E983">
        <v>90</v>
      </c>
      <c r="F983">
        <v>87</v>
      </c>
      <c r="G983">
        <v>1.91</v>
      </c>
      <c r="H983" s="1">
        <v>46290</v>
      </c>
      <c r="I983" s="1">
        <v>46051</v>
      </c>
      <c r="J983">
        <v>171.9</v>
      </c>
      <c r="K983" t="s">
        <v>35</v>
      </c>
      <c r="L983">
        <v>171</v>
      </c>
      <c r="M983" t="s">
        <v>36</v>
      </c>
    </row>
    <row r="984" spans="1:13" x14ac:dyDescent="0.25">
      <c r="A984" t="s">
        <v>1024</v>
      </c>
      <c r="B984" t="s">
        <v>26</v>
      </c>
      <c r="C984" t="s">
        <v>22</v>
      </c>
      <c r="D984" t="s">
        <v>38</v>
      </c>
      <c r="E984">
        <v>95</v>
      </c>
      <c r="F984">
        <v>51</v>
      </c>
      <c r="G984">
        <v>1.79</v>
      </c>
      <c r="H984" s="1">
        <v>46321</v>
      </c>
      <c r="I984" s="1">
        <v>46111</v>
      </c>
      <c r="J984">
        <v>170.05</v>
      </c>
      <c r="K984" t="s">
        <v>35</v>
      </c>
      <c r="L984">
        <v>202</v>
      </c>
      <c r="M984" t="s">
        <v>36</v>
      </c>
    </row>
    <row r="985" spans="1:13" x14ac:dyDescent="0.25">
      <c r="A985" t="s">
        <v>1025</v>
      </c>
      <c r="B985" t="s">
        <v>16</v>
      </c>
      <c r="C985" t="s">
        <v>13</v>
      </c>
      <c r="D985" t="s">
        <v>34</v>
      </c>
      <c r="E985">
        <v>90</v>
      </c>
      <c r="F985">
        <v>51</v>
      </c>
      <c r="G985">
        <v>1.23</v>
      </c>
      <c r="H985" s="1">
        <v>46202</v>
      </c>
      <c r="I985" s="1">
        <v>46107</v>
      </c>
      <c r="J985">
        <v>110.7</v>
      </c>
      <c r="K985" t="s">
        <v>35</v>
      </c>
      <c r="L985">
        <v>83</v>
      </c>
      <c r="M985" t="s">
        <v>36</v>
      </c>
    </row>
    <row r="986" spans="1:13" x14ac:dyDescent="0.25">
      <c r="A986" t="s">
        <v>1026</v>
      </c>
      <c r="B986" t="s">
        <v>16</v>
      </c>
      <c r="C986" t="s">
        <v>13</v>
      </c>
      <c r="D986" t="s">
        <v>34</v>
      </c>
      <c r="E986">
        <v>82</v>
      </c>
      <c r="F986">
        <v>40</v>
      </c>
      <c r="G986">
        <v>1.88</v>
      </c>
      <c r="H986" s="1">
        <v>46409</v>
      </c>
      <c r="I986" s="1">
        <v>46013</v>
      </c>
      <c r="J986">
        <v>154.16</v>
      </c>
      <c r="K986" t="s">
        <v>35</v>
      </c>
      <c r="L986">
        <v>290</v>
      </c>
      <c r="M986" t="s">
        <v>36</v>
      </c>
    </row>
    <row r="987" spans="1:13" x14ac:dyDescent="0.25">
      <c r="A987" t="s">
        <v>1027</v>
      </c>
      <c r="B987" t="s">
        <v>27</v>
      </c>
      <c r="C987" t="s">
        <v>28</v>
      </c>
      <c r="D987" t="s">
        <v>40</v>
      </c>
      <c r="E987">
        <v>12</v>
      </c>
      <c r="F987">
        <v>98</v>
      </c>
      <c r="G987">
        <v>1.56</v>
      </c>
      <c r="H987" s="1">
        <v>46296</v>
      </c>
      <c r="I987" s="1">
        <v>45979</v>
      </c>
      <c r="J987">
        <v>18.72</v>
      </c>
      <c r="K987" t="s">
        <v>44</v>
      </c>
      <c r="L987">
        <v>177</v>
      </c>
      <c r="M987" t="s">
        <v>36</v>
      </c>
    </row>
    <row r="988" spans="1:13" x14ac:dyDescent="0.25">
      <c r="A988" t="s">
        <v>1028</v>
      </c>
      <c r="B988" t="s">
        <v>12</v>
      </c>
      <c r="C988" t="s">
        <v>13</v>
      </c>
      <c r="D988" t="s">
        <v>40</v>
      </c>
      <c r="E988">
        <v>80</v>
      </c>
      <c r="F988">
        <v>100</v>
      </c>
      <c r="G988">
        <v>1.58</v>
      </c>
      <c r="H988" s="1">
        <v>46284</v>
      </c>
      <c r="I988" s="1">
        <v>45965</v>
      </c>
      <c r="J988">
        <v>126.4</v>
      </c>
      <c r="K988" t="s">
        <v>44</v>
      </c>
      <c r="L988">
        <v>165</v>
      </c>
      <c r="M988" t="s">
        <v>36</v>
      </c>
    </row>
    <row r="989" spans="1:13" x14ac:dyDescent="0.25">
      <c r="A989" t="s">
        <v>1029</v>
      </c>
      <c r="B989" t="s">
        <v>26</v>
      </c>
      <c r="C989" t="s">
        <v>22</v>
      </c>
      <c r="D989" t="s">
        <v>38</v>
      </c>
      <c r="E989">
        <v>170</v>
      </c>
      <c r="F989">
        <v>67</v>
      </c>
      <c r="G989">
        <v>0.51</v>
      </c>
      <c r="H989" s="1">
        <v>46399</v>
      </c>
      <c r="I989" s="1">
        <v>46033</v>
      </c>
      <c r="J989">
        <v>86.7</v>
      </c>
      <c r="K989" t="s">
        <v>35</v>
      </c>
      <c r="L989">
        <v>280</v>
      </c>
      <c r="M989" t="s">
        <v>36</v>
      </c>
    </row>
    <row r="990" spans="1:13" x14ac:dyDescent="0.25">
      <c r="A990" t="s">
        <v>1030</v>
      </c>
      <c r="B990" t="s">
        <v>21</v>
      </c>
      <c r="C990" t="s">
        <v>22</v>
      </c>
      <c r="D990" t="s">
        <v>40</v>
      </c>
      <c r="E990">
        <v>35</v>
      </c>
      <c r="F990">
        <v>85</v>
      </c>
      <c r="G990">
        <v>1.24</v>
      </c>
      <c r="H990" s="1">
        <v>46248</v>
      </c>
      <c r="I990" s="1">
        <v>46076</v>
      </c>
      <c r="J990">
        <v>43.4</v>
      </c>
      <c r="K990" t="s">
        <v>44</v>
      </c>
      <c r="L990">
        <v>129</v>
      </c>
      <c r="M990" t="s">
        <v>36</v>
      </c>
    </row>
    <row r="991" spans="1:13" x14ac:dyDescent="0.25">
      <c r="A991" t="s">
        <v>1031</v>
      </c>
      <c r="B991" t="s">
        <v>23</v>
      </c>
      <c r="C991" t="s">
        <v>24</v>
      </c>
      <c r="D991" t="s">
        <v>40</v>
      </c>
      <c r="E991">
        <v>12</v>
      </c>
      <c r="F991">
        <v>60</v>
      </c>
      <c r="G991">
        <v>1.79</v>
      </c>
      <c r="H991" s="1">
        <v>46356</v>
      </c>
      <c r="I991" s="1">
        <v>46094</v>
      </c>
      <c r="J991">
        <v>21.48</v>
      </c>
      <c r="K991" t="s">
        <v>44</v>
      </c>
      <c r="L991">
        <v>237</v>
      </c>
      <c r="M991" t="s">
        <v>36</v>
      </c>
    </row>
    <row r="992" spans="1:13" x14ac:dyDescent="0.25">
      <c r="A992" t="s">
        <v>1032</v>
      </c>
      <c r="B992" t="s">
        <v>26</v>
      </c>
      <c r="C992" t="s">
        <v>22</v>
      </c>
      <c r="D992" t="s">
        <v>34</v>
      </c>
      <c r="E992">
        <v>184</v>
      </c>
      <c r="F992">
        <v>40</v>
      </c>
      <c r="G992">
        <v>1.2</v>
      </c>
      <c r="H992" s="1">
        <v>46359</v>
      </c>
      <c r="I992" s="1">
        <v>46074</v>
      </c>
      <c r="J992">
        <v>220.79999999999998</v>
      </c>
      <c r="K992" t="s">
        <v>35</v>
      </c>
      <c r="L992">
        <v>240</v>
      </c>
      <c r="M992" t="s">
        <v>36</v>
      </c>
    </row>
    <row r="993" spans="1:13" x14ac:dyDescent="0.25">
      <c r="A993" t="s">
        <v>1033</v>
      </c>
      <c r="B993" t="s">
        <v>19</v>
      </c>
      <c r="C993" t="s">
        <v>20</v>
      </c>
      <c r="D993" t="s">
        <v>38</v>
      </c>
      <c r="E993">
        <v>33</v>
      </c>
      <c r="F993">
        <v>26</v>
      </c>
      <c r="G993">
        <v>1.1200000000000001</v>
      </c>
      <c r="H993" s="1">
        <v>46380</v>
      </c>
      <c r="I993" s="1">
        <v>45952</v>
      </c>
      <c r="J993">
        <v>36.96</v>
      </c>
      <c r="K993" t="s">
        <v>35</v>
      </c>
      <c r="L993">
        <v>261</v>
      </c>
      <c r="M993" t="s">
        <v>36</v>
      </c>
    </row>
    <row r="994" spans="1:13" x14ac:dyDescent="0.25">
      <c r="A994" t="s">
        <v>1034</v>
      </c>
      <c r="B994" t="s">
        <v>23</v>
      </c>
      <c r="C994" t="s">
        <v>24</v>
      </c>
      <c r="D994" t="s">
        <v>49</v>
      </c>
      <c r="E994">
        <v>150</v>
      </c>
      <c r="F994">
        <v>73</v>
      </c>
      <c r="G994">
        <v>0.84</v>
      </c>
      <c r="H994" s="1">
        <v>46299</v>
      </c>
      <c r="I994" s="1">
        <v>46051</v>
      </c>
      <c r="J994">
        <v>126</v>
      </c>
      <c r="K994" t="s">
        <v>35</v>
      </c>
      <c r="L994">
        <v>180</v>
      </c>
      <c r="M994" t="s">
        <v>36</v>
      </c>
    </row>
    <row r="995" spans="1:13" x14ac:dyDescent="0.25">
      <c r="A995" t="s">
        <v>1035</v>
      </c>
      <c r="B995" t="s">
        <v>16</v>
      </c>
      <c r="C995" t="s">
        <v>13</v>
      </c>
      <c r="D995" t="s">
        <v>40</v>
      </c>
      <c r="E995">
        <v>178</v>
      </c>
      <c r="F995">
        <v>26</v>
      </c>
      <c r="G995">
        <v>0.6</v>
      </c>
      <c r="H995" s="1">
        <v>46259</v>
      </c>
      <c r="I995" s="1">
        <v>46112</v>
      </c>
      <c r="J995">
        <v>106.8</v>
      </c>
      <c r="K995" t="s">
        <v>35</v>
      </c>
      <c r="L995">
        <v>140</v>
      </c>
      <c r="M995" t="s">
        <v>36</v>
      </c>
    </row>
    <row r="996" spans="1:13" x14ac:dyDescent="0.25">
      <c r="A996" t="s">
        <v>1036</v>
      </c>
      <c r="B996" t="s">
        <v>21</v>
      </c>
      <c r="C996" t="s">
        <v>22</v>
      </c>
      <c r="D996" t="s">
        <v>49</v>
      </c>
      <c r="E996">
        <v>169</v>
      </c>
      <c r="F996">
        <v>81</v>
      </c>
      <c r="G996">
        <v>0.64</v>
      </c>
      <c r="H996" s="1">
        <v>46212</v>
      </c>
      <c r="I996" s="1">
        <v>46011</v>
      </c>
      <c r="J996">
        <v>108.16</v>
      </c>
      <c r="K996" t="s">
        <v>35</v>
      </c>
      <c r="L996">
        <v>93</v>
      </c>
      <c r="M996" t="s">
        <v>36</v>
      </c>
    </row>
    <row r="997" spans="1:13" x14ac:dyDescent="0.25">
      <c r="A997" t="s">
        <v>1037</v>
      </c>
      <c r="B997" t="s">
        <v>17</v>
      </c>
      <c r="C997" t="s">
        <v>18</v>
      </c>
      <c r="D997" t="s">
        <v>49</v>
      </c>
      <c r="E997">
        <v>70</v>
      </c>
      <c r="F997">
        <v>34</v>
      </c>
      <c r="G997">
        <v>1.72</v>
      </c>
      <c r="H997" s="1">
        <v>46407</v>
      </c>
      <c r="I997" s="1">
        <v>46105</v>
      </c>
      <c r="J997">
        <v>120.39999999999999</v>
      </c>
      <c r="K997" t="s">
        <v>35</v>
      </c>
      <c r="L997">
        <v>288</v>
      </c>
      <c r="M997" t="s">
        <v>36</v>
      </c>
    </row>
    <row r="998" spans="1:13" x14ac:dyDescent="0.25">
      <c r="A998" t="s">
        <v>1038</v>
      </c>
      <c r="B998" t="s">
        <v>16</v>
      </c>
      <c r="C998" t="s">
        <v>13</v>
      </c>
      <c r="D998" t="s">
        <v>49</v>
      </c>
      <c r="E998">
        <v>15</v>
      </c>
      <c r="F998">
        <v>45</v>
      </c>
      <c r="G998">
        <v>0.71</v>
      </c>
      <c r="H998" s="1">
        <v>46368</v>
      </c>
      <c r="I998" s="1">
        <v>45979</v>
      </c>
      <c r="J998">
        <v>10.649999999999999</v>
      </c>
      <c r="K998" t="s">
        <v>44</v>
      </c>
      <c r="L998">
        <v>249</v>
      </c>
      <c r="M998" t="s">
        <v>36</v>
      </c>
    </row>
    <row r="999" spans="1:13" x14ac:dyDescent="0.25">
      <c r="A999" t="s">
        <v>1039</v>
      </c>
      <c r="B999" t="s">
        <v>27</v>
      </c>
      <c r="C999" t="s">
        <v>28</v>
      </c>
      <c r="D999" t="s">
        <v>49</v>
      </c>
      <c r="E999">
        <v>128</v>
      </c>
      <c r="F999">
        <v>81</v>
      </c>
      <c r="G999">
        <v>1.94</v>
      </c>
      <c r="H999" s="1">
        <v>46448</v>
      </c>
      <c r="I999" s="1">
        <v>46067</v>
      </c>
      <c r="J999">
        <v>248.32</v>
      </c>
      <c r="K999" t="s">
        <v>35</v>
      </c>
      <c r="L999">
        <v>329</v>
      </c>
      <c r="M999" t="s">
        <v>36</v>
      </c>
    </row>
    <row r="1000" spans="1:13" x14ac:dyDescent="0.25">
      <c r="A1000" t="s">
        <v>1040</v>
      </c>
      <c r="B1000" t="s">
        <v>26</v>
      </c>
      <c r="C1000" t="s">
        <v>22</v>
      </c>
      <c r="D1000" t="s">
        <v>40</v>
      </c>
      <c r="E1000">
        <v>132</v>
      </c>
      <c r="F1000">
        <v>72</v>
      </c>
      <c r="G1000">
        <v>1.27</v>
      </c>
      <c r="H1000" s="1">
        <v>46456</v>
      </c>
      <c r="I1000" s="1">
        <v>45997</v>
      </c>
      <c r="J1000">
        <v>167.64000000000001</v>
      </c>
      <c r="K1000" t="s">
        <v>35</v>
      </c>
      <c r="L1000">
        <v>337</v>
      </c>
      <c r="M1000" t="s">
        <v>36</v>
      </c>
    </row>
    <row r="1001" spans="1:13" x14ac:dyDescent="0.25">
      <c r="A1001" t="s">
        <v>1041</v>
      </c>
      <c r="B1001" t="s">
        <v>14</v>
      </c>
      <c r="C1001" t="s">
        <v>15</v>
      </c>
      <c r="D1001" t="s">
        <v>38</v>
      </c>
      <c r="E1001">
        <v>11</v>
      </c>
      <c r="F1001">
        <v>51</v>
      </c>
      <c r="G1001">
        <v>1.93</v>
      </c>
      <c r="H1001" s="1">
        <v>46295</v>
      </c>
      <c r="I1001" s="1">
        <v>45972</v>
      </c>
      <c r="J1001">
        <v>21.23</v>
      </c>
      <c r="K1001" t="s">
        <v>44</v>
      </c>
      <c r="L1001">
        <v>176</v>
      </c>
      <c r="M100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1399-3620-430B-ADEC-96182EC18571}">
  <dimension ref="A1:D1501"/>
  <sheetViews>
    <sheetView workbookViewId="0">
      <selection sqref="A1:D1501"/>
    </sheetView>
  </sheetViews>
  <sheetFormatPr defaultRowHeight="15" x14ac:dyDescent="0.25"/>
  <cols>
    <col min="4" max="4" width="10.42578125" style="1" bestFit="1" customWidth="1"/>
  </cols>
  <sheetData>
    <row r="1" spans="1:4" x14ac:dyDescent="0.25">
      <c r="A1" t="s">
        <v>9</v>
      </c>
      <c r="B1" t="s">
        <v>0</v>
      </c>
      <c r="C1" t="s">
        <v>10</v>
      </c>
      <c r="D1" s="1" t="s">
        <v>11</v>
      </c>
    </row>
    <row r="2" spans="1:4" x14ac:dyDescent="0.25">
      <c r="A2" t="str">
        <f>"S"&amp;TEXT(ROW(A1),"000")</f>
        <v>S001</v>
      </c>
      <c r="B2" t="str">
        <f ca="1">"M"&amp;TEXT(RANDBETWEEN(1,100),"000")</f>
        <v>M033</v>
      </c>
      <c r="C2">
        <f ca="1">RANDBETWEEN(1,30)</f>
        <v>19</v>
      </c>
      <c r="D2" s="1">
        <f ca="1">TODAY()-RANDBETWEEN(1,90)</f>
        <v>46088</v>
      </c>
    </row>
    <row r="3" spans="1:4" x14ac:dyDescent="0.25">
      <c r="A3" t="str">
        <f t="shared" ref="A3:A66" si="0">"S"&amp;TEXT(ROW(A2),"000")</f>
        <v>S002</v>
      </c>
      <c r="B3" t="str">
        <f t="shared" ref="B3:B66" ca="1" si="1">"M"&amp;TEXT(RANDBETWEEN(1,100),"000")</f>
        <v>M065</v>
      </c>
      <c r="C3">
        <f t="shared" ref="C3:C66" ca="1" si="2">RANDBETWEEN(1,30)</f>
        <v>26</v>
      </c>
      <c r="D3" s="1">
        <f t="shared" ref="D3:D66" ca="1" si="3">TODAY()-RANDBETWEEN(1,90)</f>
        <v>46107</v>
      </c>
    </row>
    <row r="4" spans="1:4" x14ac:dyDescent="0.25">
      <c r="A4" t="str">
        <f t="shared" si="0"/>
        <v>S003</v>
      </c>
      <c r="B4" t="str">
        <f t="shared" ca="1" si="1"/>
        <v>M088</v>
      </c>
      <c r="C4">
        <f t="shared" ca="1" si="2"/>
        <v>30</v>
      </c>
      <c r="D4" s="1">
        <f t="shared" ca="1" si="3"/>
        <v>46034</v>
      </c>
    </row>
    <row r="5" spans="1:4" x14ac:dyDescent="0.25">
      <c r="A5" t="str">
        <f t="shared" si="0"/>
        <v>S004</v>
      </c>
      <c r="B5" t="str">
        <f t="shared" ca="1" si="1"/>
        <v>M061</v>
      </c>
      <c r="C5">
        <f t="shared" ca="1" si="2"/>
        <v>2</v>
      </c>
      <c r="D5" s="1">
        <f t="shared" ca="1" si="3"/>
        <v>46089</v>
      </c>
    </row>
    <row r="6" spans="1:4" x14ac:dyDescent="0.25">
      <c r="A6" t="str">
        <f t="shared" si="0"/>
        <v>S005</v>
      </c>
      <c r="B6" t="str">
        <f t="shared" ca="1" si="1"/>
        <v>M074</v>
      </c>
      <c r="C6">
        <f t="shared" ca="1" si="2"/>
        <v>29</v>
      </c>
      <c r="D6" s="1">
        <f t="shared" ca="1" si="3"/>
        <v>46098</v>
      </c>
    </row>
    <row r="7" spans="1:4" x14ac:dyDescent="0.25">
      <c r="A7" t="str">
        <f t="shared" si="0"/>
        <v>S006</v>
      </c>
      <c r="B7" t="str">
        <f t="shared" ca="1" si="1"/>
        <v>M046</v>
      </c>
      <c r="C7">
        <f t="shared" ca="1" si="2"/>
        <v>27</v>
      </c>
      <c r="D7" s="1">
        <f t="shared" ca="1" si="3"/>
        <v>46084</v>
      </c>
    </row>
    <row r="8" spans="1:4" x14ac:dyDescent="0.25">
      <c r="A8" t="str">
        <f t="shared" si="0"/>
        <v>S007</v>
      </c>
      <c r="B8" t="str">
        <f t="shared" ca="1" si="1"/>
        <v>M064</v>
      </c>
      <c r="C8">
        <f t="shared" ca="1" si="2"/>
        <v>21</v>
      </c>
      <c r="D8" s="1">
        <f t="shared" ca="1" si="3"/>
        <v>46037</v>
      </c>
    </row>
    <row r="9" spans="1:4" x14ac:dyDescent="0.25">
      <c r="A9" t="str">
        <f t="shared" si="0"/>
        <v>S008</v>
      </c>
      <c r="B9" t="str">
        <f t="shared" ca="1" si="1"/>
        <v>M067</v>
      </c>
      <c r="C9">
        <f t="shared" ca="1" si="2"/>
        <v>25</v>
      </c>
      <c r="D9" s="1">
        <f t="shared" ca="1" si="3"/>
        <v>46096</v>
      </c>
    </row>
    <row r="10" spans="1:4" x14ac:dyDescent="0.25">
      <c r="A10" t="str">
        <f t="shared" si="0"/>
        <v>S009</v>
      </c>
      <c r="B10" t="str">
        <f t="shared" ca="1" si="1"/>
        <v>M060</v>
      </c>
      <c r="C10">
        <f t="shared" ca="1" si="2"/>
        <v>10</v>
      </c>
      <c r="D10" s="1">
        <f t="shared" ca="1" si="3"/>
        <v>46036</v>
      </c>
    </row>
    <row r="11" spans="1:4" x14ac:dyDescent="0.25">
      <c r="A11" t="str">
        <f t="shared" si="0"/>
        <v>S010</v>
      </c>
      <c r="B11" t="str">
        <f t="shared" ca="1" si="1"/>
        <v>M093</v>
      </c>
      <c r="C11">
        <f t="shared" ca="1" si="2"/>
        <v>14</v>
      </c>
      <c r="D11" s="1">
        <f t="shared" ca="1" si="3"/>
        <v>46099</v>
      </c>
    </row>
    <row r="12" spans="1:4" x14ac:dyDescent="0.25">
      <c r="A12" t="str">
        <f t="shared" si="0"/>
        <v>S011</v>
      </c>
      <c r="B12" t="str">
        <f t="shared" ca="1" si="1"/>
        <v>M023</v>
      </c>
      <c r="C12">
        <f t="shared" ca="1" si="2"/>
        <v>8</v>
      </c>
      <c r="D12" s="1">
        <f t="shared" ca="1" si="3"/>
        <v>46093</v>
      </c>
    </row>
    <row r="13" spans="1:4" x14ac:dyDescent="0.25">
      <c r="A13" t="str">
        <f t="shared" si="0"/>
        <v>S012</v>
      </c>
      <c r="B13" t="str">
        <f t="shared" ca="1" si="1"/>
        <v>M077</v>
      </c>
      <c r="C13">
        <f t="shared" ca="1" si="2"/>
        <v>25</v>
      </c>
      <c r="D13" s="1">
        <f t="shared" ca="1" si="3"/>
        <v>46102</v>
      </c>
    </row>
    <row r="14" spans="1:4" x14ac:dyDescent="0.25">
      <c r="A14" t="str">
        <f t="shared" si="0"/>
        <v>S013</v>
      </c>
      <c r="B14" t="str">
        <f t="shared" ca="1" si="1"/>
        <v>M055</v>
      </c>
      <c r="C14">
        <f t="shared" ca="1" si="2"/>
        <v>1</v>
      </c>
      <c r="D14" s="1">
        <f t="shared" ca="1" si="3"/>
        <v>46029</v>
      </c>
    </row>
    <row r="15" spans="1:4" x14ac:dyDescent="0.25">
      <c r="A15" t="str">
        <f t="shared" si="0"/>
        <v>S014</v>
      </c>
      <c r="B15" t="str">
        <f t="shared" ca="1" si="1"/>
        <v>M019</v>
      </c>
      <c r="C15">
        <f t="shared" ca="1" si="2"/>
        <v>17</v>
      </c>
      <c r="D15" s="1">
        <f t="shared" ca="1" si="3"/>
        <v>46106</v>
      </c>
    </row>
    <row r="16" spans="1:4" x14ac:dyDescent="0.25">
      <c r="A16" t="str">
        <f t="shared" si="0"/>
        <v>S015</v>
      </c>
      <c r="B16" t="str">
        <f t="shared" ca="1" si="1"/>
        <v>M078</v>
      </c>
      <c r="C16">
        <f t="shared" ca="1" si="2"/>
        <v>18</v>
      </c>
      <c r="D16" s="1">
        <f t="shared" ca="1" si="3"/>
        <v>46055</v>
      </c>
    </row>
    <row r="17" spans="1:4" x14ac:dyDescent="0.25">
      <c r="A17" t="str">
        <f t="shared" si="0"/>
        <v>S016</v>
      </c>
      <c r="B17" t="str">
        <f t="shared" ca="1" si="1"/>
        <v>M046</v>
      </c>
      <c r="C17">
        <f t="shared" ca="1" si="2"/>
        <v>5</v>
      </c>
      <c r="D17" s="1">
        <f t="shared" ca="1" si="3"/>
        <v>46078</v>
      </c>
    </row>
    <row r="18" spans="1:4" x14ac:dyDescent="0.25">
      <c r="A18" t="str">
        <f t="shared" si="0"/>
        <v>S017</v>
      </c>
      <c r="B18" t="str">
        <f t="shared" ca="1" si="1"/>
        <v>M098</v>
      </c>
      <c r="C18">
        <f t="shared" ca="1" si="2"/>
        <v>18</v>
      </c>
      <c r="D18" s="1">
        <f t="shared" ca="1" si="3"/>
        <v>46083</v>
      </c>
    </row>
    <row r="19" spans="1:4" x14ac:dyDescent="0.25">
      <c r="A19" t="str">
        <f t="shared" si="0"/>
        <v>S018</v>
      </c>
      <c r="B19" t="str">
        <f t="shared" ca="1" si="1"/>
        <v>M057</v>
      </c>
      <c r="C19">
        <f t="shared" ca="1" si="2"/>
        <v>15</v>
      </c>
      <c r="D19" s="1">
        <f t="shared" ca="1" si="3"/>
        <v>46037</v>
      </c>
    </row>
    <row r="20" spans="1:4" x14ac:dyDescent="0.25">
      <c r="A20" t="str">
        <f t="shared" si="0"/>
        <v>S019</v>
      </c>
      <c r="B20" t="str">
        <f t="shared" ca="1" si="1"/>
        <v>M029</v>
      </c>
      <c r="C20">
        <f t="shared" ca="1" si="2"/>
        <v>11</v>
      </c>
      <c r="D20" s="1">
        <f t="shared" ca="1" si="3"/>
        <v>46054</v>
      </c>
    </row>
    <row r="21" spans="1:4" x14ac:dyDescent="0.25">
      <c r="A21" t="str">
        <f t="shared" si="0"/>
        <v>S020</v>
      </c>
      <c r="B21" t="str">
        <f t="shared" ca="1" si="1"/>
        <v>M066</v>
      </c>
      <c r="C21">
        <f t="shared" ca="1" si="2"/>
        <v>18</v>
      </c>
      <c r="D21" s="1">
        <f t="shared" ca="1" si="3"/>
        <v>46076</v>
      </c>
    </row>
    <row r="22" spans="1:4" x14ac:dyDescent="0.25">
      <c r="A22" t="str">
        <f t="shared" si="0"/>
        <v>S021</v>
      </c>
      <c r="B22" t="str">
        <f t="shared" ca="1" si="1"/>
        <v>M022</v>
      </c>
      <c r="C22">
        <f t="shared" ca="1" si="2"/>
        <v>17</v>
      </c>
      <c r="D22" s="1">
        <f t="shared" ca="1" si="3"/>
        <v>46055</v>
      </c>
    </row>
    <row r="23" spans="1:4" x14ac:dyDescent="0.25">
      <c r="A23" t="str">
        <f t="shared" si="0"/>
        <v>S022</v>
      </c>
      <c r="B23" t="str">
        <f t="shared" ca="1" si="1"/>
        <v>M043</v>
      </c>
      <c r="C23">
        <f t="shared" ca="1" si="2"/>
        <v>24</v>
      </c>
      <c r="D23" s="1">
        <f t="shared" ca="1" si="3"/>
        <v>46059</v>
      </c>
    </row>
    <row r="24" spans="1:4" x14ac:dyDescent="0.25">
      <c r="A24" t="str">
        <f t="shared" si="0"/>
        <v>S023</v>
      </c>
      <c r="B24" t="str">
        <f t="shared" ca="1" si="1"/>
        <v>M042</v>
      </c>
      <c r="C24">
        <f t="shared" ca="1" si="2"/>
        <v>21</v>
      </c>
      <c r="D24" s="1">
        <f t="shared" ca="1" si="3"/>
        <v>46036</v>
      </c>
    </row>
    <row r="25" spans="1:4" x14ac:dyDescent="0.25">
      <c r="A25" t="str">
        <f t="shared" si="0"/>
        <v>S024</v>
      </c>
      <c r="B25" t="str">
        <f t="shared" ca="1" si="1"/>
        <v>M084</v>
      </c>
      <c r="C25">
        <f t="shared" ca="1" si="2"/>
        <v>21</v>
      </c>
      <c r="D25" s="1">
        <f t="shared" ca="1" si="3"/>
        <v>46097</v>
      </c>
    </row>
    <row r="26" spans="1:4" x14ac:dyDescent="0.25">
      <c r="A26" t="str">
        <f t="shared" si="0"/>
        <v>S025</v>
      </c>
      <c r="B26" t="str">
        <f t="shared" ca="1" si="1"/>
        <v>M072</v>
      </c>
      <c r="C26">
        <f t="shared" ca="1" si="2"/>
        <v>6</v>
      </c>
      <c r="D26" s="1">
        <f t="shared" ca="1" si="3"/>
        <v>46080</v>
      </c>
    </row>
    <row r="27" spans="1:4" x14ac:dyDescent="0.25">
      <c r="A27" t="str">
        <f t="shared" si="0"/>
        <v>S026</v>
      </c>
      <c r="B27" t="str">
        <f t="shared" ca="1" si="1"/>
        <v>M019</v>
      </c>
      <c r="C27">
        <f t="shared" ca="1" si="2"/>
        <v>8</v>
      </c>
      <c r="D27" s="1">
        <f t="shared" ca="1" si="3"/>
        <v>46090</v>
      </c>
    </row>
    <row r="28" spans="1:4" x14ac:dyDescent="0.25">
      <c r="A28" t="str">
        <f t="shared" si="0"/>
        <v>S027</v>
      </c>
      <c r="B28" t="str">
        <f t="shared" ca="1" si="1"/>
        <v>M037</v>
      </c>
      <c r="C28">
        <f t="shared" ca="1" si="2"/>
        <v>3</v>
      </c>
      <c r="D28" s="1">
        <f t="shared" ca="1" si="3"/>
        <v>46037</v>
      </c>
    </row>
    <row r="29" spans="1:4" x14ac:dyDescent="0.25">
      <c r="A29" t="str">
        <f t="shared" si="0"/>
        <v>S028</v>
      </c>
      <c r="B29" t="str">
        <f t="shared" ca="1" si="1"/>
        <v>M054</v>
      </c>
      <c r="C29">
        <f t="shared" ca="1" si="2"/>
        <v>17</v>
      </c>
      <c r="D29" s="1">
        <f t="shared" ca="1" si="3"/>
        <v>46102</v>
      </c>
    </row>
    <row r="30" spans="1:4" x14ac:dyDescent="0.25">
      <c r="A30" t="str">
        <f t="shared" si="0"/>
        <v>S029</v>
      </c>
      <c r="B30" t="str">
        <f t="shared" ca="1" si="1"/>
        <v>M042</v>
      </c>
      <c r="C30">
        <f t="shared" ca="1" si="2"/>
        <v>11</v>
      </c>
      <c r="D30" s="1">
        <f t="shared" ca="1" si="3"/>
        <v>46070</v>
      </c>
    </row>
    <row r="31" spans="1:4" x14ac:dyDescent="0.25">
      <c r="A31" t="str">
        <f t="shared" si="0"/>
        <v>S030</v>
      </c>
      <c r="B31" t="str">
        <f t="shared" ca="1" si="1"/>
        <v>M041</v>
      </c>
      <c r="C31">
        <f t="shared" ca="1" si="2"/>
        <v>7</v>
      </c>
      <c r="D31" s="1">
        <f t="shared" ca="1" si="3"/>
        <v>46074</v>
      </c>
    </row>
    <row r="32" spans="1:4" x14ac:dyDescent="0.25">
      <c r="A32" t="str">
        <f t="shared" si="0"/>
        <v>S031</v>
      </c>
      <c r="B32" t="str">
        <f t="shared" ca="1" si="1"/>
        <v>M086</v>
      </c>
      <c r="C32">
        <f t="shared" ca="1" si="2"/>
        <v>18</v>
      </c>
      <c r="D32" s="1">
        <f t="shared" ca="1" si="3"/>
        <v>46096</v>
      </c>
    </row>
    <row r="33" spans="1:4" x14ac:dyDescent="0.25">
      <c r="A33" t="str">
        <f t="shared" si="0"/>
        <v>S032</v>
      </c>
      <c r="B33" t="str">
        <f t="shared" ca="1" si="1"/>
        <v>M092</v>
      </c>
      <c r="C33">
        <f t="shared" ca="1" si="2"/>
        <v>12</v>
      </c>
      <c r="D33" s="1">
        <f t="shared" ca="1" si="3"/>
        <v>46118</v>
      </c>
    </row>
    <row r="34" spans="1:4" x14ac:dyDescent="0.25">
      <c r="A34" t="str">
        <f t="shared" si="0"/>
        <v>S033</v>
      </c>
      <c r="B34" t="str">
        <f t="shared" ca="1" si="1"/>
        <v>M061</v>
      </c>
      <c r="C34">
        <f t="shared" ca="1" si="2"/>
        <v>15</v>
      </c>
      <c r="D34" s="1">
        <f t="shared" ca="1" si="3"/>
        <v>46060</v>
      </c>
    </row>
    <row r="35" spans="1:4" x14ac:dyDescent="0.25">
      <c r="A35" t="str">
        <f t="shared" si="0"/>
        <v>S034</v>
      </c>
      <c r="B35" t="str">
        <f t="shared" ca="1" si="1"/>
        <v>M077</v>
      </c>
      <c r="C35">
        <f t="shared" ca="1" si="2"/>
        <v>5</v>
      </c>
      <c r="D35" s="1">
        <f t="shared" ca="1" si="3"/>
        <v>46062</v>
      </c>
    </row>
    <row r="36" spans="1:4" x14ac:dyDescent="0.25">
      <c r="A36" t="str">
        <f t="shared" si="0"/>
        <v>S035</v>
      </c>
      <c r="B36" t="str">
        <f t="shared" ca="1" si="1"/>
        <v>M009</v>
      </c>
      <c r="C36">
        <f t="shared" ca="1" si="2"/>
        <v>1</v>
      </c>
      <c r="D36" s="1">
        <f t="shared" ca="1" si="3"/>
        <v>46045</v>
      </c>
    </row>
    <row r="37" spans="1:4" x14ac:dyDescent="0.25">
      <c r="A37" t="str">
        <f t="shared" si="0"/>
        <v>S036</v>
      </c>
      <c r="B37" t="str">
        <f t="shared" ca="1" si="1"/>
        <v>M071</v>
      </c>
      <c r="C37">
        <f t="shared" ca="1" si="2"/>
        <v>28</v>
      </c>
      <c r="D37" s="1">
        <f t="shared" ca="1" si="3"/>
        <v>46109</v>
      </c>
    </row>
    <row r="38" spans="1:4" x14ac:dyDescent="0.25">
      <c r="A38" t="str">
        <f t="shared" si="0"/>
        <v>S037</v>
      </c>
      <c r="B38" t="str">
        <f t="shared" ca="1" si="1"/>
        <v>M005</v>
      </c>
      <c r="C38">
        <f t="shared" ca="1" si="2"/>
        <v>23</v>
      </c>
      <c r="D38" s="1">
        <f t="shared" ca="1" si="3"/>
        <v>46049</v>
      </c>
    </row>
    <row r="39" spans="1:4" x14ac:dyDescent="0.25">
      <c r="A39" t="str">
        <f t="shared" si="0"/>
        <v>S038</v>
      </c>
      <c r="B39" t="str">
        <f t="shared" ca="1" si="1"/>
        <v>M068</v>
      </c>
      <c r="C39">
        <f t="shared" ca="1" si="2"/>
        <v>13</v>
      </c>
      <c r="D39" s="1">
        <f t="shared" ca="1" si="3"/>
        <v>46059</v>
      </c>
    </row>
    <row r="40" spans="1:4" x14ac:dyDescent="0.25">
      <c r="A40" t="str">
        <f t="shared" si="0"/>
        <v>S039</v>
      </c>
      <c r="B40" t="str">
        <f t="shared" ca="1" si="1"/>
        <v>M012</v>
      </c>
      <c r="C40">
        <f t="shared" ca="1" si="2"/>
        <v>30</v>
      </c>
      <c r="D40" s="1">
        <f t="shared" ca="1" si="3"/>
        <v>46040</v>
      </c>
    </row>
    <row r="41" spans="1:4" x14ac:dyDescent="0.25">
      <c r="A41" t="str">
        <f t="shared" si="0"/>
        <v>S040</v>
      </c>
      <c r="B41" t="str">
        <f t="shared" ca="1" si="1"/>
        <v>M076</v>
      </c>
      <c r="C41">
        <f t="shared" ca="1" si="2"/>
        <v>12</v>
      </c>
      <c r="D41" s="1">
        <f t="shared" ca="1" si="3"/>
        <v>46076</v>
      </c>
    </row>
    <row r="42" spans="1:4" x14ac:dyDescent="0.25">
      <c r="A42" t="str">
        <f t="shared" si="0"/>
        <v>S041</v>
      </c>
      <c r="B42" t="str">
        <f t="shared" ca="1" si="1"/>
        <v>M013</v>
      </c>
      <c r="C42">
        <f t="shared" ca="1" si="2"/>
        <v>9</v>
      </c>
      <c r="D42" s="1">
        <f t="shared" ca="1" si="3"/>
        <v>46041</v>
      </c>
    </row>
    <row r="43" spans="1:4" x14ac:dyDescent="0.25">
      <c r="A43" t="str">
        <f t="shared" si="0"/>
        <v>S042</v>
      </c>
      <c r="B43" t="str">
        <f t="shared" ca="1" si="1"/>
        <v>M039</v>
      </c>
      <c r="C43">
        <f t="shared" ca="1" si="2"/>
        <v>6</v>
      </c>
      <c r="D43" s="1">
        <f t="shared" ca="1" si="3"/>
        <v>46103</v>
      </c>
    </row>
    <row r="44" spans="1:4" x14ac:dyDescent="0.25">
      <c r="A44" t="str">
        <f t="shared" si="0"/>
        <v>S043</v>
      </c>
      <c r="B44" t="str">
        <f t="shared" ca="1" si="1"/>
        <v>M012</v>
      </c>
      <c r="C44">
        <f t="shared" ca="1" si="2"/>
        <v>14</v>
      </c>
      <c r="D44" s="1">
        <f t="shared" ca="1" si="3"/>
        <v>46107</v>
      </c>
    </row>
    <row r="45" spans="1:4" x14ac:dyDescent="0.25">
      <c r="A45" t="str">
        <f t="shared" si="0"/>
        <v>S044</v>
      </c>
      <c r="B45" t="str">
        <f t="shared" ca="1" si="1"/>
        <v>M068</v>
      </c>
      <c r="C45">
        <f t="shared" ca="1" si="2"/>
        <v>2</v>
      </c>
      <c r="D45" s="1">
        <f t="shared" ca="1" si="3"/>
        <v>46054</v>
      </c>
    </row>
    <row r="46" spans="1:4" x14ac:dyDescent="0.25">
      <c r="A46" t="str">
        <f t="shared" si="0"/>
        <v>S045</v>
      </c>
      <c r="B46" t="str">
        <f t="shared" ca="1" si="1"/>
        <v>M051</v>
      </c>
      <c r="C46">
        <f t="shared" ca="1" si="2"/>
        <v>10</v>
      </c>
      <c r="D46" s="1">
        <f t="shared" ca="1" si="3"/>
        <v>46072</v>
      </c>
    </row>
    <row r="47" spans="1:4" x14ac:dyDescent="0.25">
      <c r="A47" t="str">
        <f t="shared" si="0"/>
        <v>S046</v>
      </c>
      <c r="B47" t="str">
        <f t="shared" ca="1" si="1"/>
        <v>M032</v>
      </c>
      <c r="C47">
        <f t="shared" ca="1" si="2"/>
        <v>9</v>
      </c>
      <c r="D47" s="1">
        <f t="shared" ca="1" si="3"/>
        <v>46060</v>
      </c>
    </row>
    <row r="48" spans="1:4" x14ac:dyDescent="0.25">
      <c r="A48" t="str">
        <f t="shared" si="0"/>
        <v>S047</v>
      </c>
      <c r="B48" t="str">
        <f t="shared" ca="1" si="1"/>
        <v>M044</v>
      </c>
      <c r="C48">
        <f t="shared" ca="1" si="2"/>
        <v>25</v>
      </c>
      <c r="D48" s="1">
        <f t="shared" ca="1" si="3"/>
        <v>46096</v>
      </c>
    </row>
    <row r="49" spans="1:4" x14ac:dyDescent="0.25">
      <c r="A49" t="str">
        <f t="shared" si="0"/>
        <v>S048</v>
      </c>
      <c r="B49" t="str">
        <f t="shared" ca="1" si="1"/>
        <v>M015</v>
      </c>
      <c r="C49">
        <f t="shared" ca="1" si="2"/>
        <v>9</v>
      </c>
      <c r="D49" s="1">
        <f t="shared" ca="1" si="3"/>
        <v>46059</v>
      </c>
    </row>
    <row r="50" spans="1:4" x14ac:dyDescent="0.25">
      <c r="A50" t="str">
        <f t="shared" si="0"/>
        <v>S049</v>
      </c>
      <c r="B50" t="str">
        <f t="shared" ca="1" si="1"/>
        <v>M030</v>
      </c>
      <c r="C50">
        <f t="shared" ca="1" si="2"/>
        <v>21</v>
      </c>
      <c r="D50" s="1">
        <f t="shared" ca="1" si="3"/>
        <v>46114</v>
      </c>
    </row>
    <row r="51" spans="1:4" x14ac:dyDescent="0.25">
      <c r="A51" t="str">
        <f t="shared" si="0"/>
        <v>S050</v>
      </c>
      <c r="B51" t="str">
        <f t="shared" ca="1" si="1"/>
        <v>M056</v>
      </c>
      <c r="C51">
        <f t="shared" ca="1" si="2"/>
        <v>12</v>
      </c>
      <c r="D51" s="1">
        <f t="shared" ca="1" si="3"/>
        <v>46091</v>
      </c>
    </row>
    <row r="52" spans="1:4" x14ac:dyDescent="0.25">
      <c r="A52" t="str">
        <f t="shared" si="0"/>
        <v>S051</v>
      </c>
      <c r="B52" t="str">
        <f t="shared" ca="1" si="1"/>
        <v>M100</v>
      </c>
      <c r="C52">
        <f t="shared" ca="1" si="2"/>
        <v>26</v>
      </c>
      <c r="D52" s="1">
        <f t="shared" ca="1" si="3"/>
        <v>46061</v>
      </c>
    </row>
    <row r="53" spans="1:4" x14ac:dyDescent="0.25">
      <c r="A53" t="str">
        <f t="shared" si="0"/>
        <v>S052</v>
      </c>
      <c r="B53" t="str">
        <f t="shared" ca="1" si="1"/>
        <v>M023</v>
      </c>
      <c r="C53">
        <f t="shared" ca="1" si="2"/>
        <v>24</v>
      </c>
      <c r="D53" s="1">
        <f t="shared" ca="1" si="3"/>
        <v>46078</v>
      </c>
    </row>
    <row r="54" spans="1:4" x14ac:dyDescent="0.25">
      <c r="A54" t="str">
        <f t="shared" si="0"/>
        <v>S053</v>
      </c>
      <c r="B54" t="str">
        <f t="shared" ca="1" si="1"/>
        <v>M018</v>
      </c>
      <c r="C54">
        <f t="shared" ca="1" si="2"/>
        <v>27</v>
      </c>
      <c r="D54" s="1">
        <f t="shared" ca="1" si="3"/>
        <v>46100</v>
      </c>
    </row>
    <row r="55" spans="1:4" x14ac:dyDescent="0.25">
      <c r="A55" t="str">
        <f t="shared" si="0"/>
        <v>S054</v>
      </c>
      <c r="B55" t="str">
        <f t="shared" ca="1" si="1"/>
        <v>M069</v>
      </c>
      <c r="C55">
        <f t="shared" ca="1" si="2"/>
        <v>6</v>
      </c>
      <c r="D55" s="1">
        <f t="shared" ca="1" si="3"/>
        <v>46102</v>
      </c>
    </row>
    <row r="56" spans="1:4" x14ac:dyDescent="0.25">
      <c r="A56" t="str">
        <f t="shared" si="0"/>
        <v>S055</v>
      </c>
      <c r="B56" t="str">
        <f t="shared" ca="1" si="1"/>
        <v>M080</v>
      </c>
      <c r="C56">
        <f t="shared" ca="1" si="2"/>
        <v>23</v>
      </c>
      <c r="D56" s="1">
        <f t="shared" ca="1" si="3"/>
        <v>46093</v>
      </c>
    </row>
    <row r="57" spans="1:4" x14ac:dyDescent="0.25">
      <c r="A57" t="str">
        <f t="shared" si="0"/>
        <v>S056</v>
      </c>
      <c r="B57" t="str">
        <f t="shared" ca="1" si="1"/>
        <v>M025</v>
      </c>
      <c r="C57">
        <f t="shared" ca="1" si="2"/>
        <v>21</v>
      </c>
      <c r="D57" s="1">
        <f t="shared" ca="1" si="3"/>
        <v>46082</v>
      </c>
    </row>
    <row r="58" spans="1:4" x14ac:dyDescent="0.25">
      <c r="A58" t="str">
        <f t="shared" si="0"/>
        <v>S057</v>
      </c>
      <c r="B58" t="str">
        <f t="shared" ca="1" si="1"/>
        <v>M023</v>
      </c>
      <c r="C58">
        <f t="shared" ca="1" si="2"/>
        <v>16</v>
      </c>
      <c r="D58" s="1">
        <f t="shared" ca="1" si="3"/>
        <v>46090</v>
      </c>
    </row>
    <row r="59" spans="1:4" x14ac:dyDescent="0.25">
      <c r="A59" t="str">
        <f t="shared" si="0"/>
        <v>S058</v>
      </c>
      <c r="B59" t="str">
        <f t="shared" ca="1" si="1"/>
        <v>M057</v>
      </c>
      <c r="C59">
        <f t="shared" ca="1" si="2"/>
        <v>11</v>
      </c>
      <c r="D59" s="1">
        <f t="shared" ca="1" si="3"/>
        <v>46061</v>
      </c>
    </row>
    <row r="60" spans="1:4" x14ac:dyDescent="0.25">
      <c r="A60" t="str">
        <f t="shared" si="0"/>
        <v>S059</v>
      </c>
      <c r="B60" t="str">
        <f t="shared" ca="1" si="1"/>
        <v>M085</v>
      </c>
      <c r="C60">
        <f t="shared" ca="1" si="2"/>
        <v>13</v>
      </c>
      <c r="D60" s="1">
        <f t="shared" ca="1" si="3"/>
        <v>46069</v>
      </c>
    </row>
    <row r="61" spans="1:4" x14ac:dyDescent="0.25">
      <c r="A61" t="str">
        <f t="shared" si="0"/>
        <v>S060</v>
      </c>
      <c r="B61" t="str">
        <f t="shared" ca="1" si="1"/>
        <v>M011</v>
      </c>
      <c r="C61">
        <f t="shared" ca="1" si="2"/>
        <v>12</v>
      </c>
      <c r="D61" s="1">
        <f t="shared" ca="1" si="3"/>
        <v>46056</v>
      </c>
    </row>
    <row r="62" spans="1:4" x14ac:dyDescent="0.25">
      <c r="A62" t="str">
        <f t="shared" si="0"/>
        <v>S061</v>
      </c>
      <c r="B62" t="str">
        <f t="shared" ca="1" si="1"/>
        <v>M019</v>
      </c>
      <c r="C62">
        <f t="shared" ca="1" si="2"/>
        <v>24</v>
      </c>
      <c r="D62" s="1">
        <f t="shared" ca="1" si="3"/>
        <v>46091</v>
      </c>
    </row>
    <row r="63" spans="1:4" x14ac:dyDescent="0.25">
      <c r="A63" t="str">
        <f t="shared" si="0"/>
        <v>S062</v>
      </c>
      <c r="B63" t="str">
        <f t="shared" ca="1" si="1"/>
        <v>M082</v>
      </c>
      <c r="C63">
        <f t="shared" ca="1" si="2"/>
        <v>7</v>
      </c>
      <c r="D63" s="1">
        <f t="shared" ca="1" si="3"/>
        <v>46102</v>
      </c>
    </row>
    <row r="64" spans="1:4" x14ac:dyDescent="0.25">
      <c r="A64" t="str">
        <f t="shared" si="0"/>
        <v>S063</v>
      </c>
      <c r="B64" t="str">
        <f t="shared" ca="1" si="1"/>
        <v>M004</v>
      </c>
      <c r="C64">
        <f t="shared" ca="1" si="2"/>
        <v>15</v>
      </c>
      <c r="D64" s="1">
        <f t="shared" ca="1" si="3"/>
        <v>46049</v>
      </c>
    </row>
    <row r="65" spans="1:4" x14ac:dyDescent="0.25">
      <c r="A65" t="str">
        <f t="shared" si="0"/>
        <v>S064</v>
      </c>
      <c r="B65" t="str">
        <f t="shared" ca="1" si="1"/>
        <v>M032</v>
      </c>
      <c r="C65">
        <f t="shared" ca="1" si="2"/>
        <v>21</v>
      </c>
      <c r="D65" s="1">
        <f t="shared" ca="1" si="3"/>
        <v>46072</v>
      </c>
    </row>
    <row r="66" spans="1:4" x14ac:dyDescent="0.25">
      <c r="A66" t="str">
        <f t="shared" si="0"/>
        <v>S065</v>
      </c>
      <c r="B66" t="str">
        <f t="shared" ca="1" si="1"/>
        <v>M071</v>
      </c>
      <c r="C66">
        <f t="shared" ca="1" si="2"/>
        <v>2</v>
      </c>
      <c r="D66" s="1">
        <f t="shared" ca="1" si="3"/>
        <v>46112</v>
      </c>
    </row>
    <row r="67" spans="1:4" x14ac:dyDescent="0.25">
      <c r="A67" t="str">
        <f t="shared" ref="A67:A130" si="4">"S"&amp;TEXT(ROW(A66),"000")</f>
        <v>S066</v>
      </c>
      <c r="B67" t="str">
        <f t="shared" ref="B67:B130" ca="1" si="5">"M"&amp;TEXT(RANDBETWEEN(1,100),"000")</f>
        <v>M070</v>
      </c>
      <c r="C67">
        <f t="shared" ref="C67:C130" ca="1" si="6">RANDBETWEEN(1,30)</f>
        <v>23</v>
      </c>
      <c r="D67" s="1">
        <f t="shared" ref="D67:D130" ca="1" si="7">TODAY()-RANDBETWEEN(1,90)</f>
        <v>46051</v>
      </c>
    </row>
    <row r="68" spans="1:4" x14ac:dyDescent="0.25">
      <c r="A68" t="str">
        <f t="shared" si="4"/>
        <v>S067</v>
      </c>
      <c r="B68" t="str">
        <f t="shared" ca="1" si="5"/>
        <v>M042</v>
      </c>
      <c r="C68">
        <f t="shared" ca="1" si="6"/>
        <v>18</v>
      </c>
      <c r="D68" s="1">
        <f t="shared" ca="1" si="7"/>
        <v>46054</v>
      </c>
    </row>
    <row r="69" spans="1:4" x14ac:dyDescent="0.25">
      <c r="A69" t="str">
        <f t="shared" si="4"/>
        <v>S068</v>
      </c>
      <c r="B69" t="str">
        <f t="shared" ca="1" si="5"/>
        <v>M037</v>
      </c>
      <c r="C69">
        <f t="shared" ca="1" si="6"/>
        <v>24</v>
      </c>
      <c r="D69" s="1">
        <f t="shared" ca="1" si="7"/>
        <v>46033</v>
      </c>
    </row>
    <row r="70" spans="1:4" x14ac:dyDescent="0.25">
      <c r="A70" t="str">
        <f t="shared" si="4"/>
        <v>S069</v>
      </c>
      <c r="B70" t="str">
        <f t="shared" ca="1" si="5"/>
        <v>M010</v>
      </c>
      <c r="C70">
        <f t="shared" ca="1" si="6"/>
        <v>2</v>
      </c>
      <c r="D70" s="1">
        <f t="shared" ca="1" si="7"/>
        <v>46042</v>
      </c>
    </row>
    <row r="71" spans="1:4" x14ac:dyDescent="0.25">
      <c r="A71" t="str">
        <f t="shared" si="4"/>
        <v>S070</v>
      </c>
      <c r="B71" t="str">
        <f t="shared" ca="1" si="5"/>
        <v>M040</v>
      </c>
      <c r="C71">
        <f t="shared" ca="1" si="6"/>
        <v>16</v>
      </c>
      <c r="D71" s="1">
        <f t="shared" ca="1" si="7"/>
        <v>46107</v>
      </c>
    </row>
    <row r="72" spans="1:4" x14ac:dyDescent="0.25">
      <c r="A72" t="str">
        <f t="shared" si="4"/>
        <v>S071</v>
      </c>
      <c r="B72" t="str">
        <f t="shared" ca="1" si="5"/>
        <v>M043</v>
      </c>
      <c r="C72">
        <f t="shared" ca="1" si="6"/>
        <v>30</v>
      </c>
      <c r="D72" s="1">
        <f t="shared" ca="1" si="7"/>
        <v>46113</v>
      </c>
    </row>
    <row r="73" spans="1:4" x14ac:dyDescent="0.25">
      <c r="A73" t="str">
        <f t="shared" si="4"/>
        <v>S072</v>
      </c>
      <c r="B73" t="str">
        <f t="shared" ca="1" si="5"/>
        <v>M046</v>
      </c>
      <c r="C73">
        <f t="shared" ca="1" si="6"/>
        <v>29</v>
      </c>
      <c r="D73" s="1">
        <f t="shared" ca="1" si="7"/>
        <v>46058</v>
      </c>
    </row>
    <row r="74" spans="1:4" x14ac:dyDescent="0.25">
      <c r="A74" t="str">
        <f t="shared" si="4"/>
        <v>S073</v>
      </c>
      <c r="B74" t="str">
        <f t="shared" ca="1" si="5"/>
        <v>M049</v>
      </c>
      <c r="C74">
        <f t="shared" ca="1" si="6"/>
        <v>3</v>
      </c>
      <c r="D74" s="1">
        <f t="shared" ca="1" si="7"/>
        <v>46103</v>
      </c>
    </row>
    <row r="75" spans="1:4" x14ac:dyDescent="0.25">
      <c r="A75" t="str">
        <f t="shared" si="4"/>
        <v>S074</v>
      </c>
      <c r="B75" t="str">
        <f t="shared" ca="1" si="5"/>
        <v>M051</v>
      </c>
      <c r="C75">
        <f t="shared" ca="1" si="6"/>
        <v>18</v>
      </c>
      <c r="D75" s="1">
        <f t="shared" ca="1" si="7"/>
        <v>46046</v>
      </c>
    </row>
    <row r="76" spans="1:4" x14ac:dyDescent="0.25">
      <c r="A76" t="str">
        <f t="shared" si="4"/>
        <v>S075</v>
      </c>
      <c r="B76" t="str">
        <f t="shared" ca="1" si="5"/>
        <v>M072</v>
      </c>
      <c r="C76">
        <f t="shared" ca="1" si="6"/>
        <v>27</v>
      </c>
      <c r="D76" s="1">
        <f t="shared" ca="1" si="7"/>
        <v>46109</v>
      </c>
    </row>
    <row r="77" spans="1:4" x14ac:dyDescent="0.25">
      <c r="A77" t="str">
        <f t="shared" si="4"/>
        <v>S076</v>
      </c>
      <c r="B77" t="str">
        <f t="shared" ca="1" si="5"/>
        <v>M051</v>
      </c>
      <c r="C77">
        <f t="shared" ca="1" si="6"/>
        <v>5</v>
      </c>
      <c r="D77" s="1">
        <f t="shared" ca="1" si="7"/>
        <v>46043</v>
      </c>
    </row>
    <row r="78" spans="1:4" x14ac:dyDescent="0.25">
      <c r="A78" t="str">
        <f t="shared" si="4"/>
        <v>S077</v>
      </c>
      <c r="B78" t="str">
        <f t="shared" ca="1" si="5"/>
        <v>M054</v>
      </c>
      <c r="C78">
        <f t="shared" ca="1" si="6"/>
        <v>30</v>
      </c>
      <c r="D78" s="1">
        <f t="shared" ca="1" si="7"/>
        <v>46067</v>
      </c>
    </row>
    <row r="79" spans="1:4" x14ac:dyDescent="0.25">
      <c r="A79" t="str">
        <f t="shared" si="4"/>
        <v>S078</v>
      </c>
      <c r="B79" t="str">
        <f t="shared" ca="1" si="5"/>
        <v>M095</v>
      </c>
      <c r="C79">
        <f t="shared" ca="1" si="6"/>
        <v>23</v>
      </c>
      <c r="D79" s="1">
        <f t="shared" ca="1" si="7"/>
        <v>46097</v>
      </c>
    </row>
    <row r="80" spans="1:4" x14ac:dyDescent="0.25">
      <c r="A80" t="str">
        <f t="shared" si="4"/>
        <v>S079</v>
      </c>
      <c r="B80" t="str">
        <f t="shared" ca="1" si="5"/>
        <v>M066</v>
      </c>
      <c r="C80">
        <f t="shared" ca="1" si="6"/>
        <v>9</v>
      </c>
      <c r="D80" s="1">
        <f t="shared" ca="1" si="7"/>
        <v>46056</v>
      </c>
    </row>
    <row r="81" spans="1:4" x14ac:dyDescent="0.25">
      <c r="A81" t="str">
        <f t="shared" si="4"/>
        <v>S080</v>
      </c>
      <c r="B81" t="str">
        <f t="shared" ca="1" si="5"/>
        <v>M019</v>
      </c>
      <c r="C81">
        <f t="shared" ca="1" si="6"/>
        <v>20</v>
      </c>
      <c r="D81" s="1">
        <f t="shared" ca="1" si="7"/>
        <v>46030</v>
      </c>
    </row>
    <row r="82" spans="1:4" x14ac:dyDescent="0.25">
      <c r="A82" t="str">
        <f t="shared" si="4"/>
        <v>S081</v>
      </c>
      <c r="B82" t="str">
        <f t="shared" ca="1" si="5"/>
        <v>M056</v>
      </c>
      <c r="C82">
        <f t="shared" ca="1" si="6"/>
        <v>27</v>
      </c>
      <c r="D82" s="1">
        <f t="shared" ca="1" si="7"/>
        <v>46111</v>
      </c>
    </row>
    <row r="83" spans="1:4" x14ac:dyDescent="0.25">
      <c r="A83" t="str">
        <f t="shared" si="4"/>
        <v>S082</v>
      </c>
      <c r="B83" t="str">
        <f t="shared" ca="1" si="5"/>
        <v>M008</v>
      </c>
      <c r="C83">
        <f t="shared" ca="1" si="6"/>
        <v>2</v>
      </c>
      <c r="D83" s="1">
        <f t="shared" ca="1" si="7"/>
        <v>46089</v>
      </c>
    </row>
    <row r="84" spans="1:4" x14ac:dyDescent="0.25">
      <c r="A84" t="str">
        <f t="shared" si="4"/>
        <v>S083</v>
      </c>
      <c r="B84" t="str">
        <f t="shared" ca="1" si="5"/>
        <v>M049</v>
      </c>
      <c r="C84">
        <f t="shared" ca="1" si="6"/>
        <v>4</v>
      </c>
      <c r="D84" s="1">
        <f t="shared" ca="1" si="7"/>
        <v>46085</v>
      </c>
    </row>
    <row r="85" spans="1:4" x14ac:dyDescent="0.25">
      <c r="A85" t="str">
        <f t="shared" si="4"/>
        <v>S084</v>
      </c>
      <c r="B85" t="str">
        <f t="shared" ca="1" si="5"/>
        <v>M002</v>
      </c>
      <c r="C85">
        <f t="shared" ca="1" si="6"/>
        <v>9</v>
      </c>
      <c r="D85" s="1">
        <f t="shared" ca="1" si="7"/>
        <v>46036</v>
      </c>
    </row>
    <row r="86" spans="1:4" x14ac:dyDescent="0.25">
      <c r="A86" t="str">
        <f t="shared" si="4"/>
        <v>S085</v>
      </c>
      <c r="B86" t="str">
        <f t="shared" ca="1" si="5"/>
        <v>M026</v>
      </c>
      <c r="C86">
        <f t="shared" ca="1" si="6"/>
        <v>25</v>
      </c>
      <c r="D86" s="1">
        <f t="shared" ca="1" si="7"/>
        <v>46096</v>
      </c>
    </row>
    <row r="87" spans="1:4" x14ac:dyDescent="0.25">
      <c r="A87" t="str">
        <f t="shared" si="4"/>
        <v>S086</v>
      </c>
      <c r="B87" t="str">
        <f t="shared" ca="1" si="5"/>
        <v>M010</v>
      </c>
      <c r="C87">
        <f t="shared" ca="1" si="6"/>
        <v>20</v>
      </c>
      <c r="D87" s="1">
        <f t="shared" ca="1" si="7"/>
        <v>46066</v>
      </c>
    </row>
    <row r="88" spans="1:4" x14ac:dyDescent="0.25">
      <c r="A88" t="str">
        <f t="shared" si="4"/>
        <v>S087</v>
      </c>
      <c r="B88" t="str">
        <f t="shared" ca="1" si="5"/>
        <v>M096</v>
      </c>
      <c r="C88">
        <f t="shared" ca="1" si="6"/>
        <v>9</v>
      </c>
      <c r="D88" s="1">
        <f t="shared" ca="1" si="7"/>
        <v>46099</v>
      </c>
    </row>
    <row r="89" spans="1:4" x14ac:dyDescent="0.25">
      <c r="A89" t="str">
        <f t="shared" si="4"/>
        <v>S088</v>
      </c>
      <c r="B89" t="str">
        <f t="shared" ca="1" si="5"/>
        <v>M005</v>
      </c>
      <c r="C89">
        <f t="shared" ca="1" si="6"/>
        <v>10</v>
      </c>
      <c r="D89" s="1">
        <f t="shared" ca="1" si="7"/>
        <v>46041</v>
      </c>
    </row>
    <row r="90" spans="1:4" x14ac:dyDescent="0.25">
      <c r="A90" t="str">
        <f t="shared" si="4"/>
        <v>S089</v>
      </c>
      <c r="B90" t="str">
        <f t="shared" ca="1" si="5"/>
        <v>M066</v>
      </c>
      <c r="C90">
        <f t="shared" ca="1" si="6"/>
        <v>5</v>
      </c>
      <c r="D90" s="1">
        <f t="shared" ca="1" si="7"/>
        <v>46038</v>
      </c>
    </row>
    <row r="91" spans="1:4" x14ac:dyDescent="0.25">
      <c r="A91" t="str">
        <f t="shared" si="4"/>
        <v>S090</v>
      </c>
      <c r="B91" t="str">
        <f t="shared" ca="1" si="5"/>
        <v>M013</v>
      </c>
      <c r="C91">
        <f t="shared" ca="1" si="6"/>
        <v>27</v>
      </c>
      <c r="D91" s="1">
        <f t="shared" ca="1" si="7"/>
        <v>46111</v>
      </c>
    </row>
    <row r="92" spans="1:4" x14ac:dyDescent="0.25">
      <c r="A92" t="str">
        <f t="shared" si="4"/>
        <v>S091</v>
      </c>
      <c r="B92" t="str">
        <f t="shared" ca="1" si="5"/>
        <v>M001</v>
      </c>
      <c r="C92">
        <f t="shared" ca="1" si="6"/>
        <v>7</v>
      </c>
      <c r="D92" s="1">
        <f t="shared" ca="1" si="7"/>
        <v>46034</v>
      </c>
    </row>
    <row r="93" spans="1:4" x14ac:dyDescent="0.25">
      <c r="A93" t="str">
        <f t="shared" si="4"/>
        <v>S092</v>
      </c>
      <c r="B93" t="str">
        <f t="shared" ca="1" si="5"/>
        <v>M008</v>
      </c>
      <c r="C93">
        <f t="shared" ca="1" si="6"/>
        <v>9</v>
      </c>
      <c r="D93" s="1">
        <f t="shared" ca="1" si="7"/>
        <v>46111</v>
      </c>
    </row>
    <row r="94" spans="1:4" x14ac:dyDescent="0.25">
      <c r="A94" t="str">
        <f t="shared" si="4"/>
        <v>S093</v>
      </c>
      <c r="B94" t="str">
        <f t="shared" ca="1" si="5"/>
        <v>M024</v>
      </c>
      <c r="C94">
        <f t="shared" ca="1" si="6"/>
        <v>15</v>
      </c>
      <c r="D94" s="1">
        <f t="shared" ca="1" si="7"/>
        <v>46079</v>
      </c>
    </row>
    <row r="95" spans="1:4" x14ac:dyDescent="0.25">
      <c r="A95" t="str">
        <f t="shared" si="4"/>
        <v>S094</v>
      </c>
      <c r="B95" t="str">
        <f t="shared" ca="1" si="5"/>
        <v>M077</v>
      </c>
      <c r="C95">
        <f t="shared" ca="1" si="6"/>
        <v>16</v>
      </c>
      <c r="D95" s="1">
        <f t="shared" ca="1" si="7"/>
        <v>46042</v>
      </c>
    </row>
    <row r="96" spans="1:4" x14ac:dyDescent="0.25">
      <c r="A96" t="str">
        <f t="shared" si="4"/>
        <v>S095</v>
      </c>
      <c r="B96" t="str">
        <f t="shared" ca="1" si="5"/>
        <v>M079</v>
      </c>
      <c r="C96">
        <f t="shared" ca="1" si="6"/>
        <v>11</v>
      </c>
      <c r="D96" s="1">
        <f t="shared" ca="1" si="7"/>
        <v>46085</v>
      </c>
    </row>
    <row r="97" spans="1:4" x14ac:dyDescent="0.25">
      <c r="A97" t="str">
        <f t="shared" si="4"/>
        <v>S096</v>
      </c>
      <c r="B97" t="str">
        <f t="shared" ca="1" si="5"/>
        <v>M098</v>
      </c>
      <c r="C97">
        <f t="shared" ca="1" si="6"/>
        <v>4</v>
      </c>
      <c r="D97" s="1">
        <f t="shared" ca="1" si="7"/>
        <v>46053</v>
      </c>
    </row>
    <row r="98" spans="1:4" x14ac:dyDescent="0.25">
      <c r="A98" t="str">
        <f t="shared" si="4"/>
        <v>S097</v>
      </c>
      <c r="B98" t="str">
        <f t="shared" ca="1" si="5"/>
        <v>M016</v>
      </c>
      <c r="C98">
        <f t="shared" ca="1" si="6"/>
        <v>20</v>
      </c>
      <c r="D98" s="1">
        <f t="shared" ca="1" si="7"/>
        <v>46098</v>
      </c>
    </row>
    <row r="99" spans="1:4" x14ac:dyDescent="0.25">
      <c r="A99" t="str">
        <f t="shared" si="4"/>
        <v>S098</v>
      </c>
      <c r="B99" t="str">
        <f t="shared" ca="1" si="5"/>
        <v>M026</v>
      </c>
      <c r="C99">
        <f t="shared" ca="1" si="6"/>
        <v>7</v>
      </c>
      <c r="D99" s="1">
        <f t="shared" ca="1" si="7"/>
        <v>46073</v>
      </c>
    </row>
    <row r="100" spans="1:4" x14ac:dyDescent="0.25">
      <c r="A100" t="str">
        <f t="shared" si="4"/>
        <v>S099</v>
      </c>
      <c r="B100" t="str">
        <f t="shared" ca="1" si="5"/>
        <v>M025</v>
      </c>
      <c r="C100">
        <f t="shared" ca="1" si="6"/>
        <v>25</v>
      </c>
      <c r="D100" s="1">
        <f t="shared" ca="1" si="7"/>
        <v>46065</v>
      </c>
    </row>
    <row r="101" spans="1:4" x14ac:dyDescent="0.25">
      <c r="A101" t="str">
        <f t="shared" si="4"/>
        <v>S100</v>
      </c>
      <c r="B101" t="str">
        <f t="shared" ca="1" si="5"/>
        <v>M057</v>
      </c>
      <c r="C101">
        <f t="shared" ca="1" si="6"/>
        <v>25</v>
      </c>
      <c r="D101" s="1">
        <f t="shared" ca="1" si="7"/>
        <v>46110</v>
      </c>
    </row>
    <row r="102" spans="1:4" x14ac:dyDescent="0.25">
      <c r="A102" t="str">
        <f t="shared" si="4"/>
        <v>S101</v>
      </c>
      <c r="B102" t="str">
        <f t="shared" ca="1" si="5"/>
        <v>M030</v>
      </c>
      <c r="C102">
        <f t="shared" ca="1" si="6"/>
        <v>20</v>
      </c>
      <c r="D102" s="1">
        <f t="shared" ca="1" si="7"/>
        <v>46056</v>
      </c>
    </row>
    <row r="103" spans="1:4" x14ac:dyDescent="0.25">
      <c r="A103" t="str">
        <f t="shared" si="4"/>
        <v>S102</v>
      </c>
      <c r="B103" t="str">
        <f t="shared" ca="1" si="5"/>
        <v>M038</v>
      </c>
      <c r="C103">
        <f t="shared" ca="1" si="6"/>
        <v>8</v>
      </c>
      <c r="D103" s="1">
        <f t="shared" ca="1" si="7"/>
        <v>46031</v>
      </c>
    </row>
    <row r="104" spans="1:4" x14ac:dyDescent="0.25">
      <c r="A104" t="str">
        <f t="shared" si="4"/>
        <v>S103</v>
      </c>
      <c r="B104" t="str">
        <f t="shared" ca="1" si="5"/>
        <v>M047</v>
      </c>
      <c r="C104">
        <f t="shared" ca="1" si="6"/>
        <v>12</v>
      </c>
      <c r="D104" s="1">
        <f t="shared" ca="1" si="7"/>
        <v>46046</v>
      </c>
    </row>
    <row r="105" spans="1:4" x14ac:dyDescent="0.25">
      <c r="A105" t="str">
        <f t="shared" si="4"/>
        <v>S104</v>
      </c>
      <c r="B105" t="str">
        <f t="shared" ca="1" si="5"/>
        <v>M066</v>
      </c>
      <c r="C105">
        <f t="shared" ca="1" si="6"/>
        <v>21</v>
      </c>
      <c r="D105" s="1">
        <f t="shared" ca="1" si="7"/>
        <v>46050</v>
      </c>
    </row>
    <row r="106" spans="1:4" x14ac:dyDescent="0.25">
      <c r="A106" t="str">
        <f t="shared" si="4"/>
        <v>S105</v>
      </c>
      <c r="B106" t="str">
        <f t="shared" ca="1" si="5"/>
        <v>M038</v>
      </c>
      <c r="C106">
        <f t="shared" ca="1" si="6"/>
        <v>26</v>
      </c>
      <c r="D106" s="1">
        <f t="shared" ca="1" si="7"/>
        <v>46034</v>
      </c>
    </row>
    <row r="107" spans="1:4" x14ac:dyDescent="0.25">
      <c r="A107" t="str">
        <f t="shared" si="4"/>
        <v>S106</v>
      </c>
      <c r="B107" t="str">
        <f t="shared" ca="1" si="5"/>
        <v>M049</v>
      </c>
      <c r="C107">
        <f t="shared" ca="1" si="6"/>
        <v>20</v>
      </c>
      <c r="D107" s="1">
        <f t="shared" ca="1" si="7"/>
        <v>46113</v>
      </c>
    </row>
    <row r="108" spans="1:4" x14ac:dyDescent="0.25">
      <c r="A108" t="str">
        <f t="shared" si="4"/>
        <v>S107</v>
      </c>
      <c r="B108" t="str">
        <f t="shared" ca="1" si="5"/>
        <v>M038</v>
      </c>
      <c r="C108">
        <f t="shared" ca="1" si="6"/>
        <v>29</v>
      </c>
      <c r="D108" s="1">
        <f t="shared" ca="1" si="7"/>
        <v>46083</v>
      </c>
    </row>
    <row r="109" spans="1:4" x14ac:dyDescent="0.25">
      <c r="A109" t="str">
        <f t="shared" si="4"/>
        <v>S108</v>
      </c>
      <c r="B109" t="str">
        <f t="shared" ca="1" si="5"/>
        <v>M060</v>
      </c>
      <c r="C109">
        <f t="shared" ca="1" si="6"/>
        <v>5</v>
      </c>
      <c r="D109" s="1">
        <f t="shared" ca="1" si="7"/>
        <v>46062</v>
      </c>
    </row>
    <row r="110" spans="1:4" x14ac:dyDescent="0.25">
      <c r="A110" t="str">
        <f t="shared" si="4"/>
        <v>S109</v>
      </c>
      <c r="B110" t="str">
        <f t="shared" ca="1" si="5"/>
        <v>M004</v>
      </c>
      <c r="C110">
        <f t="shared" ca="1" si="6"/>
        <v>14</v>
      </c>
      <c r="D110" s="1">
        <f t="shared" ca="1" si="7"/>
        <v>46045</v>
      </c>
    </row>
    <row r="111" spans="1:4" x14ac:dyDescent="0.25">
      <c r="A111" t="str">
        <f t="shared" si="4"/>
        <v>S110</v>
      </c>
      <c r="B111" t="str">
        <f t="shared" ca="1" si="5"/>
        <v>M017</v>
      </c>
      <c r="C111">
        <f t="shared" ca="1" si="6"/>
        <v>25</v>
      </c>
      <c r="D111" s="1">
        <f t="shared" ca="1" si="7"/>
        <v>46116</v>
      </c>
    </row>
    <row r="112" spans="1:4" x14ac:dyDescent="0.25">
      <c r="A112" t="str">
        <f t="shared" si="4"/>
        <v>S111</v>
      </c>
      <c r="B112" t="str">
        <f t="shared" ca="1" si="5"/>
        <v>M072</v>
      </c>
      <c r="C112">
        <f t="shared" ca="1" si="6"/>
        <v>9</v>
      </c>
      <c r="D112" s="1">
        <f t="shared" ca="1" si="7"/>
        <v>46074</v>
      </c>
    </row>
    <row r="113" spans="1:4" x14ac:dyDescent="0.25">
      <c r="A113" t="str">
        <f t="shared" si="4"/>
        <v>S112</v>
      </c>
      <c r="B113" t="str">
        <f t="shared" ca="1" si="5"/>
        <v>M034</v>
      </c>
      <c r="C113">
        <f t="shared" ca="1" si="6"/>
        <v>24</v>
      </c>
      <c r="D113" s="1">
        <f t="shared" ca="1" si="7"/>
        <v>46075</v>
      </c>
    </row>
    <row r="114" spans="1:4" x14ac:dyDescent="0.25">
      <c r="A114" t="str">
        <f t="shared" si="4"/>
        <v>S113</v>
      </c>
      <c r="B114" t="str">
        <f t="shared" ca="1" si="5"/>
        <v>M094</v>
      </c>
      <c r="C114">
        <f t="shared" ca="1" si="6"/>
        <v>13</v>
      </c>
      <c r="D114" s="1">
        <f t="shared" ca="1" si="7"/>
        <v>46091</v>
      </c>
    </row>
    <row r="115" spans="1:4" x14ac:dyDescent="0.25">
      <c r="A115" t="str">
        <f t="shared" si="4"/>
        <v>S114</v>
      </c>
      <c r="B115" t="str">
        <f t="shared" ca="1" si="5"/>
        <v>M097</v>
      </c>
      <c r="C115">
        <f t="shared" ca="1" si="6"/>
        <v>2</v>
      </c>
      <c r="D115" s="1">
        <f t="shared" ca="1" si="7"/>
        <v>46092</v>
      </c>
    </row>
    <row r="116" spans="1:4" x14ac:dyDescent="0.25">
      <c r="A116" t="str">
        <f t="shared" si="4"/>
        <v>S115</v>
      </c>
      <c r="B116" t="str">
        <f t="shared" ca="1" si="5"/>
        <v>M021</v>
      </c>
      <c r="C116">
        <f t="shared" ca="1" si="6"/>
        <v>20</v>
      </c>
      <c r="D116" s="1">
        <f t="shared" ca="1" si="7"/>
        <v>46066</v>
      </c>
    </row>
    <row r="117" spans="1:4" x14ac:dyDescent="0.25">
      <c r="A117" t="str">
        <f t="shared" si="4"/>
        <v>S116</v>
      </c>
      <c r="B117" t="str">
        <f t="shared" ca="1" si="5"/>
        <v>M044</v>
      </c>
      <c r="C117">
        <f t="shared" ca="1" si="6"/>
        <v>29</v>
      </c>
      <c r="D117" s="1">
        <f t="shared" ca="1" si="7"/>
        <v>46073</v>
      </c>
    </row>
    <row r="118" spans="1:4" x14ac:dyDescent="0.25">
      <c r="A118" t="str">
        <f t="shared" si="4"/>
        <v>S117</v>
      </c>
      <c r="B118" t="str">
        <f t="shared" ca="1" si="5"/>
        <v>M052</v>
      </c>
      <c r="C118">
        <f t="shared" ca="1" si="6"/>
        <v>25</v>
      </c>
      <c r="D118" s="1">
        <f t="shared" ca="1" si="7"/>
        <v>46080</v>
      </c>
    </row>
    <row r="119" spans="1:4" x14ac:dyDescent="0.25">
      <c r="A119" t="str">
        <f t="shared" si="4"/>
        <v>S118</v>
      </c>
      <c r="B119" t="str">
        <f t="shared" ca="1" si="5"/>
        <v>M040</v>
      </c>
      <c r="C119">
        <f t="shared" ca="1" si="6"/>
        <v>9</v>
      </c>
      <c r="D119" s="1">
        <f t="shared" ca="1" si="7"/>
        <v>46067</v>
      </c>
    </row>
    <row r="120" spans="1:4" x14ac:dyDescent="0.25">
      <c r="A120" t="str">
        <f t="shared" si="4"/>
        <v>S119</v>
      </c>
      <c r="B120" t="str">
        <f t="shared" ca="1" si="5"/>
        <v>M090</v>
      </c>
      <c r="C120">
        <f t="shared" ca="1" si="6"/>
        <v>23</v>
      </c>
      <c r="D120" s="1">
        <f t="shared" ca="1" si="7"/>
        <v>46080</v>
      </c>
    </row>
    <row r="121" spans="1:4" x14ac:dyDescent="0.25">
      <c r="A121" t="str">
        <f t="shared" si="4"/>
        <v>S120</v>
      </c>
      <c r="B121" t="str">
        <f t="shared" ca="1" si="5"/>
        <v>M057</v>
      </c>
      <c r="C121">
        <f t="shared" ca="1" si="6"/>
        <v>7</v>
      </c>
      <c r="D121" s="1">
        <f t="shared" ca="1" si="7"/>
        <v>46095</v>
      </c>
    </row>
    <row r="122" spans="1:4" x14ac:dyDescent="0.25">
      <c r="A122" t="str">
        <f t="shared" si="4"/>
        <v>S121</v>
      </c>
      <c r="B122" t="str">
        <f t="shared" ca="1" si="5"/>
        <v>M012</v>
      </c>
      <c r="C122">
        <f t="shared" ca="1" si="6"/>
        <v>6</v>
      </c>
      <c r="D122" s="1">
        <f t="shared" ca="1" si="7"/>
        <v>46060</v>
      </c>
    </row>
    <row r="123" spans="1:4" x14ac:dyDescent="0.25">
      <c r="A123" t="str">
        <f t="shared" si="4"/>
        <v>S122</v>
      </c>
      <c r="B123" t="str">
        <f t="shared" ca="1" si="5"/>
        <v>M024</v>
      </c>
      <c r="C123">
        <f t="shared" ca="1" si="6"/>
        <v>13</v>
      </c>
      <c r="D123" s="1">
        <f t="shared" ca="1" si="7"/>
        <v>46067</v>
      </c>
    </row>
    <row r="124" spans="1:4" x14ac:dyDescent="0.25">
      <c r="A124" t="str">
        <f t="shared" si="4"/>
        <v>S123</v>
      </c>
      <c r="B124" t="str">
        <f t="shared" ca="1" si="5"/>
        <v>M090</v>
      </c>
      <c r="C124">
        <f t="shared" ca="1" si="6"/>
        <v>15</v>
      </c>
      <c r="D124" s="1">
        <f t="shared" ca="1" si="7"/>
        <v>46041</v>
      </c>
    </row>
    <row r="125" spans="1:4" x14ac:dyDescent="0.25">
      <c r="A125" t="str">
        <f t="shared" si="4"/>
        <v>S124</v>
      </c>
      <c r="B125" t="str">
        <f t="shared" ca="1" si="5"/>
        <v>M100</v>
      </c>
      <c r="C125">
        <f t="shared" ca="1" si="6"/>
        <v>14</v>
      </c>
      <c r="D125" s="1">
        <f t="shared" ca="1" si="7"/>
        <v>46105</v>
      </c>
    </row>
    <row r="126" spans="1:4" x14ac:dyDescent="0.25">
      <c r="A126" t="str">
        <f t="shared" si="4"/>
        <v>S125</v>
      </c>
      <c r="B126" t="str">
        <f t="shared" ca="1" si="5"/>
        <v>M004</v>
      </c>
      <c r="C126">
        <f t="shared" ca="1" si="6"/>
        <v>22</v>
      </c>
      <c r="D126" s="1">
        <f t="shared" ca="1" si="7"/>
        <v>46070</v>
      </c>
    </row>
    <row r="127" spans="1:4" x14ac:dyDescent="0.25">
      <c r="A127" t="str">
        <f t="shared" si="4"/>
        <v>S126</v>
      </c>
      <c r="B127" t="str">
        <f t="shared" ca="1" si="5"/>
        <v>M052</v>
      </c>
      <c r="C127">
        <f t="shared" ca="1" si="6"/>
        <v>12</v>
      </c>
      <c r="D127" s="1">
        <f t="shared" ca="1" si="7"/>
        <v>46042</v>
      </c>
    </row>
    <row r="128" spans="1:4" x14ac:dyDescent="0.25">
      <c r="A128" t="str">
        <f t="shared" si="4"/>
        <v>S127</v>
      </c>
      <c r="B128" t="str">
        <f t="shared" ca="1" si="5"/>
        <v>M014</v>
      </c>
      <c r="C128">
        <f t="shared" ca="1" si="6"/>
        <v>13</v>
      </c>
      <c r="D128" s="1">
        <f t="shared" ca="1" si="7"/>
        <v>46054</v>
      </c>
    </row>
    <row r="129" spans="1:4" x14ac:dyDescent="0.25">
      <c r="A129" t="str">
        <f t="shared" si="4"/>
        <v>S128</v>
      </c>
      <c r="B129" t="str">
        <f t="shared" ca="1" si="5"/>
        <v>M024</v>
      </c>
      <c r="C129">
        <f t="shared" ca="1" si="6"/>
        <v>9</v>
      </c>
      <c r="D129" s="1">
        <f t="shared" ca="1" si="7"/>
        <v>46055</v>
      </c>
    </row>
    <row r="130" spans="1:4" x14ac:dyDescent="0.25">
      <c r="A130" t="str">
        <f t="shared" si="4"/>
        <v>S129</v>
      </c>
      <c r="B130" t="str">
        <f t="shared" ca="1" si="5"/>
        <v>M079</v>
      </c>
      <c r="C130">
        <f t="shared" ca="1" si="6"/>
        <v>13</v>
      </c>
      <c r="D130" s="1">
        <f t="shared" ca="1" si="7"/>
        <v>46110</v>
      </c>
    </row>
    <row r="131" spans="1:4" x14ac:dyDescent="0.25">
      <c r="A131" t="str">
        <f t="shared" ref="A131:A194" si="8">"S"&amp;TEXT(ROW(A130),"000")</f>
        <v>S130</v>
      </c>
      <c r="B131" t="str">
        <f t="shared" ref="B131:B194" ca="1" si="9">"M"&amp;TEXT(RANDBETWEEN(1,100),"000")</f>
        <v>M065</v>
      </c>
      <c r="C131">
        <f t="shared" ref="C131:C194" ca="1" si="10">RANDBETWEEN(1,30)</f>
        <v>18</v>
      </c>
      <c r="D131" s="1">
        <f t="shared" ref="D131:D194" ca="1" si="11">TODAY()-RANDBETWEEN(1,90)</f>
        <v>46093</v>
      </c>
    </row>
    <row r="132" spans="1:4" x14ac:dyDescent="0.25">
      <c r="A132" t="str">
        <f t="shared" si="8"/>
        <v>S131</v>
      </c>
      <c r="B132" t="str">
        <f t="shared" ca="1" si="9"/>
        <v>M066</v>
      </c>
      <c r="C132">
        <f t="shared" ca="1" si="10"/>
        <v>16</v>
      </c>
      <c r="D132" s="1">
        <f t="shared" ca="1" si="11"/>
        <v>46092</v>
      </c>
    </row>
    <row r="133" spans="1:4" x14ac:dyDescent="0.25">
      <c r="A133" t="str">
        <f t="shared" si="8"/>
        <v>S132</v>
      </c>
      <c r="B133" t="str">
        <f t="shared" ca="1" si="9"/>
        <v>M061</v>
      </c>
      <c r="C133">
        <f t="shared" ca="1" si="10"/>
        <v>16</v>
      </c>
      <c r="D133" s="1">
        <f t="shared" ca="1" si="11"/>
        <v>46032</v>
      </c>
    </row>
    <row r="134" spans="1:4" x14ac:dyDescent="0.25">
      <c r="A134" t="str">
        <f t="shared" si="8"/>
        <v>S133</v>
      </c>
      <c r="B134" t="str">
        <f t="shared" ca="1" si="9"/>
        <v>M053</v>
      </c>
      <c r="C134">
        <f t="shared" ca="1" si="10"/>
        <v>16</v>
      </c>
      <c r="D134" s="1">
        <f t="shared" ca="1" si="11"/>
        <v>46068</v>
      </c>
    </row>
    <row r="135" spans="1:4" x14ac:dyDescent="0.25">
      <c r="A135" t="str">
        <f t="shared" si="8"/>
        <v>S134</v>
      </c>
      <c r="B135" t="str">
        <f t="shared" ca="1" si="9"/>
        <v>M027</v>
      </c>
      <c r="C135">
        <f t="shared" ca="1" si="10"/>
        <v>22</v>
      </c>
      <c r="D135" s="1">
        <f t="shared" ca="1" si="11"/>
        <v>46087</v>
      </c>
    </row>
    <row r="136" spans="1:4" x14ac:dyDescent="0.25">
      <c r="A136" t="str">
        <f t="shared" si="8"/>
        <v>S135</v>
      </c>
      <c r="B136" t="str">
        <f t="shared" ca="1" si="9"/>
        <v>M048</v>
      </c>
      <c r="C136">
        <f t="shared" ca="1" si="10"/>
        <v>29</v>
      </c>
      <c r="D136" s="1">
        <f t="shared" ca="1" si="11"/>
        <v>46068</v>
      </c>
    </row>
    <row r="137" spans="1:4" x14ac:dyDescent="0.25">
      <c r="A137" t="str">
        <f t="shared" si="8"/>
        <v>S136</v>
      </c>
      <c r="B137" t="str">
        <f t="shared" ca="1" si="9"/>
        <v>M050</v>
      </c>
      <c r="C137">
        <f t="shared" ca="1" si="10"/>
        <v>23</v>
      </c>
      <c r="D137" s="1">
        <f t="shared" ca="1" si="11"/>
        <v>46066</v>
      </c>
    </row>
    <row r="138" spans="1:4" x14ac:dyDescent="0.25">
      <c r="A138" t="str">
        <f t="shared" si="8"/>
        <v>S137</v>
      </c>
      <c r="B138" t="str">
        <f t="shared" ca="1" si="9"/>
        <v>M018</v>
      </c>
      <c r="C138">
        <f t="shared" ca="1" si="10"/>
        <v>10</v>
      </c>
      <c r="D138" s="1">
        <f t="shared" ca="1" si="11"/>
        <v>46048</v>
      </c>
    </row>
    <row r="139" spans="1:4" x14ac:dyDescent="0.25">
      <c r="A139" t="str">
        <f t="shared" si="8"/>
        <v>S138</v>
      </c>
      <c r="B139" t="str">
        <f t="shared" ca="1" si="9"/>
        <v>M043</v>
      </c>
      <c r="C139">
        <f t="shared" ca="1" si="10"/>
        <v>1</v>
      </c>
      <c r="D139" s="1">
        <f t="shared" ca="1" si="11"/>
        <v>46093</v>
      </c>
    </row>
    <row r="140" spans="1:4" x14ac:dyDescent="0.25">
      <c r="A140" t="str">
        <f t="shared" si="8"/>
        <v>S139</v>
      </c>
      <c r="B140" t="str">
        <f t="shared" ca="1" si="9"/>
        <v>M004</v>
      </c>
      <c r="C140">
        <f t="shared" ca="1" si="10"/>
        <v>16</v>
      </c>
      <c r="D140" s="1">
        <f t="shared" ca="1" si="11"/>
        <v>46039</v>
      </c>
    </row>
    <row r="141" spans="1:4" x14ac:dyDescent="0.25">
      <c r="A141" t="str">
        <f t="shared" si="8"/>
        <v>S140</v>
      </c>
      <c r="B141" t="str">
        <f t="shared" ca="1" si="9"/>
        <v>M042</v>
      </c>
      <c r="C141">
        <f t="shared" ca="1" si="10"/>
        <v>23</v>
      </c>
      <c r="D141" s="1">
        <f t="shared" ca="1" si="11"/>
        <v>46054</v>
      </c>
    </row>
    <row r="142" spans="1:4" x14ac:dyDescent="0.25">
      <c r="A142" t="str">
        <f t="shared" si="8"/>
        <v>S141</v>
      </c>
      <c r="B142" t="str">
        <f t="shared" ca="1" si="9"/>
        <v>M047</v>
      </c>
      <c r="C142">
        <f t="shared" ca="1" si="10"/>
        <v>25</v>
      </c>
      <c r="D142" s="1">
        <f t="shared" ca="1" si="11"/>
        <v>46099</v>
      </c>
    </row>
    <row r="143" spans="1:4" x14ac:dyDescent="0.25">
      <c r="A143" t="str">
        <f t="shared" si="8"/>
        <v>S142</v>
      </c>
      <c r="B143" t="str">
        <f t="shared" ca="1" si="9"/>
        <v>M017</v>
      </c>
      <c r="C143">
        <f t="shared" ca="1" si="10"/>
        <v>18</v>
      </c>
      <c r="D143" s="1">
        <f t="shared" ca="1" si="11"/>
        <v>46103</v>
      </c>
    </row>
    <row r="144" spans="1:4" x14ac:dyDescent="0.25">
      <c r="A144" t="str">
        <f t="shared" si="8"/>
        <v>S143</v>
      </c>
      <c r="B144" t="str">
        <f t="shared" ca="1" si="9"/>
        <v>M069</v>
      </c>
      <c r="C144">
        <f t="shared" ca="1" si="10"/>
        <v>26</v>
      </c>
      <c r="D144" s="1">
        <f t="shared" ca="1" si="11"/>
        <v>46061</v>
      </c>
    </row>
    <row r="145" spans="1:4" x14ac:dyDescent="0.25">
      <c r="A145" t="str">
        <f t="shared" si="8"/>
        <v>S144</v>
      </c>
      <c r="B145" t="str">
        <f t="shared" ca="1" si="9"/>
        <v>M076</v>
      </c>
      <c r="C145">
        <f t="shared" ca="1" si="10"/>
        <v>11</v>
      </c>
      <c r="D145" s="1">
        <f t="shared" ca="1" si="11"/>
        <v>46040</v>
      </c>
    </row>
    <row r="146" spans="1:4" x14ac:dyDescent="0.25">
      <c r="A146" t="str">
        <f t="shared" si="8"/>
        <v>S145</v>
      </c>
      <c r="B146" t="str">
        <f t="shared" ca="1" si="9"/>
        <v>M080</v>
      </c>
      <c r="C146">
        <f t="shared" ca="1" si="10"/>
        <v>30</v>
      </c>
      <c r="D146" s="1">
        <f t="shared" ca="1" si="11"/>
        <v>46059</v>
      </c>
    </row>
    <row r="147" spans="1:4" x14ac:dyDescent="0.25">
      <c r="A147" t="str">
        <f t="shared" si="8"/>
        <v>S146</v>
      </c>
      <c r="B147" t="str">
        <f t="shared" ca="1" si="9"/>
        <v>M087</v>
      </c>
      <c r="C147">
        <f t="shared" ca="1" si="10"/>
        <v>11</v>
      </c>
      <c r="D147" s="1">
        <f t="shared" ca="1" si="11"/>
        <v>46113</v>
      </c>
    </row>
    <row r="148" spans="1:4" x14ac:dyDescent="0.25">
      <c r="A148" t="str">
        <f t="shared" si="8"/>
        <v>S147</v>
      </c>
      <c r="B148" t="str">
        <f t="shared" ca="1" si="9"/>
        <v>M089</v>
      </c>
      <c r="C148">
        <f t="shared" ca="1" si="10"/>
        <v>13</v>
      </c>
      <c r="D148" s="1">
        <f t="shared" ca="1" si="11"/>
        <v>46068</v>
      </c>
    </row>
    <row r="149" spans="1:4" x14ac:dyDescent="0.25">
      <c r="A149" t="str">
        <f t="shared" si="8"/>
        <v>S148</v>
      </c>
      <c r="B149" t="str">
        <f t="shared" ca="1" si="9"/>
        <v>M066</v>
      </c>
      <c r="C149">
        <f t="shared" ca="1" si="10"/>
        <v>7</v>
      </c>
      <c r="D149" s="1">
        <f t="shared" ca="1" si="11"/>
        <v>46031</v>
      </c>
    </row>
    <row r="150" spans="1:4" x14ac:dyDescent="0.25">
      <c r="A150" t="str">
        <f t="shared" si="8"/>
        <v>S149</v>
      </c>
      <c r="B150" t="str">
        <f t="shared" ca="1" si="9"/>
        <v>M036</v>
      </c>
      <c r="C150">
        <f t="shared" ca="1" si="10"/>
        <v>29</v>
      </c>
      <c r="D150" s="1">
        <f t="shared" ca="1" si="11"/>
        <v>46117</v>
      </c>
    </row>
    <row r="151" spans="1:4" x14ac:dyDescent="0.25">
      <c r="A151" t="str">
        <f t="shared" si="8"/>
        <v>S150</v>
      </c>
      <c r="B151" t="str">
        <f t="shared" ca="1" si="9"/>
        <v>M026</v>
      </c>
      <c r="C151">
        <f t="shared" ca="1" si="10"/>
        <v>23</v>
      </c>
      <c r="D151" s="1">
        <f t="shared" ca="1" si="11"/>
        <v>46072</v>
      </c>
    </row>
    <row r="152" spans="1:4" x14ac:dyDescent="0.25">
      <c r="A152" t="str">
        <f t="shared" si="8"/>
        <v>S151</v>
      </c>
      <c r="B152" t="str">
        <f t="shared" ca="1" si="9"/>
        <v>M063</v>
      </c>
      <c r="C152">
        <f t="shared" ca="1" si="10"/>
        <v>16</v>
      </c>
      <c r="D152" s="1">
        <f t="shared" ca="1" si="11"/>
        <v>46057</v>
      </c>
    </row>
    <row r="153" spans="1:4" x14ac:dyDescent="0.25">
      <c r="A153" t="str">
        <f t="shared" si="8"/>
        <v>S152</v>
      </c>
      <c r="B153" t="str">
        <f t="shared" ca="1" si="9"/>
        <v>M012</v>
      </c>
      <c r="C153">
        <f t="shared" ca="1" si="10"/>
        <v>3</v>
      </c>
      <c r="D153" s="1">
        <f t="shared" ca="1" si="11"/>
        <v>46058</v>
      </c>
    </row>
    <row r="154" spans="1:4" x14ac:dyDescent="0.25">
      <c r="A154" t="str">
        <f t="shared" si="8"/>
        <v>S153</v>
      </c>
      <c r="B154" t="str">
        <f t="shared" ca="1" si="9"/>
        <v>M085</v>
      </c>
      <c r="C154">
        <f t="shared" ca="1" si="10"/>
        <v>18</v>
      </c>
      <c r="D154" s="1">
        <f t="shared" ca="1" si="11"/>
        <v>46064</v>
      </c>
    </row>
    <row r="155" spans="1:4" x14ac:dyDescent="0.25">
      <c r="A155" t="str">
        <f t="shared" si="8"/>
        <v>S154</v>
      </c>
      <c r="B155" t="str">
        <f t="shared" ca="1" si="9"/>
        <v>M069</v>
      </c>
      <c r="C155">
        <f t="shared" ca="1" si="10"/>
        <v>7</v>
      </c>
      <c r="D155" s="1">
        <f t="shared" ca="1" si="11"/>
        <v>46049</v>
      </c>
    </row>
    <row r="156" spans="1:4" x14ac:dyDescent="0.25">
      <c r="A156" t="str">
        <f t="shared" si="8"/>
        <v>S155</v>
      </c>
      <c r="B156" t="str">
        <f t="shared" ca="1" si="9"/>
        <v>M089</v>
      </c>
      <c r="C156">
        <f t="shared" ca="1" si="10"/>
        <v>28</v>
      </c>
      <c r="D156" s="1">
        <f t="shared" ca="1" si="11"/>
        <v>46049</v>
      </c>
    </row>
    <row r="157" spans="1:4" x14ac:dyDescent="0.25">
      <c r="A157" t="str">
        <f t="shared" si="8"/>
        <v>S156</v>
      </c>
      <c r="B157" t="str">
        <f t="shared" ca="1" si="9"/>
        <v>M057</v>
      </c>
      <c r="C157">
        <f t="shared" ca="1" si="10"/>
        <v>26</v>
      </c>
      <c r="D157" s="1">
        <f t="shared" ca="1" si="11"/>
        <v>46032</v>
      </c>
    </row>
    <row r="158" spans="1:4" x14ac:dyDescent="0.25">
      <c r="A158" t="str">
        <f t="shared" si="8"/>
        <v>S157</v>
      </c>
      <c r="B158" t="str">
        <f t="shared" ca="1" si="9"/>
        <v>M020</v>
      </c>
      <c r="C158">
        <f t="shared" ca="1" si="10"/>
        <v>23</v>
      </c>
      <c r="D158" s="1">
        <f t="shared" ca="1" si="11"/>
        <v>46100</v>
      </c>
    </row>
    <row r="159" spans="1:4" x14ac:dyDescent="0.25">
      <c r="A159" t="str">
        <f t="shared" si="8"/>
        <v>S158</v>
      </c>
      <c r="B159" t="str">
        <f t="shared" ca="1" si="9"/>
        <v>M091</v>
      </c>
      <c r="C159">
        <f t="shared" ca="1" si="10"/>
        <v>25</v>
      </c>
      <c r="D159" s="1">
        <f t="shared" ca="1" si="11"/>
        <v>46036</v>
      </c>
    </row>
    <row r="160" spans="1:4" x14ac:dyDescent="0.25">
      <c r="A160" t="str">
        <f t="shared" si="8"/>
        <v>S159</v>
      </c>
      <c r="B160" t="str">
        <f t="shared" ca="1" si="9"/>
        <v>M090</v>
      </c>
      <c r="C160">
        <f t="shared" ca="1" si="10"/>
        <v>1</v>
      </c>
      <c r="D160" s="1">
        <f t="shared" ca="1" si="11"/>
        <v>46045</v>
      </c>
    </row>
    <row r="161" spans="1:4" x14ac:dyDescent="0.25">
      <c r="A161" t="str">
        <f t="shared" si="8"/>
        <v>S160</v>
      </c>
      <c r="B161" t="str">
        <f t="shared" ca="1" si="9"/>
        <v>M039</v>
      </c>
      <c r="C161">
        <f t="shared" ca="1" si="10"/>
        <v>3</v>
      </c>
      <c r="D161" s="1">
        <f t="shared" ca="1" si="11"/>
        <v>46035</v>
      </c>
    </row>
    <row r="162" spans="1:4" x14ac:dyDescent="0.25">
      <c r="A162" t="str">
        <f t="shared" si="8"/>
        <v>S161</v>
      </c>
      <c r="B162" t="str">
        <f t="shared" ca="1" si="9"/>
        <v>M027</v>
      </c>
      <c r="C162">
        <f t="shared" ca="1" si="10"/>
        <v>12</v>
      </c>
      <c r="D162" s="1">
        <f t="shared" ca="1" si="11"/>
        <v>46112</v>
      </c>
    </row>
    <row r="163" spans="1:4" x14ac:dyDescent="0.25">
      <c r="A163" t="str">
        <f t="shared" si="8"/>
        <v>S162</v>
      </c>
      <c r="B163" t="str">
        <f t="shared" ca="1" si="9"/>
        <v>M016</v>
      </c>
      <c r="C163">
        <f t="shared" ca="1" si="10"/>
        <v>19</v>
      </c>
      <c r="D163" s="1">
        <f t="shared" ca="1" si="11"/>
        <v>46103</v>
      </c>
    </row>
    <row r="164" spans="1:4" x14ac:dyDescent="0.25">
      <c r="A164" t="str">
        <f t="shared" si="8"/>
        <v>S163</v>
      </c>
      <c r="B164" t="str">
        <f t="shared" ca="1" si="9"/>
        <v>M017</v>
      </c>
      <c r="C164">
        <f t="shared" ca="1" si="10"/>
        <v>4</v>
      </c>
      <c r="D164" s="1">
        <f t="shared" ca="1" si="11"/>
        <v>46054</v>
      </c>
    </row>
    <row r="165" spans="1:4" x14ac:dyDescent="0.25">
      <c r="A165" t="str">
        <f t="shared" si="8"/>
        <v>S164</v>
      </c>
      <c r="B165" t="str">
        <f t="shared" ca="1" si="9"/>
        <v>M040</v>
      </c>
      <c r="C165">
        <f t="shared" ca="1" si="10"/>
        <v>28</v>
      </c>
      <c r="D165" s="1">
        <f t="shared" ca="1" si="11"/>
        <v>46076</v>
      </c>
    </row>
    <row r="166" spans="1:4" x14ac:dyDescent="0.25">
      <c r="A166" t="str">
        <f t="shared" si="8"/>
        <v>S165</v>
      </c>
      <c r="B166" t="str">
        <f t="shared" ca="1" si="9"/>
        <v>M095</v>
      </c>
      <c r="C166">
        <f t="shared" ca="1" si="10"/>
        <v>26</v>
      </c>
      <c r="D166" s="1">
        <f t="shared" ca="1" si="11"/>
        <v>46039</v>
      </c>
    </row>
    <row r="167" spans="1:4" x14ac:dyDescent="0.25">
      <c r="A167" t="str">
        <f t="shared" si="8"/>
        <v>S166</v>
      </c>
      <c r="B167" t="str">
        <f t="shared" ca="1" si="9"/>
        <v>M068</v>
      </c>
      <c r="C167">
        <f t="shared" ca="1" si="10"/>
        <v>10</v>
      </c>
      <c r="D167" s="1">
        <f t="shared" ca="1" si="11"/>
        <v>46051</v>
      </c>
    </row>
    <row r="168" spans="1:4" x14ac:dyDescent="0.25">
      <c r="A168" t="str">
        <f t="shared" si="8"/>
        <v>S167</v>
      </c>
      <c r="B168" t="str">
        <f t="shared" ca="1" si="9"/>
        <v>M075</v>
      </c>
      <c r="C168">
        <f t="shared" ca="1" si="10"/>
        <v>14</v>
      </c>
      <c r="D168" s="1">
        <f t="shared" ca="1" si="11"/>
        <v>46033</v>
      </c>
    </row>
    <row r="169" spans="1:4" x14ac:dyDescent="0.25">
      <c r="A169" t="str">
        <f t="shared" si="8"/>
        <v>S168</v>
      </c>
      <c r="B169" t="str">
        <f t="shared" ca="1" si="9"/>
        <v>M055</v>
      </c>
      <c r="C169">
        <f t="shared" ca="1" si="10"/>
        <v>15</v>
      </c>
      <c r="D169" s="1">
        <f t="shared" ca="1" si="11"/>
        <v>46100</v>
      </c>
    </row>
    <row r="170" spans="1:4" x14ac:dyDescent="0.25">
      <c r="A170" t="str">
        <f t="shared" si="8"/>
        <v>S169</v>
      </c>
      <c r="B170" t="str">
        <f t="shared" ca="1" si="9"/>
        <v>M066</v>
      </c>
      <c r="C170">
        <f t="shared" ca="1" si="10"/>
        <v>4</v>
      </c>
      <c r="D170" s="1">
        <f t="shared" ca="1" si="11"/>
        <v>46061</v>
      </c>
    </row>
    <row r="171" spans="1:4" x14ac:dyDescent="0.25">
      <c r="A171" t="str">
        <f t="shared" si="8"/>
        <v>S170</v>
      </c>
      <c r="B171" t="str">
        <f t="shared" ca="1" si="9"/>
        <v>M011</v>
      </c>
      <c r="C171">
        <f t="shared" ca="1" si="10"/>
        <v>24</v>
      </c>
      <c r="D171" s="1">
        <f t="shared" ca="1" si="11"/>
        <v>46095</v>
      </c>
    </row>
    <row r="172" spans="1:4" x14ac:dyDescent="0.25">
      <c r="A172" t="str">
        <f t="shared" si="8"/>
        <v>S171</v>
      </c>
      <c r="B172" t="str">
        <f t="shared" ca="1" si="9"/>
        <v>M057</v>
      </c>
      <c r="C172">
        <f t="shared" ca="1" si="10"/>
        <v>22</v>
      </c>
      <c r="D172" s="1">
        <f t="shared" ca="1" si="11"/>
        <v>46043</v>
      </c>
    </row>
    <row r="173" spans="1:4" x14ac:dyDescent="0.25">
      <c r="A173" t="str">
        <f t="shared" si="8"/>
        <v>S172</v>
      </c>
      <c r="B173" t="str">
        <f t="shared" ca="1" si="9"/>
        <v>M098</v>
      </c>
      <c r="C173">
        <f t="shared" ca="1" si="10"/>
        <v>1</v>
      </c>
      <c r="D173" s="1">
        <f t="shared" ca="1" si="11"/>
        <v>46106</v>
      </c>
    </row>
    <row r="174" spans="1:4" x14ac:dyDescent="0.25">
      <c r="A174" t="str">
        <f t="shared" si="8"/>
        <v>S173</v>
      </c>
      <c r="B174" t="str">
        <f t="shared" ca="1" si="9"/>
        <v>M008</v>
      </c>
      <c r="C174">
        <f t="shared" ca="1" si="10"/>
        <v>17</v>
      </c>
      <c r="D174" s="1">
        <f t="shared" ca="1" si="11"/>
        <v>46069</v>
      </c>
    </row>
    <row r="175" spans="1:4" x14ac:dyDescent="0.25">
      <c r="A175" t="str">
        <f t="shared" si="8"/>
        <v>S174</v>
      </c>
      <c r="B175" t="str">
        <f t="shared" ca="1" si="9"/>
        <v>M053</v>
      </c>
      <c r="C175">
        <f t="shared" ca="1" si="10"/>
        <v>1</v>
      </c>
      <c r="D175" s="1">
        <f t="shared" ca="1" si="11"/>
        <v>46048</v>
      </c>
    </row>
    <row r="176" spans="1:4" x14ac:dyDescent="0.25">
      <c r="A176" t="str">
        <f t="shared" si="8"/>
        <v>S175</v>
      </c>
      <c r="B176" t="str">
        <f t="shared" ca="1" si="9"/>
        <v>M088</v>
      </c>
      <c r="C176">
        <f t="shared" ca="1" si="10"/>
        <v>1</v>
      </c>
      <c r="D176" s="1">
        <f t="shared" ca="1" si="11"/>
        <v>46118</v>
      </c>
    </row>
    <row r="177" spans="1:4" x14ac:dyDescent="0.25">
      <c r="A177" t="str">
        <f t="shared" si="8"/>
        <v>S176</v>
      </c>
      <c r="B177" t="str">
        <f t="shared" ca="1" si="9"/>
        <v>M024</v>
      </c>
      <c r="C177">
        <f t="shared" ca="1" si="10"/>
        <v>20</v>
      </c>
      <c r="D177" s="1">
        <f t="shared" ca="1" si="11"/>
        <v>46072</v>
      </c>
    </row>
    <row r="178" spans="1:4" x14ac:dyDescent="0.25">
      <c r="A178" t="str">
        <f t="shared" si="8"/>
        <v>S177</v>
      </c>
      <c r="B178" t="str">
        <f t="shared" ca="1" si="9"/>
        <v>M003</v>
      </c>
      <c r="C178">
        <f t="shared" ca="1" si="10"/>
        <v>28</v>
      </c>
      <c r="D178" s="1">
        <f t="shared" ca="1" si="11"/>
        <v>46094</v>
      </c>
    </row>
    <row r="179" spans="1:4" x14ac:dyDescent="0.25">
      <c r="A179" t="str">
        <f t="shared" si="8"/>
        <v>S178</v>
      </c>
      <c r="B179" t="str">
        <f t="shared" ca="1" si="9"/>
        <v>M005</v>
      </c>
      <c r="C179">
        <f t="shared" ca="1" si="10"/>
        <v>8</v>
      </c>
      <c r="D179" s="1">
        <f t="shared" ca="1" si="11"/>
        <v>46035</v>
      </c>
    </row>
    <row r="180" spans="1:4" x14ac:dyDescent="0.25">
      <c r="A180" t="str">
        <f t="shared" si="8"/>
        <v>S179</v>
      </c>
      <c r="B180" t="str">
        <f t="shared" ca="1" si="9"/>
        <v>M071</v>
      </c>
      <c r="C180">
        <f t="shared" ca="1" si="10"/>
        <v>4</v>
      </c>
      <c r="D180" s="1">
        <f t="shared" ca="1" si="11"/>
        <v>46062</v>
      </c>
    </row>
    <row r="181" spans="1:4" x14ac:dyDescent="0.25">
      <c r="A181" t="str">
        <f t="shared" si="8"/>
        <v>S180</v>
      </c>
      <c r="B181" t="str">
        <f t="shared" ca="1" si="9"/>
        <v>M029</v>
      </c>
      <c r="C181">
        <f t="shared" ca="1" si="10"/>
        <v>14</v>
      </c>
      <c r="D181" s="1">
        <f t="shared" ca="1" si="11"/>
        <v>46111</v>
      </c>
    </row>
    <row r="182" spans="1:4" x14ac:dyDescent="0.25">
      <c r="A182" t="str">
        <f t="shared" si="8"/>
        <v>S181</v>
      </c>
      <c r="B182" t="str">
        <f t="shared" ca="1" si="9"/>
        <v>M051</v>
      </c>
      <c r="C182">
        <f t="shared" ca="1" si="10"/>
        <v>11</v>
      </c>
      <c r="D182" s="1">
        <f t="shared" ca="1" si="11"/>
        <v>46064</v>
      </c>
    </row>
    <row r="183" spans="1:4" x14ac:dyDescent="0.25">
      <c r="A183" t="str">
        <f t="shared" si="8"/>
        <v>S182</v>
      </c>
      <c r="B183" t="str">
        <f t="shared" ca="1" si="9"/>
        <v>M053</v>
      </c>
      <c r="C183">
        <f t="shared" ca="1" si="10"/>
        <v>16</v>
      </c>
      <c r="D183" s="1">
        <f t="shared" ca="1" si="11"/>
        <v>46083</v>
      </c>
    </row>
    <row r="184" spans="1:4" x14ac:dyDescent="0.25">
      <c r="A184" t="str">
        <f t="shared" si="8"/>
        <v>S183</v>
      </c>
      <c r="B184" t="str">
        <f t="shared" ca="1" si="9"/>
        <v>M086</v>
      </c>
      <c r="C184">
        <f t="shared" ca="1" si="10"/>
        <v>25</v>
      </c>
      <c r="D184" s="1">
        <f t="shared" ca="1" si="11"/>
        <v>46068</v>
      </c>
    </row>
    <row r="185" spans="1:4" x14ac:dyDescent="0.25">
      <c r="A185" t="str">
        <f t="shared" si="8"/>
        <v>S184</v>
      </c>
      <c r="B185" t="str">
        <f t="shared" ca="1" si="9"/>
        <v>M028</v>
      </c>
      <c r="C185">
        <f t="shared" ca="1" si="10"/>
        <v>2</v>
      </c>
      <c r="D185" s="1">
        <f t="shared" ca="1" si="11"/>
        <v>46069</v>
      </c>
    </row>
    <row r="186" spans="1:4" x14ac:dyDescent="0.25">
      <c r="A186" t="str">
        <f t="shared" si="8"/>
        <v>S185</v>
      </c>
      <c r="B186" t="str">
        <f t="shared" ca="1" si="9"/>
        <v>M048</v>
      </c>
      <c r="C186">
        <f t="shared" ca="1" si="10"/>
        <v>28</v>
      </c>
      <c r="D186" s="1">
        <f t="shared" ca="1" si="11"/>
        <v>46039</v>
      </c>
    </row>
    <row r="187" spans="1:4" x14ac:dyDescent="0.25">
      <c r="A187" t="str">
        <f t="shared" si="8"/>
        <v>S186</v>
      </c>
      <c r="B187" t="str">
        <f t="shared" ca="1" si="9"/>
        <v>M088</v>
      </c>
      <c r="C187">
        <f t="shared" ca="1" si="10"/>
        <v>20</v>
      </c>
      <c r="D187" s="1">
        <f t="shared" ca="1" si="11"/>
        <v>46116</v>
      </c>
    </row>
    <row r="188" spans="1:4" x14ac:dyDescent="0.25">
      <c r="A188" t="str">
        <f t="shared" si="8"/>
        <v>S187</v>
      </c>
      <c r="B188" t="str">
        <f t="shared" ca="1" si="9"/>
        <v>M087</v>
      </c>
      <c r="C188">
        <f t="shared" ca="1" si="10"/>
        <v>16</v>
      </c>
      <c r="D188" s="1">
        <f t="shared" ca="1" si="11"/>
        <v>46103</v>
      </c>
    </row>
    <row r="189" spans="1:4" x14ac:dyDescent="0.25">
      <c r="A189" t="str">
        <f t="shared" si="8"/>
        <v>S188</v>
      </c>
      <c r="B189" t="str">
        <f t="shared" ca="1" si="9"/>
        <v>M031</v>
      </c>
      <c r="C189">
        <f t="shared" ca="1" si="10"/>
        <v>9</v>
      </c>
      <c r="D189" s="1">
        <f t="shared" ca="1" si="11"/>
        <v>46115</v>
      </c>
    </row>
    <row r="190" spans="1:4" x14ac:dyDescent="0.25">
      <c r="A190" t="str">
        <f t="shared" si="8"/>
        <v>S189</v>
      </c>
      <c r="B190" t="str">
        <f t="shared" ca="1" si="9"/>
        <v>M089</v>
      </c>
      <c r="C190">
        <f t="shared" ca="1" si="10"/>
        <v>3</v>
      </c>
      <c r="D190" s="1">
        <f t="shared" ca="1" si="11"/>
        <v>46112</v>
      </c>
    </row>
    <row r="191" spans="1:4" x14ac:dyDescent="0.25">
      <c r="A191" t="str">
        <f t="shared" si="8"/>
        <v>S190</v>
      </c>
      <c r="B191" t="str">
        <f t="shared" ca="1" si="9"/>
        <v>M034</v>
      </c>
      <c r="C191">
        <f t="shared" ca="1" si="10"/>
        <v>30</v>
      </c>
      <c r="D191" s="1">
        <f t="shared" ca="1" si="11"/>
        <v>46106</v>
      </c>
    </row>
    <row r="192" spans="1:4" x14ac:dyDescent="0.25">
      <c r="A192" t="str">
        <f t="shared" si="8"/>
        <v>S191</v>
      </c>
      <c r="B192" t="str">
        <f t="shared" ca="1" si="9"/>
        <v>M040</v>
      </c>
      <c r="C192">
        <f t="shared" ca="1" si="10"/>
        <v>22</v>
      </c>
      <c r="D192" s="1">
        <f t="shared" ca="1" si="11"/>
        <v>46037</v>
      </c>
    </row>
    <row r="193" spans="1:4" x14ac:dyDescent="0.25">
      <c r="A193" t="str">
        <f t="shared" si="8"/>
        <v>S192</v>
      </c>
      <c r="B193" t="str">
        <f t="shared" ca="1" si="9"/>
        <v>M009</v>
      </c>
      <c r="C193">
        <f t="shared" ca="1" si="10"/>
        <v>27</v>
      </c>
      <c r="D193" s="1">
        <f t="shared" ca="1" si="11"/>
        <v>46078</v>
      </c>
    </row>
    <row r="194" spans="1:4" x14ac:dyDescent="0.25">
      <c r="A194" t="str">
        <f t="shared" si="8"/>
        <v>S193</v>
      </c>
      <c r="B194" t="str">
        <f t="shared" ca="1" si="9"/>
        <v>M046</v>
      </c>
      <c r="C194">
        <f t="shared" ca="1" si="10"/>
        <v>10</v>
      </c>
      <c r="D194" s="1">
        <f t="shared" ca="1" si="11"/>
        <v>46081</v>
      </c>
    </row>
    <row r="195" spans="1:4" x14ac:dyDescent="0.25">
      <c r="A195" t="str">
        <f t="shared" ref="A195:A258" si="12">"S"&amp;TEXT(ROW(A194),"000")</f>
        <v>S194</v>
      </c>
      <c r="B195" t="str">
        <f t="shared" ref="B195:B258" ca="1" si="13">"M"&amp;TEXT(RANDBETWEEN(1,100),"000")</f>
        <v>M037</v>
      </c>
      <c r="C195">
        <f t="shared" ref="C195:C258" ca="1" si="14">RANDBETWEEN(1,30)</f>
        <v>14</v>
      </c>
      <c r="D195" s="1">
        <f t="shared" ref="D195:D258" ca="1" si="15">TODAY()-RANDBETWEEN(1,90)</f>
        <v>46109</v>
      </c>
    </row>
    <row r="196" spans="1:4" x14ac:dyDescent="0.25">
      <c r="A196" t="str">
        <f t="shared" si="12"/>
        <v>S195</v>
      </c>
      <c r="B196" t="str">
        <f t="shared" ca="1" si="13"/>
        <v>M088</v>
      </c>
      <c r="C196">
        <f t="shared" ca="1" si="14"/>
        <v>2</v>
      </c>
      <c r="D196" s="1">
        <f t="shared" ca="1" si="15"/>
        <v>46094</v>
      </c>
    </row>
    <row r="197" spans="1:4" x14ac:dyDescent="0.25">
      <c r="A197" t="str">
        <f t="shared" si="12"/>
        <v>S196</v>
      </c>
      <c r="B197" t="str">
        <f t="shared" ca="1" si="13"/>
        <v>M053</v>
      </c>
      <c r="C197">
        <f t="shared" ca="1" si="14"/>
        <v>7</v>
      </c>
      <c r="D197" s="1">
        <f t="shared" ca="1" si="15"/>
        <v>46041</v>
      </c>
    </row>
    <row r="198" spans="1:4" x14ac:dyDescent="0.25">
      <c r="A198" t="str">
        <f t="shared" si="12"/>
        <v>S197</v>
      </c>
      <c r="B198" t="str">
        <f t="shared" ca="1" si="13"/>
        <v>M045</v>
      </c>
      <c r="C198">
        <f t="shared" ca="1" si="14"/>
        <v>15</v>
      </c>
      <c r="D198" s="1">
        <f t="shared" ca="1" si="15"/>
        <v>46032</v>
      </c>
    </row>
    <row r="199" spans="1:4" x14ac:dyDescent="0.25">
      <c r="A199" t="str">
        <f t="shared" si="12"/>
        <v>S198</v>
      </c>
      <c r="B199" t="str">
        <f t="shared" ca="1" si="13"/>
        <v>M084</v>
      </c>
      <c r="C199">
        <f t="shared" ca="1" si="14"/>
        <v>20</v>
      </c>
      <c r="D199" s="1">
        <f t="shared" ca="1" si="15"/>
        <v>46063</v>
      </c>
    </row>
    <row r="200" spans="1:4" x14ac:dyDescent="0.25">
      <c r="A200" t="str">
        <f t="shared" si="12"/>
        <v>S199</v>
      </c>
      <c r="B200" t="str">
        <f t="shared" ca="1" si="13"/>
        <v>M016</v>
      </c>
      <c r="C200">
        <f t="shared" ca="1" si="14"/>
        <v>21</v>
      </c>
      <c r="D200" s="1">
        <f t="shared" ca="1" si="15"/>
        <v>46081</v>
      </c>
    </row>
    <row r="201" spans="1:4" x14ac:dyDescent="0.25">
      <c r="A201" t="str">
        <f t="shared" si="12"/>
        <v>S200</v>
      </c>
      <c r="B201" t="str">
        <f t="shared" ca="1" si="13"/>
        <v>M056</v>
      </c>
      <c r="C201">
        <f t="shared" ca="1" si="14"/>
        <v>8</v>
      </c>
      <c r="D201" s="1">
        <f t="shared" ca="1" si="15"/>
        <v>46038</v>
      </c>
    </row>
    <row r="202" spans="1:4" x14ac:dyDescent="0.25">
      <c r="A202" t="str">
        <f t="shared" si="12"/>
        <v>S201</v>
      </c>
      <c r="B202" t="str">
        <f t="shared" ca="1" si="13"/>
        <v>M091</v>
      </c>
      <c r="C202">
        <f t="shared" ca="1" si="14"/>
        <v>27</v>
      </c>
      <c r="D202" s="1">
        <f t="shared" ca="1" si="15"/>
        <v>46102</v>
      </c>
    </row>
    <row r="203" spans="1:4" x14ac:dyDescent="0.25">
      <c r="A203" t="str">
        <f t="shared" si="12"/>
        <v>S202</v>
      </c>
      <c r="B203" t="str">
        <f t="shared" ca="1" si="13"/>
        <v>M013</v>
      </c>
      <c r="C203">
        <f t="shared" ca="1" si="14"/>
        <v>8</v>
      </c>
      <c r="D203" s="1">
        <f t="shared" ca="1" si="15"/>
        <v>46115</v>
      </c>
    </row>
    <row r="204" spans="1:4" x14ac:dyDescent="0.25">
      <c r="A204" t="str">
        <f t="shared" si="12"/>
        <v>S203</v>
      </c>
      <c r="B204" t="str">
        <f t="shared" ca="1" si="13"/>
        <v>M027</v>
      </c>
      <c r="C204">
        <f t="shared" ca="1" si="14"/>
        <v>13</v>
      </c>
      <c r="D204" s="1">
        <f t="shared" ca="1" si="15"/>
        <v>46084</v>
      </c>
    </row>
    <row r="205" spans="1:4" x14ac:dyDescent="0.25">
      <c r="A205" t="str">
        <f t="shared" si="12"/>
        <v>S204</v>
      </c>
      <c r="B205" t="str">
        <f t="shared" ca="1" si="13"/>
        <v>M034</v>
      </c>
      <c r="C205">
        <f t="shared" ca="1" si="14"/>
        <v>6</v>
      </c>
      <c r="D205" s="1">
        <f t="shared" ca="1" si="15"/>
        <v>46030</v>
      </c>
    </row>
    <row r="206" spans="1:4" x14ac:dyDescent="0.25">
      <c r="A206" t="str">
        <f t="shared" si="12"/>
        <v>S205</v>
      </c>
      <c r="B206" t="str">
        <f t="shared" ca="1" si="13"/>
        <v>M006</v>
      </c>
      <c r="C206">
        <f t="shared" ca="1" si="14"/>
        <v>7</v>
      </c>
      <c r="D206" s="1">
        <f t="shared" ca="1" si="15"/>
        <v>46055</v>
      </c>
    </row>
    <row r="207" spans="1:4" x14ac:dyDescent="0.25">
      <c r="A207" t="str">
        <f t="shared" si="12"/>
        <v>S206</v>
      </c>
      <c r="B207" t="str">
        <f t="shared" ca="1" si="13"/>
        <v>M083</v>
      </c>
      <c r="C207">
        <f t="shared" ca="1" si="14"/>
        <v>9</v>
      </c>
      <c r="D207" s="1">
        <f t="shared" ca="1" si="15"/>
        <v>46044</v>
      </c>
    </row>
    <row r="208" spans="1:4" x14ac:dyDescent="0.25">
      <c r="A208" t="str">
        <f t="shared" si="12"/>
        <v>S207</v>
      </c>
      <c r="B208" t="str">
        <f t="shared" ca="1" si="13"/>
        <v>M021</v>
      </c>
      <c r="C208">
        <f t="shared" ca="1" si="14"/>
        <v>14</v>
      </c>
      <c r="D208" s="1">
        <f t="shared" ca="1" si="15"/>
        <v>46048</v>
      </c>
    </row>
    <row r="209" spans="1:4" x14ac:dyDescent="0.25">
      <c r="A209" t="str">
        <f t="shared" si="12"/>
        <v>S208</v>
      </c>
      <c r="B209" t="str">
        <f t="shared" ca="1" si="13"/>
        <v>M062</v>
      </c>
      <c r="C209">
        <f t="shared" ca="1" si="14"/>
        <v>16</v>
      </c>
      <c r="D209" s="1">
        <f t="shared" ca="1" si="15"/>
        <v>46102</v>
      </c>
    </row>
    <row r="210" spans="1:4" x14ac:dyDescent="0.25">
      <c r="A210" t="str">
        <f t="shared" si="12"/>
        <v>S209</v>
      </c>
      <c r="B210" t="str">
        <f t="shared" ca="1" si="13"/>
        <v>M100</v>
      </c>
      <c r="C210">
        <f t="shared" ca="1" si="14"/>
        <v>14</v>
      </c>
      <c r="D210" s="1">
        <f t="shared" ca="1" si="15"/>
        <v>46086</v>
      </c>
    </row>
    <row r="211" spans="1:4" x14ac:dyDescent="0.25">
      <c r="A211" t="str">
        <f t="shared" si="12"/>
        <v>S210</v>
      </c>
      <c r="B211" t="str">
        <f t="shared" ca="1" si="13"/>
        <v>M012</v>
      </c>
      <c r="C211">
        <f t="shared" ca="1" si="14"/>
        <v>13</v>
      </c>
      <c r="D211" s="1">
        <f t="shared" ca="1" si="15"/>
        <v>46041</v>
      </c>
    </row>
    <row r="212" spans="1:4" x14ac:dyDescent="0.25">
      <c r="A212" t="str">
        <f t="shared" si="12"/>
        <v>S211</v>
      </c>
      <c r="B212" t="str">
        <f t="shared" ca="1" si="13"/>
        <v>M053</v>
      </c>
      <c r="C212">
        <f t="shared" ca="1" si="14"/>
        <v>25</v>
      </c>
      <c r="D212" s="1">
        <f t="shared" ca="1" si="15"/>
        <v>46041</v>
      </c>
    </row>
    <row r="213" spans="1:4" x14ac:dyDescent="0.25">
      <c r="A213" t="str">
        <f t="shared" si="12"/>
        <v>S212</v>
      </c>
      <c r="B213" t="str">
        <f t="shared" ca="1" si="13"/>
        <v>M001</v>
      </c>
      <c r="C213">
        <f t="shared" ca="1" si="14"/>
        <v>28</v>
      </c>
      <c r="D213" s="1">
        <f t="shared" ca="1" si="15"/>
        <v>46109</v>
      </c>
    </row>
    <row r="214" spans="1:4" x14ac:dyDescent="0.25">
      <c r="A214" t="str">
        <f t="shared" si="12"/>
        <v>S213</v>
      </c>
      <c r="B214" t="str">
        <f t="shared" ca="1" si="13"/>
        <v>M078</v>
      </c>
      <c r="C214">
        <f t="shared" ca="1" si="14"/>
        <v>28</v>
      </c>
      <c r="D214" s="1">
        <f t="shared" ca="1" si="15"/>
        <v>46115</v>
      </c>
    </row>
    <row r="215" spans="1:4" x14ac:dyDescent="0.25">
      <c r="A215" t="str">
        <f t="shared" si="12"/>
        <v>S214</v>
      </c>
      <c r="B215" t="str">
        <f t="shared" ca="1" si="13"/>
        <v>M064</v>
      </c>
      <c r="C215">
        <f t="shared" ca="1" si="14"/>
        <v>16</v>
      </c>
      <c r="D215" s="1">
        <f t="shared" ca="1" si="15"/>
        <v>46104</v>
      </c>
    </row>
    <row r="216" spans="1:4" x14ac:dyDescent="0.25">
      <c r="A216" t="str">
        <f t="shared" si="12"/>
        <v>S215</v>
      </c>
      <c r="B216" t="str">
        <f t="shared" ca="1" si="13"/>
        <v>M074</v>
      </c>
      <c r="C216">
        <f t="shared" ca="1" si="14"/>
        <v>5</v>
      </c>
      <c r="D216" s="1">
        <f t="shared" ca="1" si="15"/>
        <v>46083</v>
      </c>
    </row>
    <row r="217" spans="1:4" x14ac:dyDescent="0.25">
      <c r="A217" t="str">
        <f t="shared" si="12"/>
        <v>S216</v>
      </c>
      <c r="B217" t="str">
        <f t="shared" ca="1" si="13"/>
        <v>M016</v>
      </c>
      <c r="C217">
        <f t="shared" ca="1" si="14"/>
        <v>17</v>
      </c>
      <c r="D217" s="1">
        <f t="shared" ca="1" si="15"/>
        <v>46092</v>
      </c>
    </row>
    <row r="218" spans="1:4" x14ac:dyDescent="0.25">
      <c r="A218" t="str">
        <f t="shared" si="12"/>
        <v>S217</v>
      </c>
      <c r="B218" t="str">
        <f t="shared" ca="1" si="13"/>
        <v>M090</v>
      </c>
      <c r="C218">
        <f t="shared" ca="1" si="14"/>
        <v>21</v>
      </c>
      <c r="D218" s="1">
        <f t="shared" ca="1" si="15"/>
        <v>46036</v>
      </c>
    </row>
    <row r="219" spans="1:4" x14ac:dyDescent="0.25">
      <c r="A219" t="str">
        <f t="shared" si="12"/>
        <v>S218</v>
      </c>
      <c r="B219" t="str">
        <f t="shared" ca="1" si="13"/>
        <v>M052</v>
      </c>
      <c r="C219">
        <f t="shared" ca="1" si="14"/>
        <v>25</v>
      </c>
      <c r="D219" s="1">
        <f t="shared" ca="1" si="15"/>
        <v>46084</v>
      </c>
    </row>
    <row r="220" spans="1:4" x14ac:dyDescent="0.25">
      <c r="A220" t="str">
        <f t="shared" si="12"/>
        <v>S219</v>
      </c>
      <c r="B220" t="str">
        <f t="shared" ca="1" si="13"/>
        <v>M071</v>
      </c>
      <c r="C220">
        <f t="shared" ca="1" si="14"/>
        <v>6</v>
      </c>
      <c r="D220" s="1">
        <f t="shared" ca="1" si="15"/>
        <v>46106</v>
      </c>
    </row>
    <row r="221" spans="1:4" x14ac:dyDescent="0.25">
      <c r="A221" t="str">
        <f t="shared" si="12"/>
        <v>S220</v>
      </c>
      <c r="B221" t="str">
        <f t="shared" ca="1" si="13"/>
        <v>M063</v>
      </c>
      <c r="C221">
        <f t="shared" ca="1" si="14"/>
        <v>19</v>
      </c>
      <c r="D221" s="1">
        <f t="shared" ca="1" si="15"/>
        <v>46081</v>
      </c>
    </row>
    <row r="222" spans="1:4" x14ac:dyDescent="0.25">
      <c r="A222" t="str">
        <f t="shared" si="12"/>
        <v>S221</v>
      </c>
      <c r="B222" t="str">
        <f t="shared" ca="1" si="13"/>
        <v>M029</v>
      </c>
      <c r="C222">
        <f t="shared" ca="1" si="14"/>
        <v>7</v>
      </c>
      <c r="D222" s="1">
        <f t="shared" ca="1" si="15"/>
        <v>46070</v>
      </c>
    </row>
    <row r="223" spans="1:4" x14ac:dyDescent="0.25">
      <c r="A223" t="str">
        <f t="shared" si="12"/>
        <v>S222</v>
      </c>
      <c r="B223" t="str">
        <f t="shared" ca="1" si="13"/>
        <v>M003</v>
      </c>
      <c r="C223">
        <f t="shared" ca="1" si="14"/>
        <v>14</v>
      </c>
      <c r="D223" s="1">
        <f t="shared" ca="1" si="15"/>
        <v>46116</v>
      </c>
    </row>
    <row r="224" spans="1:4" x14ac:dyDescent="0.25">
      <c r="A224" t="str">
        <f t="shared" si="12"/>
        <v>S223</v>
      </c>
      <c r="B224" t="str">
        <f t="shared" ca="1" si="13"/>
        <v>M012</v>
      </c>
      <c r="C224">
        <f t="shared" ca="1" si="14"/>
        <v>26</v>
      </c>
      <c r="D224" s="1">
        <f t="shared" ca="1" si="15"/>
        <v>46090</v>
      </c>
    </row>
    <row r="225" spans="1:4" x14ac:dyDescent="0.25">
      <c r="A225" t="str">
        <f t="shared" si="12"/>
        <v>S224</v>
      </c>
      <c r="B225" t="str">
        <f t="shared" ca="1" si="13"/>
        <v>M099</v>
      </c>
      <c r="C225">
        <f t="shared" ca="1" si="14"/>
        <v>28</v>
      </c>
      <c r="D225" s="1">
        <f t="shared" ca="1" si="15"/>
        <v>46030</v>
      </c>
    </row>
    <row r="226" spans="1:4" x14ac:dyDescent="0.25">
      <c r="A226" t="str">
        <f t="shared" si="12"/>
        <v>S225</v>
      </c>
      <c r="B226" t="str">
        <f t="shared" ca="1" si="13"/>
        <v>M050</v>
      </c>
      <c r="C226">
        <f t="shared" ca="1" si="14"/>
        <v>13</v>
      </c>
      <c r="D226" s="1">
        <f t="shared" ca="1" si="15"/>
        <v>46110</v>
      </c>
    </row>
    <row r="227" spans="1:4" x14ac:dyDescent="0.25">
      <c r="A227" t="str">
        <f t="shared" si="12"/>
        <v>S226</v>
      </c>
      <c r="B227" t="str">
        <f t="shared" ca="1" si="13"/>
        <v>M006</v>
      </c>
      <c r="C227">
        <f t="shared" ca="1" si="14"/>
        <v>16</v>
      </c>
      <c r="D227" s="1">
        <f t="shared" ca="1" si="15"/>
        <v>46104</v>
      </c>
    </row>
    <row r="228" spans="1:4" x14ac:dyDescent="0.25">
      <c r="A228" t="str">
        <f t="shared" si="12"/>
        <v>S227</v>
      </c>
      <c r="B228" t="str">
        <f t="shared" ca="1" si="13"/>
        <v>M078</v>
      </c>
      <c r="C228">
        <f t="shared" ca="1" si="14"/>
        <v>17</v>
      </c>
      <c r="D228" s="1">
        <f t="shared" ca="1" si="15"/>
        <v>46097</v>
      </c>
    </row>
    <row r="229" spans="1:4" x14ac:dyDescent="0.25">
      <c r="A229" t="str">
        <f t="shared" si="12"/>
        <v>S228</v>
      </c>
      <c r="B229" t="str">
        <f t="shared" ca="1" si="13"/>
        <v>M086</v>
      </c>
      <c r="C229">
        <f t="shared" ca="1" si="14"/>
        <v>15</v>
      </c>
      <c r="D229" s="1">
        <f t="shared" ca="1" si="15"/>
        <v>46060</v>
      </c>
    </row>
    <row r="230" spans="1:4" x14ac:dyDescent="0.25">
      <c r="A230" t="str">
        <f t="shared" si="12"/>
        <v>S229</v>
      </c>
      <c r="B230" t="str">
        <f t="shared" ca="1" si="13"/>
        <v>M043</v>
      </c>
      <c r="C230">
        <f t="shared" ca="1" si="14"/>
        <v>14</v>
      </c>
      <c r="D230" s="1">
        <f t="shared" ca="1" si="15"/>
        <v>46041</v>
      </c>
    </row>
    <row r="231" spans="1:4" x14ac:dyDescent="0.25">
      <c r="A231" t="str">
        <f t="shared" si="12"/>
        <v>S230</v>
      </c>
      <c r="B231" t="str">
        <f t="shared" ca="1" si="13"/>
        <v>M053</v>
      </c>
      <c r="C231">
        <f t="shared" ca="1" si="14"/>
        <v>12</v>
      </c>
      <c r="D231" s="1">
        <f t="shared" ca="1" si="15"/>
        <v>46081</v>
      </c>
    </row>
    <row r="232" spans="1:4" x14ac:dyDescent="0.25">
      <c r="A232" t="str">
        <f t="shared" si="12"/>
        <v>S231</v>
      </c>
      <c r="B232" t="str">
        <f t="shared" ca="1" si="13"/>
        <v>M099</v>
      </c>
      <c r="C232">
        <f t="shared" ca="1" si="14"/>
        <v>22</v>
      </c>
      <c r="D232" s="1">
        <f t="shared" ca="1" si="15"/>
        <v>46054</v>
      </c>
    </row>
    <row r="233" spans="1:4" x14ac:dyDescent="0.25">
      <c r="A233" t="str">
        <f t="shared" si="12"/>
        <v>S232</v>
      </c>
      <c r="B233" t="str">
        <f t="shared" ca="1" si="13"/>
        <v>M072</v>
      </c>
      <c r="C233">
        <f t="shared" ca="1" si="14"/>
        <v>30</v>
      </c>
      <c r="D233" s="1">
        <f t="shared" ca="1" si="15"/>
        <v>46055</v>
      </c>
    </row>
    <row r="234" spans="1:4" x14ac:dyDescent="0.25">
      <c r="A234" t="str">
        <f t="shared" si="12"/>
        <v>S233</v>
      </c>
      <c r="B234" t="str">
        <f t="shared" ca="1" si="13"/>
        <v>M020</v>
      </c>
      <c r="C234">
        <f t="shared" ca="1" si="14"/>
        <v>27</v>
      </c>
      <c r="D234" s="1">
        <f t="shared" ca="1" si="15"/>
        <v>46113</v>
      </c>
    </row>
    <row r="235" spans="1:4" x14ac:dyDescent="0.25">
      <c r="A235" t="str">
        <f t="shared" si="12"/>
        <v>S234</v>
      </c>
      <c r="B235" t="str">
        <f t="shared" ca="1" si="13"/>
        <v>M085</v>
      </c>
      <c r="C235">
        <f t="shared" ca="1" si="14"/>
        <v>22</v>
      </c>
      <c r="D235" s="1">
        <f t="shared" ca="1" si="15"/>
        <v>46112</v>
      </c>
    </row>
    <row r="236" spans="1:4" x14ac:dyDescent="0.25">
      <c r="A236" t="str">
        <f t="shared" si="12"/>
        <v>S235</v>
      </c>
      <c r="B236" t="str">
        <f t="shared" ca="1" si="13"/>
        <v>M053</v>
      </c>
      <c r="C236">
        <f t="shared" ca="1" si="14"/>
        <v>10</v>
      </c>
      <c r="D236" s="1">
        <f t="shared" ca="1" si="15"/>
        <v>46079</v>
      </c>
    </row>
    <row r="237" spans="1:4" x14ac:dyDescent="0.25">
      <c r="A237" t="str">
        <f t="shared" si="12"/>
        <v>S236</v>
      </c>
      <c r="B237" t="str">
        <f t="shared" ca="1" si="13"/>
        <v>M084</v>
      </c>
      <c r="C237">
        <f t="shared" ca="1" si="14"/>
        <v>5</v>
      </c>
      <c r="D237" s="1">
        <f t="shared" ca="1" si="15"/>
        <v>46048</v>
      </c>
    </row>
    <row r="238" spans="1:4" x14ac:dyDescent="0.25">
      <c r="A238" t="str">
        <f t="shared" si="12"/>
        <v>S237</v>
      </c>
      <c r="B238" t="str">
        <f t="shared" ca="1" si="13"/>
        <v>M084</v>
      </c>
      <c r="C238">
        <f t="shared" ca="1" si="14"/>
        <v>13</v>
      </c>
      <c r="D238" s="1">
        <f t="shared" ca="1" si="15"/>
        <v>46091</v>
      </c>
    </row>
    <row r="239" spans="1:4" x14ac:dyDescent="0.25">
      <c r="A239" t="str">
        <f t="shared" si="12"/>
        <v>S238</v>
      </c>
      <c r="B239" t="str">
        <f t="shared" ca="1" si="13"/>
        <v>M078</v>
      </c>
      <c r="C239">
        <f t="shared" ca="1" si="14"/>
        <v>1</v>
      </c>
      <c r="D239" s="1">
        <f t="shared" ca="1" si="15"/>
        <v>46079</v>
      </c>
    </row>
    <row r="240" spans="1:4" x14ac:dyDescent="0.25">
      <c r="A240" t="str">
        <f t="shared" si="12"/>
        <v>S239</v>
      </c>
      <c r="B240" t="str">
        <f t="shared" ca="1" si="13"/>
        <v>M072</v>
      </c>
      <c r="C240">
        <f t="shared" ca="1" si="14"/>
        <v>13</v>
      </c>
      <c r="D240" s="1">
        <f t="shared" ca="1" si="15"/>
        <v>46053</v>
      </c>
    </row>
    <row r="241" spans="1:4" x14ac:dyDescent="0.25">
      <c r="A241" t="str">
        <f t="shared" si="12"/>
        <v>S240</v>
      </c>
      <c r="B241" t="str">
        <f t="shared" ca="1" si="13"/>
        <v>M090</v>
      </c>
      <c r="C241">
        <f t="shared" ca="1" si="14"/>
        <v>14</v>
      </c>
      <c r="D241" s="1">
        <f t="shared" ca="1" si="15"/>
        <v>46051</v>
      </c>
    </row>
    <row r="242" spans="1:4" x14ac:dyDescent="0.25">
      <c r="A242" t="str">
        <f t="shared" si="12"/>
        <v>S241</v>
      </c>
      <c r="B242" t="str">
        <f t="shared" ca="1" si="13"/>
        <v>M069</v>
      </c>
      <c r="C242">
        <f t="shared" ca="1" si="14"/>
        <v>27</v>
      </c>
      <c r="D242" s="1">
        <f t="shared" ca="1" si="15"/>
        <v>46107</v>
      </c>
    </row>
    <row r="243" spans="1:4" x14ac:dyDescent="0.25">
      <c r="A243" t="str">
        <f t="shared" si="12"/>
        <v>S242</v>
      </c>
      <c r="B243" t="str">
        <f t="shared" ca="1" si="13"/>
        <v>M023</v>
      </c>
      <c r="C243">
        <f t="shared" ca="1" si="14"/>
        <v>27</v>
      </c>
      <c r="D243" s="1">
        <f t="shared" ca="1" si="15"/>
        <v>46046</v>
      </c>
    </row>
    <row r="244" spans="1:4" x14ac:dyDescent="0.25">
      <c r="A244" t="str">
        <f t="shared" si="12"/>
        <v>S243</v>
      </c>
      <c r="B244" t="str">
        <f t="shared" ca="1" si="13"/>
        <v>M045</v>
      </c>
      <c r="C244">
        <f t="shared" ca="1" si="14"/>
        <v>20</v>
      </c>
      <c r="D244" s="1">
        <f t="shared" ca="1" si="15"/>
        <v>46077</v>
      </c>
    </row>
    <row r="245" spans="1:4" x14ac:dyDescent="0.25">
      <c r="A245" t="str">
        <f t="shared" si="12"/>
        <v>S244</v>
      </c>
      <c r="B245" t="str">
        <f t="shared" ca="1" si="13"/>
        <v>M017</v>
      </c>
      <c r="C245">
        <f t="shared" ca="1" si="14"/>
        <v>20</v>
      </c>
      <c r="D245" s="1">
        <f t="shared" ca="1" si="15"/>
        <v>46034</v>
      </c>
    </row>
    <row r="246" spans="1:4" x14ac:dyDescent="0.25">
      <c r="A246" t="str">
        <f t="shared" si="12"/>
        <v>S245</v>
      </c>
      <c r="B246" t="str">
        <f t="shared" ca="1" si="13"/>
        <v>M096</v>
      </c>
      <c r="C246">
        <f t="shared" ca="1" si="14"/>
        <v>16</v>
      </c>
      <c r="D246" s="1">
        <f t="shared" ca="1" si="15"/>
        <v>46046</v>
      </c>
    </row>
    <row r="247" spans="1:4" x14ac:dyDescent="0.25">
      <c r="A247" t="str">
        <f t="shared" si="12"/>
        <v>S246</v>
      </c>
      <c r="B247" t="str">
        <f t="shared" ca="1" si="13"/>
        <v>M083</v>
      </c>
      <c r="C247">
        <f t="shared" ca="1" si="14"/>
        <v>14</v>
      </c>
      <c r="D247" s="1">
        <f t="shared" ca="1" si="15"/>
        <v>46063</v>
      </c>
    </row>
    <row r="248" spans="1:4" x14ac:dyDescent="0.25">
      <c r="A248" t="str">
        <f t="shared" si="12"/>
        <v>S247</v>
      </c>
      <c r="B248" t="str">
        <f t="shared" ca="1" si="13"/>
        <v>M010</v>
      </c>
      <c r="C248">
        <f t="shared" ca="1" si="14"/>
        <v>17</v>
      </c>
      <c r="D248" s="1">
        <f t="shared" ca="1" si="15"/>
        <v>46031</v>
      </c>
    </row>
    <row r="249" spans="1:4" x14ac:dyDescent="0.25">
      <c r="A249" t="str">
        <f t="shared" si="12"/>
        <v>S248</v>
      </c>
      <c r="B249" t="str">
        <f t="shared" ca="1" si="13"/>
        <v>M035</v>
      </c>
      <c r="C249">
        <f t="shared" ca="1" si="14"/>
        <v>24</v>
      </c>
      <c r="D249" s="1">
        <f t="shared" ca="1" si="15"/>
        <v>46069</v>
      </c>
    </row>
    <row r="250" spans="1:4" x14ac:dyDescent="0.25">
      <c r="A250" t="str">
        <f t="shared" si="12"/>
        <v>S249</v>
      </c>
      <c r="B250" t="str">
        <f t="shared" ca="1" si="13"/>
        <v>M050</v>
      </c>
      <c r="C250">
        <f t="shared" ca="1" si="14"/>
        <v>26</v>
      </c>
      <c r="D250" s="1">
        <f t="shared" ca="1" si="15"/>
        <v>46098</v>
      </c>
    </row>
    <row r="251" spans="1:4" x14ac:dyDescent="0.25">
      <c r="A251" t="str">
        <f t="shared" si="12"/>
        <v>S250</v>
      </c>
      <c r="B251" t="str">
        <f t="shared" ca="1" si="13"/>
        <v>M084</v>
      </c>
      <c r="C251">
        <f t="shared" ca="1" si="14"/>
        <v>23</v>
      </c>
      <c r="D251" s="1">
        <f t="shared" ca="1" si="15"/>
        <v>46067</v>
      </c>
    </row>
    <row r="252" spans="1:4" x14ac:dyDescent="0.25">
      <c r="A252" t="str">
        <f t="shared" si="12"/>
        <v>S251</v>
      </c>
      <c r="B252" t="str">
        <f t="shared" ca="1" si="13"/>
        <v>M090</v>
      </c>
      <c r="C252">
        <f t="shared" ca="1" si="14"/>
        <v>26</v>
      </c>
      <c r="D252" s="1">
        <f t="shared" ca="1" si="15"/>
        <v>46038</v>
      </c>
    </row>
    <row r="253" spans="1:4" x14ac:dyDescent="0.25">
      <c r="A253" t="str">
        <f t="shared" si="12"/>
        <v>S252</v>
      </c>
      <c r="B253" t="str">
        <f t="shared" ca="1" si="13"/>
        <v>M098</v>
      </c>
      <c r="C253">
        <f t="shared" ca="1" si="14"/>
        <v>10</v>
      </c>
      <c r="D253" s="1">
        <f t="shared" ca="1" si="15"/>
        <v>46078</v>
      </c>
    </row>
    <row r="254" spans="1:4" x14ac:dyDescent="0.25">
      <c r="A254" t="str">
        <f t="shared" si="12"/>
        <v>S253</v>
      </c>
      <c r="B254" t="str">
        <f t="shared" ca="1" si="13"/>
        <v>M082</v>
      </c>
      <c r="C254">
        <f t="shared" ca="1" si="14"/>
        <v>24</v>
      </c>
      <c r="D254" s="1">
        <f t="shared" ca="1" si="15"/>
        <v>46061</v>
      </c>
    </row>
    <row r="255" spans="1:4" x14ac:dyDescent="0.25">
      <c r="A255" t="str">
        <f t="shared" si="12"/>
        <v>S254</v>
      </c>
      <c r="B255" t="str">
        <f t="shared" ca="1" si="13"/>
        <v>M088</v>
      </c>
      <c r="C255">
        <f t="shared" ca="1" si="14"/>
        <v>25</v>
      </c>
      <c r="D255" s="1">
        <f t="shared" ca="1" si="15"/>
        <v>46059</v>
      </c>
    </row>
    <row r="256" spans="1:4" x14ac:dyDescent="0.25">
      <c r="A256" t="str">
        <f t="shared" si="12"/>
        <v>S255</v>
      </c>
      <c r="B256" t="str">
        <f t="shared" ca="1" si="13"/>
        <v>M068</v>
      </c>
      <c r="C256">
        <f t="shared" ca="1" si="14"/>
        <v>19</v>
      </c>
      <c r="D256" s="1">
        <f t="shared" ca="1" si="15"/>
        <v>46029</v>
      </c>
    </row>
    <row r="257" spans="1:4" x14ac:dyDescent="0.25">
      <c r="A257" t="str">
        <f t="shared" si="12"/>
        <v>S256</v>
      </c>
      <c r="B257" t="str">
        <f t="shared" ca="1" si="13"/>
        <v>M028</v>
      </c>
      <c r="C257">
        <f t="shared" ca="1" si="14"/>
        <v>16</v>
      </c>
      <c r="D257" s="1">
        <f t="shared" ca="1" si="15"/>
        <v>46113</v>
      </c>
    </row>
    <row r="258" spans="1:4" x14ac:dyDescent="0.25">
      <c r="A258" t="str">
        <f t="shared" si="12"/>
        <v>S257</v>
      </c>
      <c r="B258" t="str">
        <f t="shared" ca="1" si="13"/>
        <v>M057</v>
      </c>
      <c r="C258">
        <f t="shared" ca="1" si="14"/>
        <v>29</v>
      </c>
      <c r="D258" s="1">
        <f t="shared" ca="1" si="15"/>
        <v>46114</v>
      </c>
    </row>
    <row r="259" spans="1:4" x14ac:dyDescent="0.25">
      <c r="A259" t="str">
        <f t="shared" ref="A259:A322" si="16">"S"&amp;TEXT(ROW(A258),"000")</f>
        <v>S258</v>
      </c>
      <c r="B259" t="str">
        <f t="shared" ref="B259:B322" ca="1" si="17">"M"&amp;TEXT(RANDBETWEEN(1,100),"000")</f>
        <v>M027</v>
      </c>
      <c r="C259">
        <f t="shared" ref="C259:C322" ca="1" si="18">RANDBETWEEN(1,30)</f>
        <v>25</v>
      </c>
      <c r="D259" s="1">
        <f t="shared" ref="D259:D322" ca="1" si="19">TODAY()-RANDBETWEEN(1,90)</f>
        <v>46104</v>
      </c>
    </row>
    <row r="260" spans="1:4" x14ac:dyDescent="0.25">
      <c r="A260" t="str">
        <f t="shared" si="16"/>
        <v>S259</v>
      </c>
      <c r="B260" t="str">
        <f t="shared" ca="1" si="17"/>
        <v>M019</v>
      </c>
      <c r="C260">
        <f t="shared" ca="1" si="18"/>
        <v>3</v>
      </c>
      <c r="D260" s="1">
        <f t="shared" ca="1" si="19"/>
        <v>46039</v>
      </c>
    </row>
    <row r="261" spans="1:4" x14ac:dyDescent="0.25">
      <c r="A261" t="str">
        <f t="shared" si="16"/>
        <v>S260</v>
      </c>
      <c r="B261" t="str">
        <f t="shared" ca="1" si="17"/>
        <v>M085</v>
      </c>
      <c r="C261">
        <f t="shared" ca="1" si="18"/>
        <v>20</v>
      </c>
      <c r="D261" s="1">
        <f t="shared" ca="1" si="19"/>
        <v>46111</v>
      </c>
    </row>
    <row r="262" spans="1:4" x14ac:dyDescent="0.25">
      <c r="A262" t="str">
        <f t="shared" si="16"/>
        <v>S261</v>
      </c>
      <c r="B262" t="str">
        <f t="shared" ca="1" si="17"/>
        <v>M059</v>
      </c>
      <c r="C262">
        <f t="shared" ca="1" si="18"/>
        <v>7</v>
      </c>
      <c r="D262" s="1">
        <f t="shared" ca="1" si="19"/>
        <v>46086</v>
      </c>
    </row>
    <row r="263" spans="1:4" x14ac:dyDescent="0.25">
      <c r="A263" t="str">
        <f t="shared" si="16"/>
        <v>S262</v>
      </c>
      <c r="B263" t="str">
        <f t="shared" ca="1" si="17"/>
        <v>M089</v>
      </c>
      <c r="C263">
        <f t="shared" ca="1" si="18"/>
        <v>16</v>
      </c>
      <c r="D263" s="1">
        <f t="shared" ca="1" si="19"/>
        <v>46039</v>
      </c>
    </row>
    <row r="264" spans="1:4" x14ac:dyDescent="0.25">
      <c r="A264" t="str">
        <f t="shared" si="16"/>
        <v>S263</v>
      </c>
      <c r="B264" t="str">
        <f t="shared" ca="1" si="17"/>
        <v>M058</v>
      </c>
      <c r="C264">
        <f t="shared" ca="1" si="18"/>
        <v>25</v>
      </c>
      <c r="D264" s="1">
        <f t="shared" ca="1" si="19"/>
        <v>46080</v>
      </c>
    </row>
    <row r="265" spans="1:4" x14ac:dyDescent="0.25">
      <c r="A265" t="str">
        <f t="shared" si="16"/>
        <v>S264</v>
      </c>
      <c r="B265" t="str">
        <f t="shared" ca="1" si="17"/>
        <v>M096</v>
      </c>
      <c r="C265">
        <f t="shared" ca="1" si="18"/>
        <v>1</v>
      </c>
      <c r="D265" s="1">
        <f t="shared" ca="1" si="19"/>
        <v>46062</v>
      </c>
    </row>
    <row r="266" spans="1:4" x14ac:dyDescent="0.25">
      <c r="A266" t="str">
        <f t="shared" si="16"/>
        <v>S265</v>
      </c>
      <c r="B266" t="str">
        <f t="shared" ca="1" si="17"/>
        <v>M009</v>
      </c>
      <c r="C266">
        <f t="shared" ca="1" si="18"/>
        <v>3</v>
      </c>
      <c r="D266" s="1">
        <f t="shared" ca="1" si="19"/>
        <v>46064</v>
      </c>
    </row>
    <row r="267" spans="1:4" x14ac:dyDescent="0.25">
      <c r="A267" t="str">
        <f t="shared" si="16"/>
        <v>S266</v>
      </c>
      <c r="B267" t="str">
        <f t="shared" ca="1" si="17"/>
        <v>M023</v>
      </c>
      <c r="C267">
        <f t="shared" ca="1" si="18"/>
        <v>9</v>
      </c>
      <c r="D267" s="1">
        <f t="shared" ca="1" si="19"/>
        <v>46036</v>
      </c>
    </row>
    <row r="268" spans="1:4" x14ac:dyDescent="0.25">
      <c r="A268" t="str">
        <f t="shared" si="16"/>
        <v>S267</v>
      </c>
      <c r="B268" t="str">
        <f t="shared" ca="1" si="17"/>
        <v>M099</v>
      </c>
      <c r="C268">
        <f t="shared" ca="1" si="18"/>
        <v>28</v>
      </c>
      <c r="D268" s="1">
        <f t="shared" ca="1" si="19"/>
        <v>46062</v>
      </c>
    </row>
    <row r="269" spans="1:4" x14ac:dyDescent="0.25">
      <c r="A269" t="str">
        <f t="shared" si="16"/>
        <v>S268</v>
      </c>
      <c r="B269" t="str">
        <f t="shared" ca="1" si="17"/>
        <v>M038</v>
      </c>
      <c r="C269">
        <f t="shared" ca="1" si="18"/>
        <v>2</v>
      </c>
      <c r="D269" s="1">
        <f t="shared" ca="1" si="19"/>
        <v>46030</v>
      </c>
    </row>
    <row r="270" spans="1:4" x14ac:dyDescent="0.25">
      <c r="A270" t="str">
        <f t="shared" si="16"/>
        <v>S269</v>
      </c>
      <c r="B270" t="str">
        <f t="shared" ca="1" si="17"/>
        <v>M044</v>
      </c>
      <c r="C270">
        <f t="shared" ca="1" si="18"/>
        <v>12</v>
      </c>
      <c r="D270" s="1">
        <f t="shared" ca="1" si="19"/>
        <v>46068</v>
      </c>
    </row>
    <row r="271" spans="1:4" x14ac:dyDescent="0.25">
      <c r="A271" t="str">
        <f t="shared" si="16"/>
        <v>S270</v>
      </c>
      <c r="B271" t="str">
        <f t="shared" ca="1" si="17"/>
        <v>M073</v>
      </c>
      <c r="C271">
        <f t="shared" ca="1" si="18"/>
        <v>3</v>
      </c>
      <c r="D271" s="1">
        <f t="shared" ca="1" si="19"/>
        <v>46051</v>
      </c>
    </row>
    <row r="272" spans="1:4" x14ac:dyDescent="0.25">
      <c r="A272" t="str">
        <f t="shared" si="16"/>
        <v>S271</v>
      </c>
      <c r="B272" t="str">
        <f t="shared" ca="1" si="17"/>
        <v>M058</v>
      </c>
      <c r="C272">
        <f t="shared" ca="1" si="18"/>
        <v>6</v>
      </c>
      <c r="D272" s="1">
        <f t="shared" ca="1" si="19"/>
        <v>46092</v>
      </c>
    </row>
    <row r="273" spans="1:4" x14ac:dyDescent="0.25">
      <c r="A273" t="str">
        <f t="shared" si="16"/>
        <v>S272</v>
      </c>
      <c r="B273" t="str">
        <f t="shared" ca="1" si="17"/>
        <v>M081</v>
      </c>
      <c r="C273">
        <f t="shared" ca="1" si="18"/>
        <v>1</v>
      </c>
      <c r="D273" s="1">
        <f t="shared" ca="1" si="19"/>
        <v>46078</v>
      </c>
    </row>
    <row r="274" spans="1:4" x14ac:dyDescent="0.25">
      <c r="A274" t="str">
        <f t="shared" si="16"/>
        <v>S273</v>
      </c>
      <c r="B274" t="str">
        <f t="shared" ca="1" si="17"/>
        <v>M089</v>
      </c>
      <c r="C274">
        <f t="shared" ca="1" si="18"/>
        <v>28</v>
      </c>
      <c r="D274" s="1">
        <f t="shared" ca="1" si="19"/>
        <v>46074</v>
      </c>
    </row>
    <row r="275" spans="1:4" x14ac:dyDescent="0.25">
      <c r="A275" t="str">
        <f t="shared" si="16"/>
        <v>S274</v>
      </c>
      <c r="B275" t="str">
        <f t="shared" ca="1" si="17"/>
        <v>M069</v>
      </c>
      <c r="C275">
        <f t="shared" ca="1" si="18"/>
        <v>1</v>
      </c>
      <c r="D275" s="1">
        <f t="shared" ca="1" si="19"/>
        <v>46066</v>
      </c>
    </row>
    <row r="276" spans="1:4" x14ac:dyDescent="0.25">
      <c r="A276" t="str">
        <f t="shared" si="16"/>
        <v>S275</v>
      </c>
      <c r="B276" t="str">
        <f t="shared" ca="1" si="17"/>
        <v>M093</v>
      </c>
      <c r="C276">
        <f t="shared" ca="1" si="18"/>
        <v>17</v>
      </c>
      <c r="D276" s="1">
        <f t="shared" ca="1" si="19"/>
        <v>46038</v>
      </c>
    </row>
    <row r="277" spans="1:4" x14ac:dyDescent="0.25">
      <c r="A277" t="str">
        <f t="shared" si="16"/>
        <v>S276</v>
      </c>
      <c r="B277" t="str">
        <f t="shared" ca="1" si="17"/>
        <v>M078</v>
      </c>
      <c r="C277">
        <f t="shared" ca="1" si="18"/>
        <v>20</v>
      </c>
      <c r="D277" s="1">
        <f t="shared" ca="1" si="19"/>
        <v>46060</v>
      </c>
    </row>
    <row r="278" spans="1:4" x14ac:dyDescent="0.25">
      <c r="A278" t="str">
        <f t="shared" si="16"/>
        <v>S277</v>
      </c>
      <c r="B278" t="str">
        <f t="shared" ca="1" si="17"/>
        <v>M027</v>
      </c>
      <c r="C278">
        <f t="shared" ca="1" si="18"/>
        <v>1</v>
      </c>
      <c r="D278" s="1">
        <f t="shared" ca="1" si="19"/>
        <v>46047</v>
      </c>
    </row>
    <row r="279" spans="1:4" x14ac:dyDescent="0.25">
      <c r="A279" t="str">
        <f t="shared" si="16"/>
        <v>S278</v>
      </c>
      <c r="B279" t="str">
        <f t="shared" ca="1" si="17"/>
        <v>M055</v>
      </c>
      <c r="C279">
        <f t="shared" ca="1" si="18"/>
        <v>10</v>
      </c>
      <c r="D279" s="1">
        <f t="shared" ca="1" si="19"/>
        <v>46070</v>
      </c>
    </row>
    <row r="280" spans="1:4" x14ac:dyDescent="0.25">
      <c r="A280" t="str">
        <f t="shared" si="16"/>
        <v>S279</v>
      </c>
      <c r="B280" t="str">
        <f t="shared" ca="1" si="17"/>
        <v>M033</v>
      </c>
      <c r="C280">
        <f t="shared" ca="1" si="18"/>
        <v>4</v>
      </c>
      <c r="D280" s="1">
        <f t="shared" ca="1" si="19"/>
        <v>46040</v>
      </c>
    </row>
    <row r="281" spans="1:4" x14ac:dyDescent="0.25">
      <c r="A281" t="str">
        <f t="shared" si="16"/>
        <v>S280</v>
      </c>
      <c r="B281" t="str">
        <f t="shared" ca="1" si="17"/>
        <v>M037</v>
      </c>
      <c r="C281">
        <f t="shared" ca="1" si="18"/>
        <v>10</v>
      </c>
      <c r="D281" s="1">
        <f t="shared" ca="1" si="19"/>
        <v>46081</v>
      </c>
    </row>
    <row r="282" spans="1:4" x14ac:dyDescent="0.25">
      <c r="A282" t="str">
        <f t="shared" si="16"/>
        <v>S281</v>
      </c>
      <c r="B282" t="str">
        <f t="shared" ca="1" si="17"/>
        <v>M040</v>
      </c>
      <c r="C282">
        <f t="shared" ca="1" si="18"/>
        <v>27</v>
      </c>
      <c r="D282" s="1">
        <f t="shared" ca="1" si="19"/>
        <v>46093</v>
      </c>
    </row>
    <row r="283" spans="1:4" x14ac:dyDescent="0.25">
      <c r="A283" t="str">
        <f t="shared" si="16"/>
        <v>S282</v>
      </c>
      <c r="B283" t="str">
        <f t="shared" ca="1" si="17"/>
        <v>M020</v>
      </c>
      <c r="C283">
        <f t="shared" ca="1" si="18"/>
        <v>1</v>
      </c>
      <c r="D283" s="1">
        <f t="shared" ca="1" si="19"/>
        <v>46030</v>
      </c>
    </row>
    <row r="284" spans="1:4" x14ac:dyDescent="0.25">
      <c r="A284" t="str">
        <f t="shared" si="16"/>
        <v>S283</v>
      </c>
      <c r="B284" t="str">
        <f t="shared" ca="1" si="17"/>
        <v>M069</v>
      </c>
      <c r="C284">
        <f t="shared" ca="1" si="18"/>
        <v>21</v>
      </c>
      <c r="D284" s="1">
        <f t="shared" ca="1" si="19"/>
        <v>46103</v>
      </c>
    </row>
    <row r="285" spans="1:4" x14ac:dyDescent="0.25">
      <c r="A285" t="str">
        <f t="shared" si="16"/>
        <v>S284</v>
      </c>
      <c r="B285" t="str">
        <f t="shared" ca="1" si="17"/>
        <v>M087</v>
      </c>
      <c r="C285">
        <f t="shared" ca="1" si="18"/>
        <v>25</v>
      </c>
      <c r="D285" s="1">
        <f t="shared" ca="1" si="19"/>
        <v>46056</v>
      </c>
    </row>
    <row r="286" spans="1:4" x14ac:dyDescent="0.25">
      <c r="A286" t="str">
        <f t="shared" si="16"/>
        <v>S285</v>
      </c>
      <c r="B286" t="str">
        <f t="shared" ca="1" si="17"/>
        <v>M061</v>
      </c>
      <c r="C286">
        <f t="shared" ca="1" si="18"/>
        <v>18</v>
      </c>
      <c r="D286" s="1">
        <f t="shared" ca="1" si="19"/>
        <v>46085</v>
      </c>
    </row>
    <row r="287" spans="1:4" x14ac:dyDescent="0.25">
      <c r="A287" t="str">
        <f t="shared" si="16"/>
        <v>S286</v>
      </c>
      <c r="B287" t="str">
        <f t="shared" ca="1" si="17"/>
        <v>M036</v>
      </c>
      <c r="C287">
        <f t="shared" ca="1" si="18"/>
        <v>7</v>
      </c>
      <c r="D287" s="1">
        <f t="shared" ca="1" si="19"/>
        <v>46066</v>
      </c>
    </row>
    <row r="288" spans="1:4" x14ac:dyDescent="0.25">
      <c r="A288" t="str">
        <f t="shared" si="16"/>
        <v>S287</v>
      </c>
      <c r="B288" t="str">
        <f t="shared" ca="1" si="17"/>
        <v>M077</v>
      </c>
      <c r="C288">
        <f t="shared" ca="1" si="18"/>
        <v>21</v>
      </c>
      <c r="D288" s="1">
        <f t="shared" ca="1" si="19"/>
        <v>46088</v>
      </c>
    </row>
    <row r="289" spans="1:4" x14ac:dyDescent="0.25">
      <c r="A289" t="str">
        <f t="shared" si="16"/>
        <v>S288</v>
      </c>
      <c r="B289" t="str">
        <f t="shared" ca="1" si="17"/>
        <v>M030</v>
      </c>
      <c r="C289">
        <f t="shared" ca="1" si="18"/>
        <v>30</v>
      </c>
      <c r="D289" s="1">
        <f t="shared" ca="1" si="19"/>
        <v>46113</v>
      </c>
    </row>
    <row r="290" spans="1:4" x14ac:dyDescent="0.25">
      <c r="A290" t="str">
        <f t="shared" si="16"/>
        <v>S289</v>
      </c>
      <c r="B290" t="str">
        <f t="shared" ca="1" si="17"/>
        <v>M091</v>
      </c>
      <c r="C290">
        <f t="shared" ca="1" si="18"/>
        <v>7</v>
      </c>
      <c r="D290" s="1">
        <f t="shared" ca="1" si="19"/>
        <v>46036</v>
      </c>
    </row>
    <row r="291" spans="1:4" x14ac:dyDescent="0.25">
      <c r="A291" t="str">
        <f t="shared" si="16"/>
        <v>S290</v>
      </c>
      <c r="B291" t="str">
        <f t="shared" ca="1" si="17"/>
        <v>M095</v>
      </c>
      <c r="C291">
        <f t="shared" ca="1" si="18"/>
        <v>26</v>
      </c>
      <c r="D291" s="1">
        <f t="shared" ca="1" si="19"/>
        <v>46048</v>
      </c>
    </row>
    <row r="292" spans="1:4" x14ac:dyDescent="0.25">
      <c r="A292" t="str">
        <f t="shared" si="16"/>
        <v>S291</v>
      </c>
      <c r="B292" t="str">
        <f t="shared" ca="1" si="17"/>
        <v>M075</v>
      </c>
      <c r="C292">
        <f t="shared" ca="1" si="18"/>
        <v>9</v>
      </c>
      <c r="D292" s="1">
        <f t="shared" ca="1" si="19"/>
        <v>46056</v>
      </c>
    </row>
    <row r="293" spans="1:4" x14ac:dyDescent="0.25">
      <c r="A293" t="str">
        <f t="shared" si="16"/>
        <v>S292</v>
      </c>
      <c r="B293" t="str">
        <f t="shared" ca="1" si="17"/>
        <v>M058</v>
      </c>
      <c r="C293">
        <f t="shared" ca="1" si="18"/>
        <v>9</v>
      </c>
      <c r="D293" s="1">
        <f t="shared" ca="1" si="19"/>
        <v>46043</v>
      </c>
    </row>
    <row r="294" spans="1:4" x14ac:dyDescent="0.25">
      <c r="A294" t="str">
        <f t="shared" si="16"/>
        <v>S293</v>
      </c>
      <c r="B294" t="str">
        <f t="shared" ca="1" si="17"/>
        <v>M074</v>
      </c>
      <c r="C294">
        <f t="shared" ca="1" si="18"/>
        <v>26</v>
      </c>
      <c r="D294" s="1">
        <f t="shared" ca="1" si="19"/>
        <v>46117</v>
      </c>
    </row>
    <row r="295" spans="1:4" x14ac:dyDescent="0.25">
      <c r="A295" t="str">
        <f t="shared" si="16"/>
        <v>S294</v>
      </c>
      <c r="B295" t="str">
        <f t="shared" ca="1" si="17"/>
        <v>M027</v>
      </c>
      <c r="C295">
        <f t="shared" ca="1" si="18"/>
        <v>23</v>
      </c>
      <c r="D295" s="1">
        <f t="shared" ca="1" si="19"/>
        <v>46076</v>
      </c>
    </row>
    <row r="296" spans="1:4" x14ac:dyDescent="0.25">
      <c r="A296" t="str">
        <f t="shared" si="16"/>
        <v>S295</v>
      </c>
      <c r="B296" t="str">
        <f t="shared" ca="1" si="17"/>
        <v>M044</v>
      </c>
      <c r="C296">
        <f t="shared" ca="1" si="18"/>
        <v>23</v>
      </c>
      <c r="D296" s="1">
        <f t="shared" ca="1" si="19"/>
        <v>46118</v>
      </c>
    </row>
    <row r="297" spans="1:4" x14ac:dyDescent="0.25">
      <c r="A297" t="str">
        <f t="shared" si="16"/>
        <v>S296</v>
      </c>
      <c r="B297" t="str">
        <f t="shared" ca="1" si="17"/>
        <v>M038</v>
      </c>
      <c r="C297">
        <f t="shared" ca="1" si="18"/>
        <v>20</v>
      </c>
      <c r="D297" s="1">
        <f t="shared" ca="1" si="19"/>
        <v>46107</v>
      </c>
    </row>
    <row r="298" spans="1:4" x14ac:dyDescent="0.25">
      <c r="A298" t="str">
        <f t="shared" si="16"/>
        <v>S297</v>
      </c>
      <c r="B298" t="str">
        <f t="shared" ca="1" si="17"/>
        <v>M056</v>
      </c>
      <c r="C298">
        <f t="shared" ca="1" si="18"/>
        <v>29</v>
      </c>
      <c r="D298" s="1">
        <f t="shared" ca="1" si="19"/>
        <v>46073</v>
      </c>
    </row>
    <row r="299" spans="1:4" x14ac:dyDescent="0.25">
      <c r="A299" t="str">
        <f t="shared" si="16"/>
        <v>S298</v>
      </c>
      <c r="B299" t="str">
        <f t="shared" ca="1" si="17"/>
        <v>M051</v>
      </c>
      <c r="C299">
        <f t="shared" ca="1" si="18"/>
        <v>28</v>
      </c>
      <c r="D299" s="1">
        <f t="shared" ca="1" si="19"/>
        <v>46089</v>
      </c>
    </row>
    <row r="300" spans="1:4" x14ac:dyDescent="0.25">
      <c r="A300" t="str">
        <f t="shared" si="16"/>
        <v>S299</v>
      </c>
      <c r="B300" t="str">
        <f t="shared" ca="1" si="17"/>
        <v>M061</v>
      </c>
      <c r="C300">
        <f t="shared" ca="1" si="18"/>
        <v>15</v>
      </c>
      <c r="D300" s="1">
        <f t="shared" ca="1" si="19"/>
        <v>46100</v>
      </c>
    </row>
    <row r="301" spans="1:4" x14ac:dyDescent="0.25">
      <c r="A301" t="str">
        <f t="shared" si="16"/>
        <v>S300</v>
      </c>
      <c r="B301" t="str">
        <f t="shared" ca="1" si="17"/>
        <v>M061</v>
      </c>
      <c r="C301">
        <f t="shared" ca="1" si="18"/>
        <v>2</v>
      </c>
      <c r="D301" s="1">
        <f t="shared" ca="1" si="19"/>
        <v>46052</v>
      </c>
    </row>
    <row r="302" spans="1:4" x14ac:dyDescent="0.25">
      <c r="A302" t="str">
        <f t="shared" si="16"/>
        <v>S301</v>
      </c>
      <c r="B302" t="str">
        <f t="shared" ca="1" si="17"/>
        <v>M029</v>
      </c>
      <c r="C302">
        <f t="shared" ca="1" si="18"/>
        <v>22</v>
      </c>
      <c r="D302" s="1">
        <f t="shared" ca="1" si="19"/>
        <v>46107</v>
      </c>
    </row>
    <row r="303" spans="1:4" x14ac:dyDescent="0.25">
      <c r="A303" t="str">
        <f t="shared" si="16"/>
        <v>S302</v>
      </c>
      <c r="B303" t="str">
        <f t="shared" ca="1" si="17"/>
        <v>M095</v>
      </c>
      <c r="C303">
        <f t="shared" ca="1" si="18"/>
        <v>18</v>
      </c>
      <c r="D303" s="1">
        <f t="shared" ca="1" si="19"/>
        <v>46051</v>
      </c>
    </row>
    <row r="304" spans="1:4" x14ac:dyDescent="0.25">
      <c r="A304" t="str">
        <f t="shared" si="16"/>
        <v>S303</v>
      </c>
      <c r="B304" t="str">
        <f t="shared" ca="1" si="17"/>
        <v>M046</v>
      </c>
      <c r="C304">
        <f t="shared" ca="1" si="18"/>
        <v>17</v>
      </c>
      <c r="D304" s="1">
        <f t="shared" ca="1" si="19"/>
        <v>46070</v>
      </c>
    </row>
    <row r="305" spans="1:4" x14ac:dyDescent="0.25">
      <c r="A305" t="str">
        <f t="shared" si="16"/>
        <v>S304</v>
      </c>
      <c r="B305" t="str">
        <f t="shared" ca="1" si="17"/>
        <v>M083</v>
      </c>
      <c r="C305">
        <f t="shared" ca="1" si="18"/>
        <v>26</v>
      </c>
      <c r="D305" s="1">
        <f t="shared" ca="1" si="19"/>
        <v>46085</v>
      </c>
    </row>
    <row r="306" spans="1:4" x14ac:dyDescent="0.25">
      <c r="A306" t="str">
        <f t="shared" si="16"/>
        <v>S305</v>
      </c>
      <c r="B306" t="str">
        <f t="shared" ca="1" si="17"/>
        <v>M026</v>
      </c>
      <c r="C306">
        <f t="shared" ca="1" si="18"/>
        <v>1</v>
      </c>
      <c r="D306" s="1">
        <f t="shared" ca="1" si="19"/>
        <v>46060</v>
      </c>
    </row>
    <row r="307" spans="1:4" x14ac:dyDescent="0.25">
      <c r="A307" t="str">
        <f t="shared" si="16"/>
        <v>S306</v>
      </c>
      <c r="B307" t="str">
        <f t="shared" ca="1" si="17"/>
        <v>M038</v>
      </c>
      <c r="C307">
        <f t="shared" ca="1" si="18"/>
        <v>2</v>
      </c>
      <c r="D307" s="1">
        <f t="shared" ca="1" si="19"/>
        <v>46078</v>
      </c>
    </row>
    <row r="308" spans="1:4" x14ac:dyDescent="0.25">
      <c r="A308" t="str">
        <f t="shared" si="16"/>
        <v>S307</v>
      </c>
      <c r="B308" t="str">
        <f t="shared" ca="1" si="17"/>
        <v>M011</v>
      </c>
      <c r="C308">
        <f t="shared" ca="1" si="18"/>
        <v>12</v>
      </c>
      <c r="D308" s="1">
        <f t="shared" ca="1" si="19"/>
        <v>46091</v>
      </c>
    </row>
    <row r="309" spans="1:4" x14ac:dyDescent="0.25">
      <c r="A309" t="str">
        <f t="shared" si="16"/>
        <v>S308</v>
      </c>
      <c r="B309" t="str">
        <f t="shared" ca="1" si="17"/>
        <v>M100</v>
      </c>
      <c r="C309">
        <f t="shared" ca="1" si="18"/>
        <v>14</v>
      </c>
      <c r="D309" s="1">
        <f t="shared" ca="1" si="19"/>
        <v>46049</v>
      </c>
    </row>
    <row r="310" spans="1:4" x14ac:dyDescent="0.25">
      <c r="A310" t="str">
        <f t="shared" si="16"/>
        <v>S309</v>
      </c>
      <c r="B310" t="str">
        <f t="shared" ca="1" si="17"/>
        <v>M084</v>
      </c>
      <c r="C310">
        <f t="shared" ca="1" si="18"/>
        <v>10</v>
      </c>
      <c r="D310" s="1">
        <f t="shared" ca="1" si="19"/>
        <v>46057</v>
      </c>
    </row>
    <row r="311" spans="1:4" x14ac:dyDescent="0.25">
      <c r="A311" t="str">
        <f t="shared" si="16"/>
        <v>S310</v>
      </c>
      <c r="B311" t="str">
        <f t="shared" ca="1" si="17"/>
        <v>M028</v>
      </c>
      <c r="C311">
        <f t="shared" ca="1" si="18"/>
        <v>16</v>
      </c>
      <c r="D311" s="1">
        <f t="shared" ca="1" si="19"/>
        <v>46062</v>
      </c>
    </row>
    <row r="312" spans="1:4" x14ac:dyDescent="0.25">
      <c r="A312" t="str">
        <f t="shared" si="16"/>
        <v>S311</v>
      </c>
      <c r="B312" t="str">
        <f t="shared" ca="1" si="17"/>
        <v>M024</v>
      </c>
      <c r="C312">
        <f t="shared" ca="1" si="18"/>
        <v>1</v>
      </c>
      <c r="D312" s="1">
        <f t="shared" ca="1" si="19"/>
        <v>46113</v>
      </c>
    </row>
    <row r="313" spans="1:4" x14ac:dyDescent="0.25">
      <c r="A313" t="str">
        <f t="shared" si="16"/>
        <v>S312</v>
      </c>
      <c r="B313" t="str">
        <f t="shared" ca="1" si="17"/>
        <v>M029</v>
      </c>
      <c r="C313">
        <f t="shared" ca="1" si="18"/>
        <v>25</v>
      </c>
      <c r="D313" s="1">
        <f t="shared" ca="1" si="19"/>
        <v>46058</v>
      </c>
    </row>
    <row r="314" spans="1:4" x14ac:dyDescent="0.25">
      <c r="A314" t="str">
        <f t="shared" si="16"/>
        <v>S313</v>
      </c>
      <c r="B314" t="str">
        <f t="shared" ca="1" si="17"/>
        <v>M091</v>
      </c>
      <c r="C314">
        <f t="shared" ca="1" si="18"/>
        <v>17</v>
      </c>
      <c r="D314" s="1">
        <f t="shared" ca="1" si="19"/>
        <v>46117</v>
      </c>
    </row>
    <row r="315" spans="1:4" x14ac:dyDescent="0.25">
      <c r="A315" t="str">
        <f t="shared" si="16"/>
        <v>S314</v>
      </c>
      <c r="B315" t="str">
        <f t="shared" ca="1" si="17"/>
        <v>M098</v>
      </c>
      <c r="C315">
        <f t="shared" ca="1" si="18"/>
        <v>2</v>
      </c>
      <c r="D315" s="1">
        <f t="shared" ca="1" si="19"/>
        <v>46032</v>
      </c>
    </row>
    <row r="316" spans="1:4" x14ac:dyDescent="0.25">
      <c r="A316" t="str">
        <f t="shared" si="16"/>
        <v>S315</v>
      </c>
      <c r="B316" t="str">
        <f t="shared" ca="1" si="17"/>
        <v>M020</v>
      </c>
      <c r="C316">
        <f t="shared" ca="1" si="18"/>
        <v>26</v>
      </c>
      <c r="D316" s="1">
        <f t="shared" ca="1" si="19"/>
        <v>46036</v>
      </c>
    </row>
    <row r="317" spans="1:4" x14ac:dyDescent="0.25">
      <c r="A317" t="str">
        <f t="shared" si="16"/>
        <v>S316</v>
      </c>
      <c r="B317" t="str">
        <f t="shared" ca="1" si="17"/>
        <v>M081</v>
      </c>
      <c r="C317">
        <f t="shared" ca="1" si="18"/>
        <v>10</v>
      </c>
      <c r="D317" s="1">
        <f t="shared" ca="1" si="19"/>
        <v>46045</v>
      </c>
    </row>
    <row r="318" spans="1:4" x14ac:dyDescent="0.25">
      <c r="A318" t="str">
        <f t="shared" si="16"/>
        <v>S317</v>
      </c>
      <c r="B318" t="str">
        <f t="shared" ca="1" si="17"/>
        <v>M086</v>
      </c>
      <c r="C318">
        <f t="shared" ca="1" si="18"/>
        <v>4</v>
      </c>
      <c r="D318" s="1">
        <f t="shared" ca="1" si="19"/>
        <v>46071</v>
      </c>
    </row>
    <row r="319" spans="1:4" x14ac:dyDescent="0.25">
      <c r="A319" t="str">
        <f t="shared" si="16"/>
        <v>S318</v>
      </c>
      <c r="B319" t="str">
        <f t="shared" ca="1" si="17"/>
        <v>M043</v>
      </c>
      <c r="C319">
        <f t="shared" ca="1" si="18"/>
        <v>25</v>
      </c>
      <c r="D319" s="1">
        <f t="shared" ca="1" si="19"/>
        <v>46044</v>
      </c>
    </row>
    <row r="320" spans="1:4" x14ac:dyDescent="0.25">
      <c r="A320" t="str">
        <f t="shared" si="16"/>
        <v>S319</v>
      </c>
      <c r="B320" t="str">
        <f t="shared" ca="1" si="17"/>
        <v>M005</v>
      </c>
      <c r="C320">
        <f t="shared" ca="1" si="18"/>
        <v>5</v>
      </c>
      <c r="D320" s="1">
        <f t="shared" ca="1" si="19"/>
        <v>46084</v>
      </c>
    </row>
    <row r="321" spans="1:4" x14ac:dyDescent="0.25">
      <c r="A321" t="str">
        <f t="shared" si="16"/>
        <v>S320</v>
      </c>
      <c r="B321" t="str">
        <f t="shared" ca="1" si="17"/>
        <v>M097</v>
      </c>
      <c r="C321">
        <f t="shared" ca="1" si="18"/>
        <v>7</v>
      </c>
      <c r="D321" s="1">
        <f t="shared" ca="1" si="19"/>
        <v>46063</v>
      </c>
    </row>
    <row r="322" spans="1:4" x14ac:dyDescent="0.25">
      <c r="A322" t="str">
        <f t="shared" si="16"/>
        <v>S321</v>
      </c>
      <c r="B322" t="str">
        <f t="shared" ca="1" si="17"/>
        <v>M020</v>
      </c>
      <c r="C322">
        <f t="shared" ca="1" si="18"/>
        <v>16</v>
      </c>
      <c r="D322" s="1">
        <f t="shared" ca="1" si="19"/>
        <v>46104</v>
      </c>
    </row>
    <row r="323" spans="1:4" x14ac:dyDescent="0.25">
      <c r="A323" t="str">
        <f t="shared" ref="A323:A386" si="20">"S"&amp;TEXT(ROW(A322),"000")</f>
        <v>S322</v>
      </c>
      <c r="B323" t="str">
        <f t="shared" ref="B323:B386" ca="1" si="21">"M"&amp;TEXT(RANDBETWEEN(1,100),"000")</f>
        <v>M074</v>
      </c>
      <c r="C323">
        <f t="shared" ref="C323:C386" ca="1" si="22">RANDBETWEEN(1,30)</f>
        <v>12</v>
      </c>
      <c r="D323" s="1">
        <f t="shared" ref="D323:D386" ca="1" si="23">TODAY()-RANDBETWEEN(1,90)</f>
        <v>46056</v>
      </c>
    </row>
    <row r="324" spans="1:4" x14ac:dyDescent="0.25">
      <c r="A324" t="str">
        <f t="shared" si="20"/>
        <v>S323</v>
      </c>
      <c r="B324" t="str">
        <f t="shared" ca="1" si="21"/>
        <v>M085</v>
      </c>
      <c r="C324">
        <f t="shared" ca="1" si="22"/>
        <v>5</v>
      </c>
      <c r="D324" s="1">
        <f t="shared" ca="1" si="23"/>
        <v>46044</v>
      </c>
    </row>
    <row r="325" spans="1:4" x14ac:dyDescent="0.25">
      <c r="A325" t="str">
        <f t="shared" si="20"/>
        <v>S324</v>
      </c>
      <c r="B325" t="str">
        <f t="shared" ca="1" si="21"/>
        <v>M034</v>
      </c>
      <c r="C325">
        <f t="shared" ca="1" si="22"/>
        <v>21</v>
      </c>
      <c r="D325" s="1">
        <f t="shared" ca="1" si="23"/>
        <v>46043</v>
      </c>
    </row>
    <row r="326" spans="1:4" x14ac:dyDescent="0.25">
      <c r="A326" t="str">
        <f t="shared" si="20"/>
        <v>S325</v>
      </c>
      <c r="B326" t="str">
        <f t="shared" ca="1" si="21"/>
        <v>M041</v>
      </c>
      <c r="C326">
        <f t="shared" ca="1" si="22"/>
        <v>20</v>
      </c>
      <c r="D326" s="1">
        <f t="shared" ca="1" si="23"/>
        <v>46071</v>
      </c>
    </row>
    <row r="327" spans="1:4" x14ac:dyDescent="0.25">
      <c r="A327" t="str">
        <f t="shared" si="20"/>
        <v>S326</v>
      </c>
      <c r="B327" t="str">
        <f t="shared" ca="1" si="21"/>
        <v>M100</v>
      </c>
      <c r="C327">
        <f t="shared" ca="1" si="22"/>
        <v>10</v>
      </c>
      <c r="D327" s="1">
        <f t="shared" ca="1" si="23"/>
        <v>46031</v>
      </c>
    </row>
    <row r="328" spans="1:4" x14ac:dyDescent="0.25">
      <c r="A328" t="str">
        <f t="shared" si="20"/>
        <v>S327</v>
      </c>
      <c r="B328" t="str">
        <f t="shared" ca="1" si="21"/>
        <v>M075</v>
      </c>
      <c r="C328">
        <f t="shared" ca="1" si="22"/>
        <v>11</v>
      </c>
      <c r="D328" s="1">
        <f t="shared" ca="1" si="23"/>
        <v>46056</v>
      </c>
    </row>
    <row r="329" spans="1:4" x14ac:dyDescent="0.25">
      <c r="A329" t="str">
        <f t="shared" si="20"/>
        <v>S328</v>
      </c>
      <c r="B329" t="str">
        <f t="shared" ca="1" si="21"/>
        <v>M030</v>
      </c>
      <c r="C329">
        <f t="shared" ca="1" si="22"/>
        <v>7</v>
      </c>
      <c r="D329" s="1">
        <f t="shared" ca="1" si="23"/>
        <v>46064</v>
      </c>
    </row>
    <row r="330" spans="1:4" x14ac:dyDescent="0.25">
      <c r="A330" t="str">
        <f t="shared" si="20"/>
        <v>S329</v>
      </c>
      <c r="B330" t="str">
        <f t="shared" ca="1" si="21"/>
        <v>M080</v>
      </c>
      <c r="C330">
        <f t="shared" ca="1" si="22"/>
        <v>30</v>
      </c>
      <c r="D330" s="1">
        <f t="shared" ca="1" si="23"/>
        <v>46109</v>
      </c>
    </row>
    <row r="331" spans="1:4" x14ac:dyDescent="0.25">
      <c r="A331" t="str">
        <f t="shared" si="20"/>
        <v>S330</v>
      </c>
      <c r="B331" t="str">
        <f t="shared" ca="1" si="21"/>
        <v>M061</v>
      </c>
      <c r="C331">
        <f t="shared" ca="1" si="22"/>
        <v>17</v>
      </c>
      <c r="D331" s="1">
        <f t="shared" ca="1" si="23"/>
        <v>46097</v>
      </c>
    </row>
    <row r="332" spans="1:4" x14ac:dyDescent="0.25">
      <c r="A332" t="str">
        <f t="shared" si="20"/>
        <v>S331</v>
      </c>
      <c r="B332" t="str">
        <f t="shared" ca="1" si="21"/>
        <v>M002</v>
      </c>
      <c r="C332">
        <f t="shared" ca="1" si="22"/>
        <v>26</v>
      </c>
      <c r="D332" s="1">
        <f t="shared" ca="1" si="23"/>
        <v>46054</v>
      </c>
    </row>
    <row r="333" spans="1:4" x14ac:dyDescent="0.25">
      <c r="A333" t="str">
        <f t="shared" si="20"/>
        <v>S332</v>
      </c>
      <c r="B333" t="str">
        <f t="shared" ca="1" si="21"/>
        <v>M077</v>
      </c>
      <c r="C333">
        <f t="shared" ca="1" si="22"/>
        <v>18</v>
      </c>
      <c r="D333" s="1">
        <f t="shared" ca="1" si="23"/>
        <v>46055</v>
      </c>
    </row>
    <row r="334" spans="1:4" x14ac:dyDescent="0.25">
      <c r="A334" t="str">
        <f t="shared" si="20"/>
        <v>S333</v>
      </c>
      <c r="B334" t="str">
        <f t="shared" ca="1" si="21"/>
        <v>M018</v>
      </c>
      <c r="C334">
        <f t="shared" ca="1" si="22"/>
        <v>8</v>
      </c>
      <c r="D334" s="1">
        <f t="shared" ca="1" si="23"/>
        <v>46069</v>
      </c>
    </row>
    <row r="335" spans="1:4" x14ac:dyDescent="0.25">
      <c r="A335" t="str">
        <f t="shared" si="20"/>
        <v>S334</v>
      </c>
      <c r="B335" t="str">
        <f t="shared" ca="1" si="21"/>
        <v>M088</v>
      </c>
      <c r="C335">
        <f t="shared" ca="1" si="22"/>
        <v>16</v>
      </c>
      <c r="D335" s="1">
        <f t="shared" ca="1" si="23"/>
        <v>46108</v>
      </c>
    </row>
    <row r="336" spans="1:4" x14ac:dyDescent="0.25">
      <c r="A336" t="str">
        <f t="shared" si="20"/>
        <v>S335</v>
      </c>
      <c r="B336" t="str">
        <f t="shared" ca="1" si="21"/>
        <v>M046</v>
      </c>
      <c r="C336">
        <f t="shared" ca="1" si="22"/>
        <v>15</v>
      </c>
      <c r="D336" s="1">
        <f t="shared" ca="1" si="23"/>
        <v>46056</v>
      </c>
    </row>
    <row r="337" spans="1:4" x14ac:dyDescent="0.25">
      <c r="A337" t="str">
        <f t="shared" si="20"/>
        <v>S336</v>
      </c>
      <c r="B337" t="str">
        <f t="shared" ca="1" si="21"/>
        <v>M014</v>
      </c>
      <c r="C337">
        <f t="shared" ca="1" si="22"/>
        <v>16</v>
      </c>
      <c r="D337" s="1">
        <f t="shared" ca="1" si="23"/>
        <v>46052</v>
      </c>
    </row>
    <row r="338" spans="1:4" x14ac:dyDescent="0.25">
      <c r="A338" t="str">
        <f t="shared" si="20"/>
        <v>S337</v>
      </c>
      <c r="B338" t="str">
        <f t="shared" ca="1" si="21"/>
        <v>M054</v>
      </c>
      <c r="C338">
        <f t="shared" ca="1" si="22"/>
        <v>21</v>
      </c>
      <c r="D338" s="1">
        <f t="shared" ca="1" si="23"/>
        <v>46076</v>
      </c>
    </row>
    <row r="339" spans="1:4" x14ac:dyDescent="0.25">
      <c r="A339" t="str">
        <f t="shared" si="20"/>
        <v>S338</v>
      </c>
      <c r="B339" t="str">
        <f t="shared" ca="1" si="21"/>
        <v>M097</v>
      </c>
      <c r="C339">
        <f t="shared" ca="1" si="22"/>
        <v>5</v>
      </c>
      <c r="D339" s="1">
        <f t="shared" ca="1" si="23"/>
        <v>46065</v>
      </c>
    </row>
    <row r="340" spans="1:4" x14ac:dyDescent="0.25">
      <c r="A340" t="str">
        <f t="shared" si="20"/>
        <v>S339</v>
      </c>
      <c r="B340" t="str">
        <f t="shared" ca="1" si="21"/>
        <v>M033</v>
      </c>
      <c r="C340">
        <f t="shared" ca="1" si="22"/>
        <v>2</v>
      </c>
      <c r="D340" s="1">
        <f t="shared" ca="1" si="23"/>
        <v>46118</v>
      </c>
    </row>
    <row r="341" spans="1:4" x14ac:dyDescent="0.25">
      <c r="A341" t="str">
        <f t="shared" si="20"/>
        <v>S340</v>
      </c>
      <c r="B341" t="str">
        <f t="shared" ca="1" si="21"/>
        <v>M010</v>
      </c>
      <c r="C341">
        <f t="shared" ca="1" si="22"/>
        <v>29</v>
      </c>
      <c r="D341" s="1">
        <f t="shared" ca="1" si="23"/>
        <v>46046</v>
      </c>
    </row>
    <row r="342" spans="1:4" x14ac:dyDescent="0.25">
      <c r="A342" t="str">
        <f t="shared" si="20"/>
        <v>S341</v>
      </c>
      <c r="B342" t="str">
        <f t="shared" ca="1" si="21"/>
        <v>M035</v>
      </c>
      <c r="C342">
        <f t="shared" ca="1" si="22"/>
        <v>30</v>
      </c>
      <c r="D342" s="1">
        <f t="shared" ca="1" si="23"/>
        <v>46104</v>
      </c>
    </row>
    <row r="343" spans="1:4" x14ac:dyDescent="0.25">
      <c r="A343" t="str">
        <f t="shared" si="20"/>
        <v>S342</v>
      </c>
      <c r="B343" t="str">
        <f t="shared" ca="1" si="21"/>
        <v>M056</v>
      </c>
      <c r="C343">
        <f t="shared" ca="1" si="22"/>
        <v>23</v>
      </c>
      <c r="D343" s="1">
        <f t="shared" ca="1" si="23"/>
        <v>46112</v>
      </c>
    </row>
    <row r="344" spans="1:4" x14ac:dyDescent="0.25">
      <c r="A344" t="str">
        <f t="shared" si="20"/>
        <v>S343</v>
      </c>
      <c r="B344" t="str">
        <f t="shared" ca="1" si="21"/>
        <v>M012</v>
      </c>
      <c r="C344">
        <f t="shared" ca="1" si="22"/>
        <v>15</v>
      </c>
      <c r="D344" s="1">
        <f t="shared" ca="1" si="23"/>
        <v>46056</v>
      </c>
    </row>
    <row r="345" spans="1:4" x14ac:dyDescent="0.25">
      <c r="A345" t="str">
        <f t="shared" si="20"/>
        <v>S344</v>
      </c>
      <c r="B345" t="str">
        <f t="shared" ca="1" si="21"/>
        <v>M072</v>
      </c>
      <c r="C345">
        <f t="shared" ca="1" si="22"/>
        <v>6</v>
      </c>
      <c r="D345" s="1">
        <f t="shared" ca="1" si="23"/>
        <v>46103</v>
      </c>
    </row>
    <row r="346" spans="1:4" x14ac:dyDescent="0.25">
      <c r="A346" t="str">
        <f t="shared" si="20"/>
        <v>S345</v>
      </c>
      <c r="B346" t="str">
        <f t="shared" ca="1" si="21"/>
        <v>M027</v>
      </c>
      <c r="C346">
        <f t="shared" ca="1" si="22"/>
        <v>15</v>
      </c>
      <c r="D346" s="1">
        <f t="shared" ca="1" si="23"/>
        <v>46089</v>
      </c>
    </row>
    <row r="347" spans="1:4" x14ac:dyDescent="0.25">
      <c r="A347" t="str">
        <f t="shared" si="20"/>
        <v>S346</v>
      </c>
      <c r="B347" t="str">
        <f t="shared" ca="1" si="21"/>
        <v>M081</v>
      </c>
      <c r="C347">
        <f t="shared" ca="1" si="22"/>
        <v>18</v>
      </c>
      <c r="D347" s="1">
        <f t="shared" ca="1" si="23"/>
        <v>46031</v>
      </c>
    </row>
    <row r="348" spans="1:4" x14ac:dyDescent="0.25">
      <c r="A348" t="str">
        <f t="shared" si="20"/>
        <v>S347</v>
      </c>
      <c r="B348" t="str">
        <f t="shared" ca="1" si="21"/>
        <v>M043</v>
      </c>
      <c r="C348">
        <f t="shared" ca="1" si="22"/>
        <v>23</v>
      </c>
      <c r="D348" s="1">
        <f t="shared" ca="1" si="23"/>
        <v>46076</v>
      </c>
    </row>
    <row r="349" spans="1:4" x14ac:dyDescent="0.25">
      <c r="A349" t="str">
        <f t="shared" si="20"/>
        <v>S348</v>
      </c>
      <c r="B349" t="str">
        <f t="shared" ca="1" si="21"/>
        <v>M010</v>
      </c>
      <c r="C349">
        <f t="shared" ca="1" si="22"/>
        <v>5</v>
      </c>
      <c r="D349" s="1">
        <f t="shared" ca="1" si="23"/>
        <v>46103</v>
      </c>
    </row>
    <row r="350" spans="1:4" x14ac:dyDescent="0.25">
      <c r="A350" t="str">
        <f t="shared" si="20"/>
        <v>S349</v>
      </c>
      <c r="B350" t="str">
        <f t="shared" ca="1" si="21"/>
        <v>M050</v>
      </c>
      <c r="C350">
        <f t="shared" ca="1" si="22"/>
        <v>5</v>
      </c>
      <c r="D350" s="1">
        <f t="shared" ca="1" si="23"/>
        <v>46076</v>
      </c>
    </row>
    <row r="351" spans="1:4" x14ac:dyDescent="0.25">
      <c r="A351" t="str">
        <f t="shared" si="20"/>
        <v>S350</v>
      </c>
      <c r="B351" t="str">
        <f t="shared" ca="1" si="21"/>
        <v>M037</v>
      </c>
      <c r="C351">
        <f t="shared" ca="1" si="22"/>
        <v>21</v>
      </c>
      <c r="D351" s="1">
        <f t="shared" ca="1" si="23"/>
        <v>46040</v>
      </c>
    </row>
    <row r="352" spans="1:4" x14ac:dyDescent="0.25">
      <c r="A352" t="str">
        <f t="shared" si="20"/>
        <v>S351</v>
      </c>
      <c r="B352" t="str">
        <f t="shared" ca="1" si="21"/>
        <v>M093</v>
      </c>
      <c r="C352">
        <f t="shared" ca="1" si="22"/>
        <v>25</v>
      </c>
      <c r="D352" s="1">
        <f t="shared" ca="1" si="23"/>
        <v>46061</v>
      </c>
    </row>
    <row r="353" spans="1:4" x14ac:dyDescent="0.25">
      <c r="A353" t="str">
        <f t="shared" si="20"/>
        <v>S352</v>
      </c>
      <c r="B353" t="str">
        <f t="shared" ca="1" si="21"/>
        <v>M042</v>
      </c>
      <c r="C353">
        <f t="shared" ca="1" si="22"/>
        <v>28</v>
      </c>
      <c r="D353" s="1">
        <f t="shared" ca="1" si="23"/>
        <v>46032</v>
      </c>
    </row>
    <row r="354" spans="1:4" x14ac:dyDescent="0.25">
      <c r="A354" t="str">
        <f t="shared" si="20"/>
        <v>S353</v>
      </c>
      <c r="B354" t="str">
        <f t="shared" ca="1" si="21"/>
        <v>M013</v>
      </c>
      <c r="C354">
        <f t="shared" ca="1" si="22"/>
        <v>21</v>
      </c>
      <c r="D354" s="1">
        <f t="shared" ca="1" si="23"/>
        <v>46044</v>
      </c>
    </row>
    <row r="355" spans="1:4" x14ac:dyDescent="0.25">
      <c r="A355" t="str">
        <f t="shared" si="20"/>
        <v>S354</v>
      </c>
      <c r="B355" t="str">
        <f t="shared" ca="1" si="21"/>
        <v>M012</v>
      </c>
      <c r="C355">
        <f t="shared" ca="1" si="22"/>
        <v>21</v>
      </c>
      <c r="D355" s="1">
        <f t="shared" ca="1" si="23"/>
        <v>46050</v>
      </c>
    </row>
    <row r="356" spans="1:4" x14ac:dyDescent="0.25">
      <c r="A356" t="str">
        <f t="shared" si="20"/>
        <v>S355</v>
      </c>
      <c r="B356" t="str">
        <f t="shared" ca="1" si="21"/>
        <v>M056</v>
      </c>
      <c r="C356">
        <f t="shared" ca="1" si="22"/>
        <v>3</v>
      </c>
      <c r="D356" s="1">
        <f t="shared" ca="1" si="23"/>
        <v>46073</v>
      </c>
    </row>
    <row r="357" spans="1:4" x14ac:dyDescent="0.25">
      <c r="A357" t="str">
        <f t="shared" si="20"/>
        <v>S356</v>
      </c>
      <c r="B357" t="str">
        <f t="shared" ca="1" si="21"/>
        <v>M062</v>
      </c>
      <c r="C357">
        <f t="shared" ca="1" si="22"/>
        <v>4</v>
      </c>
      <c r="D357" s="1">
        <f t="shared" ca="1" si="23"/>
        <v>46068</v>
      </c>
    </row>
    <row r="358" spans="1:4" x14ac:dyDescent="0.25">
      <c r="A358" t="str">
        <f t="shared" si="20"/>
        <v>S357</v>
      </c>
      <c r="B358" t="str">
        <f t="shared" ca="1" si="21"/>
        <v>M076</v>
      </c>
      <c r="C358">
        <f t="shared" ca="1" si="22"/>
        <v>24</v>
      </c>
      <c r="D358" s="1">
        <f t="shared" ca="1" si="23"/>
        <v>46037</v>
      </c>
    </row>
    <row r="359" spans="1:4" x14ac:dyDescent="0.25">
      <c r="A359" t="str">
        <f t="shared" si="20"/>
        <v>S358</v>
      </c>
      <c r="B359" t="str">
        <f t="shared" ca="1" si="21"/>
        <v>M007</v>
      </c>
      <c r="C359">
        <f t="shared" ca="1" si="22"/>
        <v>30</v>
      </c>
      <c r="D359" s="1">
        <f t="shared" ca="1" si="23"/>
        <v>46050</v>
      </c>
    </row>
    <row r="360" spans="1:4" x14ac:dyDescent="0.25">
      <c r="A360" t="str">
        <f t="shared" si="20"/>
        <v>S359</v>
      </c>
      <c r="B360" t="str">
        <f t="shared" ca="1" si="21"/>
        <v>M071</v>
      </c>
      <c r="C360">
        <f t="shared" ca="1" si="22"/>
        <v>23</v>
      </c>
      <c r="D360" s="1">
        <f t="shared" ca="1" si="23"/>
        <v>46109</v>
      </c>
    </row>
    <row r="361" spans="1:4" x14ac:dyDescent="0.25">
      <c r="A361" t="str">
        <f t="shared" si="20"/>
        <v>S360</v>
      </c>
      <c r="B361" t="str">
        <f t="shared" ca="1" si="21"/>
        <v>M085</v>
      </c>
      <c r="C361">
        <f t="shared" ca="1" si="22"/>
        <v>4</v>
      </c>
      <c r="D361" s="1">
        <f t="shared" ca="1" si="23"/>
        <v>46030</v>
      </c>
    </row>
    <row r="362" spans="1:4" x14ac:dyDescent="0.25">
      <c r="A362" t="str">
        <f t="shared" si="20"/>
        <v>S361</v>
      </c>
      <c r="B362" t="str">
        <f t="shared" ca="1" si="21"/>
        <v>M051</v>
      </c>
      <c r="C362">
        <f t="shared" ca="1" si="22"/>
        <v>25</v>
      </c>
      <c r="D362" s="1">
        <f t="shared" ca="1" si="23"/>
        <v>46092</v>
      </c>
    </row>
    <row r="363" spans="1:4" x14ac:dyDescent="0.25">
      <c r="A363" t="str">
        <f t="shared" si="20"/>
        <v>S362</v>
      </c>
      <c r="B363" t="str">
        <f t="shared" ca="1" si="21"/>
        <v>M001</v>
      </c>
      <c r="C363">
        <f t="shared" ca="1" si="22"/>
        <v>7</v>
      </c>
      <c r="D363" s="1">
        <f t="shared" ca="1" si="23"/>
        <v>46030</v>
      </c>
    </row>
    <row r="364" spans="1:4" x14ac:dyDescent="0.25">
      <c r="A364" t="str">
        <f t="shared" si="20"/>
        <v>S363</v>
      </c>
      <c r="B364" t="str">
        <f t="shared" ca="1" si="21"/>
        <v>M099</v>
      </c>
      <c r="C364">
        <f t="shared" ca="1" si="22"/>
        <v>16</v>
      </c>
      <c r="D364" s="1">
        <f t="shared" ca="1" si="23"/>
        <v>46081</v>
      </c>
    </row>
    <row r="365" spans="1:4" x14ac:dyDescent="0.25">
      <c r="A365" t="str">
        <f t="shared" si="20"/>
        <v>S364</v>
      </c>
      <c r="B365" t="str">
        <f t="shared" ca="1" si="21"/>
        <v>M063</v>
      </c>
      <c r="C365">
        <f t="shared" ca="1" si="22"/>
        <v>16</v>
      </c>
      <c r="D365" s="1">
        <f t="shared" ca="1" si="23"/>
        <v>46066</v>
      </c>
    </row>
    <row r="366" spans="1:4" x14ac:dyDescent="0.25">
      <c r="A366" t="str">
        <f t="shared" si="20"/>
        <v>S365</v>
      </c>
      <c r="B366" t="str">
        <f t="shared" ca="1" si="21"/>
        <v>M052</v>
      </c>
      <c r="C366">
        <f t="shared" ca="1" si="22"/>
        <v>1</v>
      </c>
      <c r="D366" s="1">
        <f t="shared" ca="1" si="23"/>
        <v>46072</v>
      </c>
    </row>
    <row r="367" spans="1:4" x14ac:dyDescent="0.25">
      <c r="A367" t="str">
        <f t="shared" si="20"/>
        <v>S366</v>
      </c>
      <c r="B367" t="str">
        <f t="shared" ca="1" si="21"/>
        <v>M094</v>
      </c>
      <c r="C367">
        <f t="shared" ca="1" si="22"/>
        <v>15</v>
      </c>
      <c r="D367" s="1">
        <f t="shared" ca="1" si="23"/>
        <v>46029</v>
      </c>
    </row>
    <row r="368" spans="1:4" x14ac:dyDescent="0.25">
      <c r="A368" t="str">
        <f t="shared" si="20"/>
        <v>S367</v>
      </c>
      <c r="B368" t="str">
        <f t="shared" ca="1" si="21"/>
        <v>M042</v>
      </c>
      <c r="C368">
        <f t="shared" ca="1" si="22"/>
        <v>27</v>
      </c>
      <c r="D368" s="1">
        <f t="shared" ca="1" si="23"/>
        <v>46073</v>
      </c>
    </row>
    <row r="369" spans="1:4" x14ac:dyDescent="0.25">
      <c r="A369" t="str">
        <f t="shared" si="20"/>
        <v>S368</v>
      </c>
      <c r="B369" t="str">
        <f t="shared" ca="1" si="21"/>
        <v>M013</v>
      </c>
      <c r="C369">
        <f t="shared" ca="1" si="22"/>
        <v>3</v>
      </c>
      <c r="D369" s="1">
        <f t="shared" ca="1" si="23"/>
        <v>46032</v>
      </c>
    </row>
    <row r="370" spans="1:4" x14ac:dyDescent="0.25">
      <c r="A370" t="str">
        <f t="shared" si="20"/>
        <v>S369</v>
      </c>
      <c r="B370" t="str">
        <f t="shared" ca="1" si="21"/>
        <v>M063</v>
      </c>
      <c r="C370">
        <f t="shared" ca="1" si="22"/>
        <v>29</v>
      </c>
      <c r="D370" s="1">
        <f t="shared" ca="1" si="23"/>
        <v>46071</v>
      </c>
    </row>
    <row r="371" spans="1:4" x14ac:dyDescent="0.25">
      <c r="A371" t="str">
        <f t="shared" si="20"/>
        <v>S370</v>
      </c>
      <c r="B371" t="str">
        <f t="shared" ca="1" si="21"/>
        <v>M064</v>
      </c>
      <c r="C371">
        <f t="shared" ca="1" si="22"/>
        <v>23</v>
      </c>
      <c r="D371" s="1">
        <f t="shared" ca="1" si="23"/>
        <v>46058</v>
      </c>
    </row>
    <row r="372" spans="1:4" x14ac:dyDescent="0.25">
      <c r="A372" t="str">
        <f t="shared" si="20"/>
        <v>S371</v>
      </c>
      <c r="B372" t="str">
        <f t="shared" ca="1" si="21"/>
        <v>M078</v>
      </c>
      <c r="C372">
        <f t="shared" ca="1" si="22"/>
        <v>19</v>
      </c>
      <c r="D372" s="1">
        <f t="shared" ca="1" si="23"/>
        <v>46047</v>
      </c>
    </row>
    <row r="373" spans="1:4" x14ac:dyDescent="0.25">
      <c r="A373" t="str">
        <f t="shared" si="20"/>
        <v>S372</v>
      </c>
      <c r="B373" t="str">
        <f t="shared" ca="1" si="21"/>
        <v>M037</v>
      </c>
      <c r="C373">
        <f t="shared" ca="1" si="22"/>
        <v>28</v>
      </c>
      <c r="D373" s="1">
        <f t="shared" ca="1" si="23"/>
        <v>46070</v>
      </c>
    </row>
    <row r="374" spans="1:4" x14ac:dyDescent="0.25">
      <c r="A374" t="str">
        <f t="shared" si="20"/>
        <v>S373</v>
      </c>
      <c r="B374" t="str">
        <f t="shared" ca="1" si="21"/>
        <v>M057</v>
      </c>
      <c r="C374">
        <f t="shared" ca="1" si="22"/>
        <v>4</v>
      </c>
      <c r="D374" s="1">
        <f t="shared" ca="1" si="23"/>
        <v>46115</v>
      </c>
    </row>
    <row r="375" spans="1:4" x14ac:dyDescent="0.25">
      <c r="A375" t="str">
        <f t="shared" si="20"/>
        <v>S374</v>
      </c>
      <c r="B375" t="str">
        <f t="shared" ca="1" si="21"/>
        <v>M052</v>
      </c>
      <c r="C375">
        <f t="shared" ca="1" si="22"/>
        <v>21</v>
      </c>
      <c r="D375" s="1">
        <f t="shared" ca="1" si="23"/>
        <v>46087</v>
      </c>
    </row>
    <row r="376" spans="1:4" x14ac:dyDescent="0.25">
      <c r="A376" t="str">
        <f t="shared" si="20"/>
        <v>S375</v>
      </c>
      <c r="B376" t="str">
        <f t="shared" ca="1" si="21"/>
        <v>M062</v>
      </c>
      <c r="C376">
        <f t="shared" ca="1" si="22"/>
        <v>16</v>
      </c>
      <c r="D376" s="1">
        <f t="shared" ca="1" si="23"/>
        <v>46103</v>
      </c>
    </row>
    <row r="377" spans="1:4" x14ac:dyDescent="0.25">
      <c r="A377" t="str">
        <f t="shared" si="20"/>
        <v>S376</v>
      </c>
      <c r="B377" t="str">
        <f t="shared" ca="1" si="21"/>
        <v>M003</v>
      </c>
      <c r="C377">
        <f t="shared" ca="1" si="22"/>
        <v>9</v>
      </c>
      <c r="D377" s="1">
        <f t="shared" ca="1" si="23"/>
        <v>46106</v>
      </c>
    </row>
    <row r="378" spans="1:4" x14ac:dyDescent="0.25">
      <c r="A378" t="str">
        <f t="shared" si="20"/>
        <v>S377</v>
      </c>
      <c r="B378" t="str">
        <f t="shared" ca="1" si="21"/>
        <v>M091</v>
      </c>
      <c r="C378">
        <f t="shared" ca="1" si="22"/>
        <v>15</v>
      </c>
      <c r="D378" s="1">
        <f t="shared" ca="1" si="23"/>
        <v>46058</v>
      </c>
    </row>
    <row r="379" spans="1:4" x14ac:dyDescent="0.25">
      <c r="A379" t="str">
        <f t="shared" si="20"/>
        <v>S378</v>
      </c>
      <c r="B379" t="str">
        <f t="shared" ca="1" si="21"/>
        <v>M097</v>
      </c>
      <c r="C379">
        <f t="shared" ca="1" si="22"/>
        <v>11</v>
      </c>
      <c r="D379" s="1">
        <f t="shared" ca="1" si="23"/>
        <v>46109</v>
      </c>
    </row>
    <row r="380" spans="1:4" x14ac:dyDescent="0.25">
      <c r="A380" t="str">
        <f t="shared" si="20"/>
        <v>S379</v>
      </c>
      <c r="B380" t="str">
        <f t="shared" ca="1" si="21"/>
        <v>M011</v>
      </c>
      <c r="C380">
        <f t="shared" ca="1" si="22"/>
        <v>13</v>
      </c>
      <c r="D380" s="1">
        <f t="shared" ca="1" si="23"/>
        <v>46034</v>
      </c>
    </row>
    <row r="381" spans="1:4" x14ac:dyDescent="0.25">
      <c r="A381" t="str">
        <f t="shared" si="20"/>
        <v>S380</v>
      </c>
      <c r="B381" t="str">
        <f t="shared" ca="1" si="21"/>
        <v>M012</v>
      </c>
      <c r="C381">
        <f t="shared" ca="1" si="22"/>
        <v>15</v>
      </c>
      <c r="D381" s="1">
        <f t="shared" ca="1" si="23"/>
        <v>46077</v>
      </c>
    </row>
    <row r="382" spans="1:4" x14ac:dyDescent="0.25">
      <c r="A382" t="str">
        <f t="shared" si="20"/>
        <v>S381</v>
      </c>
      <c r="B382" t="str">
        <f t="shared" ca="1" si="21"/>
        <v>M098</v>
      </c>
      <c r="C382">
        <f t="shared" ca="1" si="22"/>
        <v>29</v>
      </c>
      <c r="D382" s="1">
        <f t="shared" ca="1" si="23"/>
        <v>46052</v>
      </c>
    </row>
    <row r="383" spans="1:4" x14ac:dyDescent="0.25">
      <c r="A383" t="str">
        <f t="shared" si="20"/>
        <v>S382</v>
      </c>
      <c r="B383" t="str">
        <f t="shared" ca="1" si="21"/>
        <v>M009</v>
      </c>
      <c r="C383">
        <f t="shared" ca="1" si="22"/>
        <v>4</v>
      </c>
      <c r="D383" s="1">
        <f t="shared" ca="1" si="23"/>
        <v>46099</v>
      </c>
    </row>
    <row r="384" spans="1:4" x14ac:dyDescent="0.25">
      <c r="A384" t="str">
        <f t="shared" si="20"/>
        <v>S383</v>
      </c>
      <c r="B384" t="str">
        <f t="shared" ca="1" si="21"/>
        <v>M022</v>
      </c>
      <c r="C384">
        <f t="shared" ca="1" si="22"/>
        <v>5</v>
      </c>
      <c r="D384" s="1">
        <f t="shared" ca="1" si="23"/>
        <v>46032</v>
      </c>
    </row>
    <row r="385" spans="1:4" x14ac:dyDescent="0.25">
      <c r="A385" t="str">
        <f t="shared" si="20"/>
        <v>S384</v>
      </c>
      <c r="B385" t="str">
        <f t="shared" ca="1" si="21"/>
        <v>M006</v>
      </c>
      <c r="C385">
        <f t="shared" ca="1" si="22"/>
        <v>5</v>
      </c>
      <c r="D385" s="1">
        <f t="shared" ca="1" si="23"/>
        <v>46056</v>
      </c>
    </row>
    <row r="386" spans="1:4" x14ac:dyDescent="0.25">
      <c r="A386" t="str">
        <f t="shared" si="20"/>
        <v>S385</v>
      </c>
      <c r="B386" t="str">
        <f t="shared" ca="1" si="21"/>
        <v>M096</v>
      </c>
      <c r="C386">
        <f t="shared" ca="1" si="22"/>
        <v>15</v>
      </c>
      <c r="D386" s="1">
        <f t="shared" ca="1" si="23"/>
        <v>46110</v>
      </c>
    </row>
    <row r="387" spans="1:4" x14ac:dyDescent="0.25">
      <c r="A387" t="str">
        <f t="shared" ref="A387:A450" si="24">"S"&amp;TEXT(ROW(A386),"000")</f>
        <v>S386</v>
      </c>
      <c r="B387" t="str">
        <f t="shared" ref="B387:B450" ca="1" si="25">"M"&amp;TEXT(RANDBETWEEN(1,100),"000")</f>
        <v>M081</v>
      </c>
      <c r="C387">
        <f t="shared" ref="C387:C450" ca="1" si="26">RANDBETWEEN(1,30)</f>
        <v>19</v>
      </c>
      <c r="D387" s="1">
        <f t="shared" ref="D387:D450" ca="1" si="27">TODAY()-RANDBETWEEN(1,90)</f>
        <v>46062</v>
      </c>
    </row>
    <row r="388" spans="1:4" x14ac:dyDescent="0.25">
      <c r="A388" t="str">
        <f t="shared" si="24"/>
        <v>S387</v>
      </c>
      <c r="B388" t="str">
        <f t="shared" ca="1" si="25"/>
        <v>M032</v>
      </c>
      <c r="C388">
        <f t="shared" ca="1" si="26"/>
        <v>3</v>
      </c>
      <c r="D388" s="1">
        <f t="shared" ca="1" si="27"/>
        <v>46051</v>
      </c>
    </row>
    <row r="389" spans="1:4" x14ac:dyDescent="0.25">
      <c r="A389" t="str">
        <f t="shared" si="24"/>
        <v>S388</v>
      </c>
      <c r="B389" t="str">
        <f t="shared" ca="1" si="25"/>
        <v>M018</v>
      </c>
      <c r="C389">
        <f t="shared" ca="1" si="26"/>
        <v>24</v>
      </c>
      <c r="D389" s="1">
        <f t="shared" ca="1" si="27"/>
        <v>46079</v>
      </c>
    </row>
    <row r="390" spans="1:4" x14ac:dyDescent="0.25">
      <c r="A390" t="str">
        <f t="shared" si="24"/>
        <v>S389</v>
      </c>
      <c r="B390" t="str">
        <f t="shared" ca="1" si="25"/>
        <v>M026</v>
      </c>
      <c r="C390">
        <f t="shared" ca="1" si="26"/>
        <v>1</v>
      </c>
      <c r="D390" s="1">
        <f t="shared" ca="1" si="27"/>
        <v>46075</v>
      </c>
    </row>
    <row r="391" spans="1:4" x14ac:dyDescent="0.25">
      <c r="A391" t="str">
        <f t="shared" si="24"/>
        <v>S390</v>
      </c>
      <c r="B391" t="str">
        <f t="shared" ca="1" si="25"/>
        <v>M078</v>
      </c>
      <c r="C391">
        <f t="shared" ca="1" si="26"/>
        <v>12</v>
      </c>
      <c r="D391" s="1">
        <f t="shared" ca="1" si="27"/>
        <v>46067</v>
      </c>
    </row>
    <row r="392" spans="1:4" x14ac:dyDescent="0.25">
      <c r="A392" t="str">
        <f t="shared" si="24"/>
        <v>S391</v>
      </c>
      <c r="B392" t="str">
        <f t="shared" ca="1" si="25"/>
        <v>M062</v>
      </c>
      <c r="C392">
        <f t="shared" ca="1" si="26"/>
        <v>3</v>
      </c>
      <c r="D392" s="1">
        <f t="shared" ca="1" si="27"/>
        <v>46103</v>
      </c>
    </row>
    <row r="393" spans="1:4" x14ac:dyDescent="0.25">
      <c r="A393" t="str">
        <f t="shared" si="24"/>
        <v>S392</v>
      </c>
      <c r="B393" t="str">
        <f t="shared" ca="1" si="25"/>
        <v>M093</v>
      </c>
      <c r="C393">
        <f t="shared" ca="1" si="26"/>
        <v>3</v>
      </c>
      <c r="D393" s="1">
        <f t="shared" ca="1" si="27"/>
        <v>46095</v>
      </c>
    </row>
    <row r="394" spans="1:4" x14ac:dyDescent="0.25">
      <c r="A394" t="str">
        <f t="shared" si="24"/>
        <v>S393</v>
      </c>
      <c r="B394" t="str">
        <f t="shared" ca="1" si="25"/>
        <v>M071</v>
      </c>
      <c r="C394">
        <f t="shared" ca="1" si="26"/>
        <v>27</v>
      </c>
      <c r="D394" s="1">
        <f t="shared" ca="1" si="27"/>
        <v>46064</v>
      </c>
    </row>
    <row r="395" spans="1:4" x14ac:dyDescent="0.25">
      <c r="A395" t="str">
        <f t="shared" si="24"/>
        <v>S394</v>
      </c>
      <c r="B395" t="str">
        <f t="shared" ca="1" si="25"/>
        <v>M004</v>
      </c>
      <c r="C395">
        <f t="shared" ca="1" si="26"/>
        <v>29</v>
      </c>
      <c r="D395" s="1">
        <f t="shared" ca="1" si="27"/>
        <v>46090</v>
      </c>
    </row>
    <row r="396" spans="1:4" x14ac:dyDescent="0.25">
      <c r="A396" t="str">
        <f t="shared" si="24"/>
        <v>S395</v>
      </c>
      <c r="B396" t="str">
        <f t="shared" ca="1" si="25"/>
        <v>M004</v>
      </c>
      <c r="C396">
        <f t="shared" ca="1" si="26"/>
        <v>21</v>
      </c>
      <c r="D396" s="1">
        <f t="shared" ca="1" si="27"/>
        <v>46076</v>
      </c>
    </row>
    <row r="397" spans="1:4" x14ac:dyDescent="0.25">
      <c r="A397" t="str">
        <f t="shared" si="24"/>
        <v>S396</v>
      </c>
      <c r="B397" t="str">
        <f t="shared" ca="1" si="25"/>
        <v>M071</v>
      </c>
      <c r="C397">
        <f t="shared" ca="1" si="26"/>
        <v>28</v>
      </c>
      <c r="D397" s="1">
        <f t="shared" ca="1" si="27"/>
        <v>46110</v>
      </c>
    </row>
    <row r="398" spans="1:4" x14ac:dyDescent="0.25">
      <c r="A398" t="str">
        <f t="shared" si="24"/>
        <v>S397</v>
      </c>
      <c r="B398" t="str">
        <f t="shared" ca="1" si="25"/>
        <v>M031</v>
      </c>
      <c r="C398">
        <f t="shared" ca="1" si="26"/>
        <v>2</v>
      </c>
      <c r="D398" s="1">
        <f t="shared" ca="1" si="27"/>
        <v>46108</v>
      </c>
    </row>
    <row r="399" spans="1:4" x14ac:dyDescent="0.25">
      <c r="A399" t="str">
        <f t="shared" si="24"/>
        <v>S398</v>
      </c>
      <c r="B399" t="str">
        <f t="shared" ca="1" si="25"/>
        <v>M001</v>
      </c>
      <c r="C399">
        <f t="shared" ca="1" si="26"/>
        <v>6</v>
      </c>
      <c r="D399" s="1">
        <f t="shared" ca="1" si="27"/>
        <v>46065</v>
      </c>
    </row>
    <row r="400" spans="1:4" x14ac:dyDescent="0.25">
      <c r="A400" t="str">
        <f t="shared" si="24"/>
        <v>S399</v>
      </c>
      <c r="B400" t="str">
        <f t="shared" ca="1" si="25"/>
        <v>M028</v>
      </c>
      <c r="C400">
        <f t="shared" ca="1" si="26"/>
        <v>12</v>
      </c>
      <c r="D400" s="1">
        <f t="shared" ca="1" si="27"/>
        <v>46077</v>
      </c>
    </row>
    <row r="401" spans="1:4" x14ac:dyDescent="0.25">
      <c r="A401" t="str">
        <f t="shared" si="24"/>
        <v>S400</v>
      </c>
      <c r="B401" t="str">
        <f t="shared" ca="1" si="25"/>
        <v>M096</v>
      </c>
      <c r="C401">
        <f t="shared" ca="1" si="26"/>
        <v>17</v>
      </c>
      <c r="D401" s="1">
        <f t="shared" ca="1" si="27"/>
        <v>46061</v>
      </c>
    </row>
    <row r="402" spans="1:4" x14ac:dyDescent="0.25">
      <c r="A402" t="str">
        <f t="shared" si="24"/>
        <v>S401</v>
      </c>
      <c r="B402" t="str">
        <f t="shared" ca="1" si="25"/>
        <v>M029</v>
      </c>
      <c r="C402">
        <f t="shared" ca="1" si="26"/>
        <v>16</v>
      </c>
      <c r="D402" s="1">
        <f t="shared" ca="1" si="27"/>
        <v>46106</v>
      </c>
    </row>
    <row r="403" spans="1:4" x14ac:dyDescent="0.25">
      <c r="A403" t="str">
        <f t="shared" si="24"/>
        <v>S402</v>
      </c>
      <c r="B403" t="str">
        <f t="shared" ca="1" si="25"/>
        <v>M005</v>
      </c>
      <c r="C403">
        <f t="shared" ca="1" si="26"/>
        <v>17</v>
      </c>
      <c r="D403" s="1">
        <f t="shared" ca="1" si="27"/>
        <v>46105</v>
      </c>
    </row>
    <row r="404" spans="1:4" x14ac:dyDescent="0.25">
      <c r="A404" t="str">
        <f t="shared" si="24"/>
        <v>S403</v>
      </c>
      <c r="B404" t="str">
        <f t="shared" ca="1" si="25"/>
        <v>M011</v>
      </c>
      <c r="C404">
        <f t="shared" ca="1" si="26"/>
        <v>14</v>
      </c>
      <c r="D404" s="1">
        <f t="shared" ca="1" si="27"/>
        <v>46053</v>
      </c>
    </row>
    <row r="405" spans="1:4" x14ac:dyDescent="0.25">
      <c r="A405" t="str">
        <f t="shared" si="24"/>
        <v>S404</v>
      </c>
      <c r="B405" t="str">
        <f t="shared" ca="1" si="25"/>
        <v>M084</v>
      </c>
      <c r="C405">
        <f t="shared" ca="1" si="26"/>
        <v>20</v>
      </c>
      <c r="D405" s="1">
        <f t="shared" ca="1" si="27"/>
        <v>46055</v>
      </c>
    </row>
    <row r="406" spans="1:4" x14ac:dyDescent="0.25">
      <c r="A406" t="str">
        <f t="shared" si="24"/>
        <v>S405</v>
      </c>
      <c r="B406" t="str">
        <f t="shared" ca="1" si="25"/>
        <v>M016</v>
      </c>
      <c r="C406">
        <f t="shared" ca="1" si="26"/>
        <v>7</v>
      </c>
      <c r="D406" s="1">
        <f t="shared" ca="1" si="27"/>
        <v>46034</v>
      </c>
    </row>
    <row r="407" spans="1:4" x14ac:dyDescent="0.25">
      <c r="A407" t="str">
        <f t="shared" si="24"/>
        <v>S406</v>
      </c>
      <c r="B407" t="str">
        <f t="shared" ca="1" si="25"/>
        <v>M035</v>
      </c>
      <c r="C407">
        <f t="shared" ca="1" si="26"/>
        <v>24</v>
      </c>
      <c r="D407" s="1">
        <f t="shared" ca="1" si="27"/>
        <v>46114</v>
      </c>
    </row>
    <row r="408" spans="1:4" x14ac:dyDescent="0.25">
      <c r="A408" t="str">
        <f t="shared" si="24"/>
        <v>S407</v>
      </c>
      <c r="B408" t="str">
        <f t="shared" ca="1" si="25"/>
        <v>M049</v>
      </c>
      <c r="C408">
        <f t="shared" ca="1" si="26"/>
        <v>25</v>
      </c>
      <c r="D408" s="1">
        <f t="shared" ca="1" si="27"/>
        <v>46031</v>
      </c>
    </row>
    <row r="409" spans="1:4" x14ac:dyDescent="0.25">
      <c r="A409" t="str">
        <f t="shared" si="24"/>
        <v>S408</v>
      </c>
      <c r="B409" t="str">
        <f t="shared" ca="1" si="25"/>
        <v>M018</v>
      </c>
      <c r="C409">
        <f t="shared" ca="1" si="26"/>
        <v>8</v>
      </c>
      <c r="D409" s="1">
        <f t="shared" ca="1" si="27"/>
        <v>46075</v>
      </c>
    </row>
    <row r="410" spans="1:4" x14ac:dyDescent="0.25">
      <c r="A410" t="str">
        <f t="shared" si="24"/>
        <v>S409</v>
      </c>
      <c r="B410" t="str">
        <f t="shared" ca="1" si="25"/>
        <v>M083</v>
      </c>
      <c r="C410">
        <f t="shared" ca="1" si="26"/>
        <v>9</v>
      </c>
      <c r="D410" s="1">
        <f t="shared" ca="1" si="27"/>
        <v>46046</v>
      </c>
    </row>
    <row r="411" spans="1:4" x14ac:dyDescent="0.25">
      <c r="A411" t="str">
        <f t="shared" si="24"/>
        <v>S410</v>
      </c>
      <c r="B411" t="str">
        <f t="shared" ca="1" si="25"/>
        <v>M059</v>
      </c>
      <c r="C411">
        <f t="shared" ca="1" si="26"/>
        <v>14</v>
      </c>
      <c r="D411" s="1">
        <f t="shared" ca="1" si="27"/>
        <v>46069</v>
      </c>
    </row>
    <row r="412" spans="1:4" x14ac:dyDescent="0.25">
      <c r="A412" t="str">
        <f t="shared" si="24"/>
        <v>S411</v>
      </c>
      <c r="B412" t="str">
        <f t="shared" ca="1" si="25"/>
        <v>M022</v>
      </c>
      <c r="C412">
        <f t="shared" ca="1" si="26"/>
        <v>12</v>
      </c>
      <c r="D412" s="1">
        <f t="shared" ca="1" si="27"/>
        <v>46081</v>
      </c>
    </row>
    <row r="413" spans="1:4" x14ac:dyDescent="0.25">
      <c r="A413" t="str">
        <f t="shared" si="24"/>
        <v>S412</v>
      </c>
      <c r="B413" t="str">
        <f t="shared" ca="1" si="25"/>
        <v>M025</v>
      </c>
      <c r="C413">
        <f t="shared" ca="1" si="26"/>
        <v>8</v>
      </c>
      <c r="D413" s="1">
        <f t="shared" ca="1" si="27"/>
        <v>46086</v>
      </c>
    </row>
    <row r="414" spans="1:4" x14ac:dyDescent="0.25">
      <c r="A414" t="str">
        <f t="shared" si="24"/>
        <v>S413</v>
      </c>
      <c r="B414" t="str">
        <f t="shared" ca="1" si="25"/>
        <v>M058</v>
      </c>
      <c r="C414">
        <f t="shared" ca="1" si="26"/>
        <v>17</v>
      </c>
      <c r="D414" s="1">
        <f t="shared" ca="1" si="27"/>
        <v>46068</v>
      </c>
    </row>
    <row r="415" spans="1:4" x14ac:dyDescent="0.25">
      <c r="A415" t="str">
        <f t="shared" si="24"/>
        <v>S414</v>
      </c>
      <c r="B415" t="str">
        <f t="shared" ca="1" si="25"/>
        <v>M094</v>
      </c>
      <c r="C415">
        <f t="shared" ca="1" si="26"/>
        <v>21</v>
      </c>
      <c r="D415" s="1">
        <f t="shared" ca="1" si="27"/>
        <v>46110</v>
      </c>
    </row>
    <row r="416" spans="1:4" x14ac:dyDescent="0.25">
      <c r="A416" t="str">
        <f t="shared" si="24"/>
        <v>S415</v>
      </c>
      <c r="B416" t="str">
        <f t="shared" ca="1" si="25"/>
        <v>M053</v>
      </c>
      <c r="C416">
        <f t="shared" ca="1" si="26"/>
        <v>27</v>
      </c>
      <c r="D416" s="1">
        <f t="shared" ca="1" si="27"/>
        <v>46041</v>
      </c>
    </row>
    <row r="417" spans="1:4" x14ac:dyDescent="0.25">
      <c r="A417" t="str">
        <f t="shared" si="24"/>
        <v>S416</v>
      </c>
      <c r="B417" t="str">
        <f t="shared" ca="1" si="25"/>
        <v>M100</v>
      </c>
      <c r="C417">
        <f t="shared" ca="1" si="26"/>
        <v>16</v>
      </c>
      <c r="D417" s="1">
        <f t="shared" ca="1" si="27"/>
        <v>46075</v>
      </c>
    </row>
    <row r="418" spans="1:4" x14ac:dyDescent="0.25">
      <c r="A418" t="str">
        <f t="shared" si="24"/>
        <v>S417</v>
      </c>
      <c r="B418" t="str">
        <f t="shared" ca="1" si="25"/>
        <v>M047</v>
      </c>
      <c r="C418">
        <f t="shared" ca="1" si="26"/>
        <v>18</v>
      </c>
      <c r="D418" s="1">
        <f t="shared" ca="1" si="27"/>
        <v>46032</v>
      </c>
    </row>
    <row r="419" spans="1:4" x14ac:dyDescent="0.25">
      <c r="A419" t="str">
        <f t="shared" si="24"/>
        <v>S418</v>
      </c>
      <c r="B419" t="str">
        <f t="shared" ca="1" si="25"/>
        <v>M047</v>
      </c>
      <c r="C419">
        <f t="shared" ca="1" si="26"/>
        <v>22</v>
      </c>
      <c r="D419" s="1">
        <f t="shared" ca="1" si="27"/>
        <v>46066</v>
      </c>
    </row>
    <row r="420" spans="1:4" x14ac:dyDescent="0.25">
      <c r="A420" t="str">
        <f t="shared" si="24"/>
        <v>S419</v>
      </c>
      <c r="B420" t="str">
        <f t="shared" ca="1" si="25"/>
        <v>M076</v>
      </c>
      <c r="C420">
        <f t="shared" ca="1" si="26"/>
        <v>1</v>
      </c>
      <c r="D420" s="1">
        <f t="shared" ca="1" si="27"/>
        <v>46032</v>
      </c>
    </row>
    <row r="421" spans="1:4" x14ac:dyDescent="0.25">
      <c r="A421" t="str">
        <f t="shared" si="24"/>
        <v>S420</v>
      </c>
      <c r="B421" t="str">
        <f t="shared" ca="1" si="25"/>
        <v>M059</v>
      </c>
      <c r="C421">
        <f t="shared" ca="1" si="26"/>
        <v>22</v>
      </c>
      <c r="D421" s="1">
        <f t="shared" ca="1" si="27"/>
        <v>46070</v>
      </c>
    </row>
    <row r="422" spans="1:4" x14ac:dyDescent="0.25">
      <c r="A422" t="str">
        <f t="shared" si="24"/>
        <v>S421</v>
      </c>
      <c r="B422" t="str">
        <f t="shared" ca="1" si="25"/>
        <v>M020</v>
      </c>
      <c r="C422">
        <f t="shared" ca="1" si="26"/>
        <v>16</v>
      </c>
      <c r="D422" s="1">
        <f t="shared" ca="1" si="27"/>
        <v>46089</v>
      </c>
    </row>
    <row r="423" spans="1:4" x14ac:dyDescent="0.25">
      <c r="A423" t="str">
        <f t="shared" si="24"/>
        <v>S422</v>
      </c>
      <c r="B423" t="str">
        <f t="shared" ca="1" si="25"/>
        <v>M041</v>
      </c>
      <c r="C423">
        <f t="shared" ca="1" si="26"/>
        <v>27</v>
      </c>
      <c r="D423" s="1">
        <f t="shared" ca="1" si="27"/>
        <v>46109</v>
      </c>
    </row>
    <row r="424" spans="1:4" x14ac:dyDescent="0.25">
      <c r="A424" t="str">
        <f t="shared" si="24"/>
        <v>S423</v>
      </c>
      <c r="B424" t="str">
        <f t="shared" ca="1" si="25"/>
        <v>M091</v>
      </c>
      <c r="C424">
        <f t="shared" ca="1" si="26"/>
        <v>24</v>
      </c>
      <c r="D424" s="1">
        <f t="shared" ca="1" si="27"/>
        <v>46056</v>
      </c>
    </row>
    <row r="425" spans="1:4" x14ac:dyDescent="0.25">
      <c r="A425" t="str">
        <f t="shared" si="24"/>
        <v>S424</v>
      </c>
      <c r="B425" t="str">
        <f t="shared" ca="1" si="25"/>
        <v>M061</v>
      </c>
      <c r="C425">
        <f t="shared" ca="1" si="26"/>
        <v>1</v>
      </c>
      <c r="D425" s="1">
        <f t="shared" ca="1" si="27"/>
        <v>46116</v>
      </c>
    </row>
    <row r="426" spans="1:4" x14ac:dyDescent="0.25">
      <c r="A426" t="str">
        <f t="shared" si="24"/>
        <v>S425</v>
      </c>
      <c r="B426" t="str">
        <f t="shared" ca="1" si="25"/>
        <v>M054</v>
      </c>
      <c r="C426">
        <f t="shared" ca="1" si="26"/>
        <v>1</v>
      </c>
      <c r="D426" s="1">
        <f t="shared" ca="1" si="27"/>
        <v>46049</v>
      </c>
    </row>
    <row r="427" spans="1:4" x14ac:dyDescent="0.25">
      <c r="A427" t="str">
        <f t="shared" si="24"/>
        <v>S426</v>
      </c>
      <c r="B427" t="str">
        <f t="shared" ca="1" si="25"/>
        <v>M018</v>
      </c>
      <c r="C427">
        <f t="shared" ca="1" si="26"/>
        <v>20</v>
      </c>
      <c r="D427" s="1">
        <f t="shared" ca="1" si="27"/>
        <v>46112</v>
      </c>
    </row>
    <row r="428" spans="1:4" x14ac:dyDescent="0.25">
      <c r="A428" t="str">
        <f t="shared" si="24"/>
        <v>S427</v>
      </c>
      <c r="B428" t="str">
        <f t="shared" ca="1" si="25"/>
        <v>M070</v>
      </c>
      <c r="C428">
        <f t="shared" ca="1" si="26"/>
        <v>20</v>
      </c>
      <c r="D428" s="1">
        <f t="shared" ca="1" si="27"/>
        <v>46097</v>
      </c>
    </row>
    <row r="429" spans="1:4" x14ac:dyDescent="0.25">
      <c r="A429" t="str">
        <f t="shared" si="24"/>
        <v>S428</v>
      </c>
      <c r="B429" t="str">
        <f t="shared" ca="1" si="25"/>
        <v>M024</v>
      </c>
      <c r="C429">
        <f t="shared" ca="1" si="26"/>
        <v>5</v>
      </c>
      <c r="D429" s="1">
        <f t="shared" ca="1" si="27"/>
        <v>46042</v>
      </c>
    </row>
    <row r="430" spans="1:4" x14ac:dyDescent="0.25">
      <c r="A430" t="str">
        <f t="shared" si="24"/>
        <v>S429</v>
      </c>
      <c r="B430" t="str">
        <f t="shared" ca="1" si="25"/>
        <v>M070</v>
      </c>
      <c r="C430">
        <f t="shared" ca="1" si="26"/>
        <v>16</v>
      </c>
      <c r="D430" s="1">
        <f t="shared" ca="1" si="27"/>
        <v>46035</v>
      </c>
    </row>
    <row r="431" spans="1:4" x14ac:dyDescent="0.25">
      <c r="A431" t="str">
        <f t="shared" si="24"/>
        <v>S430</v>
      </c>
      <c r="B431" t="str">
        <f t="shared" ca="1" si="25"/>
        <v>M024</v>
      </c>
      <c r="C431">
        <f t="shared" ca="1" si="26"/>
        <v>7</v>
      </c>
      <c r="D431" s="1">
        <f t="shared" ca="1" si="27"/>
        <v>46095</v>
      </c>
    </row>
    <row r="432" spans="1:4" x14ac:dyDescent="0.25">
      <c r="A432" t="str">
        <f t="shared" si="24"/>
        <v>S431</v>
      </c>
      <c r="B432" t="str">
        <f t="shared" ca="1" si="25"/>
        <v>M017</v>
      </c>
      <c r="C432">
        <f t="shared" ca="1" si="26"/>
        <v>17</v>
      </c>
      <c r="D432" s="1">
        <f t="shared" ca="1" si="27"/>
        <v>46032</v>
      </c>
    </row>
    <row r="433" spans="1:4" x14ac:dyDescent="0.25">
      <c r="A433" t="str">
        <f t="shared" si="24"/>
        <v>S432</v>
      </c>
      <c r="B433" t="str">
        <f t="shared" ca="1" si="25"/>
        <v>M100</v>
      </c>
      <c r="C433">
        <f t="shared" ca="1" si="26"/>
        <v>30</v>
      </c>
      <c r="D433" s="1">
        <f t="shared" ca="1" si="27"/>
        <v>46087</v>
      </c>
    </row>
    <row r="434" spans="1:4" x14ac:dyDescent="0.25">
      <c r="A434" t="str">
        <f t="shared" si="24"/>
        <v>S433</v>
      </c>
      <c r="B434" t="str">
        <f t="shared" ca="1" si="25"/>
        <v>M037</v>
      </c>
      <c r="C434">
        <f t="shared" ca="1" si="26"/>
        <v>18</v>
      </c>
      <c r="D434" s="1">
        <f t="shared" ca="1" si="27"/>
        <v>46057</v>
      </c>
    </row>
    <row r="435" spans="1:4" x14ac:dyDescent="0.25">
      <c r="A435" t="str">
        <f t="shared" si="24"/>
        <v>S434</v>
      </c>
      <c r="B435" t="str">
        <f t="shared" ca="1" si="25"/>
        <v>M069</v>
      </c>
      <c r="C435">
        <f t="shared" ca="1" si="26"/>
        <v>12</v>
      </c>
      <c r="D435" s="1">
        <f t="shared" ca="1" si="27"/>
        <v>46064</v>
      </c>
    </row>
    <row r="436" spans="1:4" x14ac:dyDescent="0.25">
      <c r="A436" t="str">
        <f t="shared" si="24"/>
        <v>S435</v>
      </c>
      <c r="B436" t="str">
        <f t="shared" ca="1" si="25"/>
        <v>M074</v>
      </c>
      <c r="C436">
        <f t="shared" ca="1" si="26"/>
        <v>29</v>
      </c>
      <c r="D436" s="1">
        <f t="shared" ca="1" si="27"/>
        <v>46116</v>
      </c>
    </row>
    <row r="437" spans="1:4" x14ac:dyDescent="0.25">
      <c r="A437" t="str">
        <f t="shared" si="24"/>
        <v>S436</v>
      </c>
      <c r="B437" t="str">
        <f t="shared" ca="1" si="25"/>
        <v>M047</v>
      </c>
      <c r="C437">
        <f t="shared" ca="1" si="26"/>
        <v>4</v>
      </c>
      <c r="D437" s="1">
        <f t="shared" ca="1" si="27"/>
        <v>46110</v>
      </c>
    </row>
    <row r="438" spans="1:4" x14ac:dyDescent="0.25">
      <c r="A438" t="str">
        <f t="shared" si="24"/>
        <v>S437</v>
      </c>
      <c r="B438" t="str">
        <f t="shared" ca="1" si="25"/>
        <v>M062</v>
      </c>
      <c r="C438">
        <f t="shared" ca="1" si="26"/>
        <v>25</v>
      </c>
      <c r="D438" s="1">
        <f t="shared" ca="1" si="27"/>
        <v>46086</v>
      </c>
    </row>
    <row r="439" spans="1:4" x14ac:dyDescent="0.25">
      <c r="A439" t="str">
        <f t="shared" si="24"/>
        <v>S438</v>
      </c>
      <c r="B439" t="str">
        <f t="shared" ca="1" si="25"/>
        <v>M033</v>
      </c>
      <c r="C439">
        <f t="shared" ca="1" si="26"/>
        <v>20</v>
      </c>
      <c r="D439" s="1">
        <f t="shared" ca="1" si="27"/>
        <v>46069</v>
      </c>
    </row>
    <row r="440" spans="1:4" x14ac:dyDescent="0.25">
      <c r="A440" t="str">
        <f t="shared" si="24"/>
        <v>S439</v>
      </c>
      <c r="B440" t="str">
        <f t="shared" ca="1" si="25"/>
        <v>M004</v>
      </c>
      <c r="C440">
        <f t="shared" ca="1" si="26"/>
        <v>14</v>
      </c>
      <c r="D440" s="1">
        <f t="shared" ca="1" si="27"/>
        <v>46059</v>
      </c>
    </row>
    <row r="441" spans="1:4" x14ac:dyDescent="0.25">
      <c r="A441" t="str">
        <f t="shared" si="24"/>
        <v>S440</v>
      </c>
      <c r="B441" t="str">
        <f t="shared" ca="1" si="25"/>
        <v>M093</v>
      </c>
      <c r="C441">
        <f t="shared" ca="1" si="26"/>
        <v>1</v>
      </c>
      <c r="D441" s="1">
        <f t="shared" ca="1" si="27"/>
        <v>46031</v>
      </c>
    </row>
    <row r="442" spans="1:4" x14ac:dyDescent="0.25">
      <c r="A442" t="str">
        <f t="shared" si="24"/>
        <v>S441</v>
      </c>
      <c r="B442" t="str">
        <f t="shared" ca="1" si="25"/>
        <v>M015</v>
      </c>
      <c r="C442">
        <f t="shared" ca="1" si="26"/>
        <v>25</v>
      </c>
      <c r="D442" s="1">
        <f t="shared" ca="1" si="27"/>
        <v>46067</v>
      </c>
    </row>
    <row r="443" spans="1:4" x14ac:dyDescent="0.25">
      <c r="A443" t="str">
        <f t="shared" si="24"/>
        <v>S442</v>
      </c>
      <c r="B443" t="str">
        <f t="shared" ca="1" si="25"/>
        <v>M028</v>
      </c>
      <c r="C443">
        <f t="shared" ca="1" si="26"/>
        <v>1</v>
      </c>
      <c r="D443" s="1">
        <f t="shared" ca="1" si="27"/>
        <v>46072</v>
      </c>
    </row>
    <row r="444" spans="1:4" x14ac:dyDescent="0.25">
      <c r="A444" t="str">
        <f t="shared" si="24"/>
        <v>S443</v>
      </c>
      <c r="B444" t="str">
        <f t="shared" ca="1" si="25"/>
        <v>M025</v>
      </c>
      <c r="C444">
        <f t="shared" ca="1" si="26"/>
        <v>17</v>
      </c>
      <c r="D444" s="1">
        <f t="shared" ca="1" si="27"/>
        <v>46029</v>
      </c>
    </row>
    <row r="445" spans="1:4" x14ac:dyDescent="0.25">
      <c r="A445" t="str">
        <f t="shared" si="24"/>
        <v>S444</v>
      </c>
      <c r="B445" t="str">
        <f t="shared" ca="1" si="25"/>
        <v>M016</v>
      </c>
      <c r="C445">
        <f t="shared" ca="1" si="26"/>
        <v>2</v>
      </c>
      <c r="D445" s="1">
        <f t="shared" ca="1" si="27"/>
        <v>46094</v>
      </c>
    </row>
    <row r="446" spans="1:4" x14ac:dyDescent="0.25">
      <c r="A446" t="str">
        <f t="shared" si="24"/>
        <v>S445</v>
      </c>
      <c r="B446" t="str">
        <f t="shared" ca="1" si="25"/>
        <v>M095</v>
      </c>
      <c r="C446">
        <f t="shared" ca="1" si="26"/>
        <v>23</v>
      </c>
      <c r="D446" s="1">
        <f t="shared" ca="1" si="27"/>
        <v>46110</v>
      </c>
    </row>
    <row r="447" spans="1:4" x14ac:dyDescent="0.25">
      <c r="A447" t="str">
        <f t="shared" si="24"/>
        <v>S446</v>
      </c>
      <c r="B447" t="str">
        <f t="shared" ca="1" si="25"/>
        <v>M087</v>
      </c>
      <c r="C447">
        <f t="shared" ca="1" si="26"/>
        <v>3</v>
      </c>
      <c r="D447" s="1">
        <f t="shared" ca="1" si="27"/>
        <v>46050</v>
      </c>
    </row>
    <row r="448" spans="1:4" x14ac:dyDescent="0.25">
      <c r="A448" t="str">
        <f t="shared" si="24"/>
        <v>S447</v>
      </c>
      <c r="B448" t="str">
        <f t="shared" ca="1" si="25"/>
        <v>M034</v>
      </c>
      <c r="C448">
        <f t="shared" ca="1" si="26"/>
        <v>15</v>
      </c>
      <c r="D448" s="1">
        <f t="shared" ca="1" si="27"/>
        <v>46101</v>
      </c>
    </row>
    <row r="449" spans="1:4" x14ac:dyDescent="0.25">
      <c r="A449" t="str">
        <f t="shared" si="24"/>
        <v>S448</v>
      </c>
      <c r="B449" t="str">
        <f t="shared" ca="1" si="25"/>
        <v>M066</v>
      </c>
      <c r="C449">
        <f t="shared" ca="1" si="26"/>
        <v>2</v>
      </c>
      <c r="D449" s="1">
        <f t="shared" ca="1" si="27"/>
        <v>46076</v>
      </c>
    </row>
    <row r="450" spans="1:4" x14ac:dyDescent="0.25">
      <c r="A450" t="str">
        <f t="shared" si="24"/>
        <v>S449</v>
      </c>
      <c r="B450" t="str">
        <f t="shared" ca="1" si="25"/>
        <v>M009</v>
      </c>
      <c r="C450">
        <f t="shared" ca="1" si="26"/>
        <v>29</v>
      </c>
      <c r="D450" s="1">
        <f t="shared" ca="1" si="27"/>
        <v>46041</v>
      </c>
    </row>
    <row r="451" spans="1:4" x14ac:dyDescent="0.25">
      <c r="A451" t="str">
        <f t="shared" ref="A451:A514" si="28">"S"&amp;TEXT(ROW(A450),"000")</f>
        <v>S450</v>
      </c>
      <c r="B451" t="str">
        <f t="shared" ref="B451:B514" ca="1" si="29">"M"&amp;TEXT(RANDBETWEEN(1,100),"000")</f>
        <v>M046</v>
      </c>
      <c r="C451">
        <f t="shared" ref="C451:C514" ca="1" si="30">RANDBETWEEN(1,30)</f>
        <v>20</v>
      </c>
      <c r="D451" s="1">
        <f t="shared" ref="D451:D514" ca="1" si="31">TODAY()-RANDBETWEEN(1,90)</f>
        <v>46079</v>
      </c>
    </row>
    <row r="452" spans="1:4" x14ac:dyDescent="0.25">
      <c r="A452" t="str">
        <f t="shared" si="28"/>
        <v>S451</v>
      </c>
      <c r="B452" t="str">
        <f t="shared" ca="1" si="29"/>
        <v>M009</v>
      </c>
      <c r="C452">
        <f t="shared" ca="1" si="30"/>
        <v>6</v>
      </c>
      <c r="D452" s="1">
        <f t="shared" ca="1" si="31"/>
        <v>46029</v>
      </c>
    </row>
    <row r="453" spans="1:4" x14ac:dyDescent="0.25">
      <c r="A453" t="str">
        <f t="shared" si="28"/>
        <v>S452</v>
      </c>
      <c r="B453" t="str">
        <f t="shared" ca="1" si="29"/>
        <v>M033</v>
      </c>
      <c r="C453">
        <f t="shared" ca="1" si="30"/>
        <v>23</v>
      </c>
      <c r="D453" s="1">
        <f t="shared" ca="1" si="31"/>
        <v>46115</v>
      </c>
    </row>
    <row r="454" spans="1:4" x14ac:dyDescent="0.25">
      <c r="A454" t="str">
        <f t="shared" si="28"/>
        <v>S453</v>
      </c>
      <c r="B454" t="str">
        <f t="shared" ca="1" si="29"/>
        <v>M032</v>
      </c>
      <c r="C454">
        <f t="shared" ca="1" si="30"/>
        <v>16</v>
      </c>
      <c r="D454" s="1">
        <f t="shared" ca="1" si="31"/>
        <v>46102</v>
      </c>
    </row>
    <row r="455" spans="1:4" x14ac:dyDescent="0.25">
      <c r="A455" t="str">
        <f t="shared" si="28"/>
        <v>S454</v>
      </c>
      <c r="B455" t="str">
        <f t="shared" ca="1" si="29"/>
        <v>M097</v>
      </c>
      <c r="C455">
        <f t="shared" ca="1" si="30"/>
        <v>22</v>
      </c>
      <c r="D455" s="1">
        <f t="shared" ca="1" si="31"/>
        <v>46117</v>
      </c>
    </row>
    <row r="456" spans="1:4" x14ac:dyDescent="0.25">
      <c r="A456" t="str">
        <f t="shared" si="28"/>
        <v>S455</v>
      </c>
      <c r="B456" t="str">
        <f t="shared" ca="1" si="29"/>
        <v>M025</v>
      </c>
      <c r="C456">
        <f t="shared" ca="1" si="30"/>
        <v>26</v>
      </c>
      <c r="D456" s="1">
        <f t="shared" ca="1" si="31"/>
        <v>46080</v>
      </c>
    </row>
    <row r="457" spans="1:4" x14ac:dyDescent="0.25">
      <c r="A457" t="str">
        <f t="shared" si="28"/>
        <v>S456</v>
      </c>
      <c r="B457" t="str">
        <f t="shared" ca="1" si="29"/>
        <v>M077</v>
      </c>
      <c r="C457">
        <f t="shared" ca="1" si="30"/>
        <v>9</v>
      </c>
      <c r="D457" s="1">
        <f t="shared" ca="1" si="31"/>
        <v>46046</v>
      </c>
    </row>
    <row r="458" spans="1:4" x14ac:dyDescent="0.25">
      <c r="A458" t="str">
        <f t="shared" si="28"/>
        <v>S457</v>
      </c>
      <c r="B458" t="str">
        <f t="shared" ca="1" si="29"/>
        <v>M057</v>
      </c>
      <c r="C458">
        <f t="shared" ca="1" si="30"/>
        <v>14</v>
      </c>
      <c r="D458" s="1">
        <f t="shared" ca="1" si="31"/>
        <v>46080</v>
      </c>
    </row>
    <row r="459" spans="1:4" x14ac:dyDescent="0.25">
      <c r="A459" t="str">
        <f t="shared" si="28"/>
        <v>S458</v>
      </c>
      <c r="B459" t="str">
        <f t="shared" ca="1" si="29"/>
        <v>M002</v>
      </c>
      <c r="C459">
        <f t="shared" ca="1" si="30"/>
        <v>28</v>
      </c>
      <c r="D459" s="1">
        <f t="shared" ca="1" si="31"/>
        <v>46046</v>
      </c>
    </row>
    <row r="460" spans="1:4" x14ac:dyDescent="0.25">
      <c r="A460" t="str">
        <f t="shared" si="28"/>
        <v>S459</v>
      </c>
      <c r="B460" t="str">
        <f t="shared" ca="1" si="29"/>
        <v>M026</v>
      </c>
      <c r="C460">
        <f t="shared" ca="1" si="30"/>
        <v>2</v>
      </c>
      <c r="D460" s="1">
        <f t="shared" ca="1" si="31"/>
        <v>46102</v>
      </c>
    </row>
    <row r="461" spans="1:4" x14ac:dyDescent="0.25">
      <c r="A461" t="str">
        <f t="shared" si="28"/>
        <v>S460</v>
      </c>
      <c r="B461" t="str">
        <f t="shared" ca="1" si="29"/>
        <v>M079</v>
      </c>
      <c r="C461">
        <f t="shared" ca="1" si="30"/>
        <v>16</v>
      </c>
      <c r="D461" s="1">
        <f t="shared" ca="1" si="31"/>
        <v>46033</v>
      </c>
    </row>
    <row r="462" spans="1:4" x14ac:dyDescent="0.25">
      <c r="A462" t="str">
        <f t="shared" si="28"/>
        <v>S461</v>
      </c>
      <c r="B462" t="str">
        <f t="shared" ca="1" si="29"/>
        <v>M012</v>
      </c>
      <c r="C462">
        <f t="shared" ca="1" si="30"/>
        <v>23</v>
      </c>
      <c r="D462" s="1">
        <f t="shared" ca="1" si="31"/>
        <v>46099</v>
      </c>
    </row>
    <row r="463" spans="1:4" x14ac:dyDescent="0.25">
      <c r="A463" t="str">
        <f t="shared" si="28"/>
        <v>S462</v>
      </c>
      <c r="B463" t="str">
        <f t="shared" ca="1" si="29"/>
        <v>M015</v>
      </c>
      <c r="C463">
        <f t="shared" ca="1" si="30"/>
        <v>13</v>
      </c>
      <c r="D463" s="1">
        <f t="shared" ca="1" si="31"/>
        <v>46114</v>
      </c>
    </row>
    <row r="464" spans="1:4" x14ac:dyDescent="0.25">
      <c r="A464" t="str">
        <f t="shared" si="28"/>
        <v>S463</v>
      </c>
      <c r="B464" t="str">
        <f t="shared" ca="1" si="29"/>
        <v>M046</v>
      </c>
      <c r="C464">
        <f t="shared" ca="1" si="30"/>
        <v>15</v>
      </c>
      <c r="D464" s="1">
        <f t="shared" ca="1" si="31"/>
        <v>46105</v>
      </c>
    </row>
    <row r="465" spans="1:4" x14ac:dyDescent="0.25">
      <c r="A465" t="str">
        <f t="shared" si="28"/>
        <v>S464</v>
      </c>
      <c r="B465" t="str">
        <f t="shared" ca="1" si="29"/>
        <v>M063</v>
      </c>
      <c r="C465">
        <f t="shared" ca="1" si="30"/>
        <v>8</v>
      </c>
      <c r="D465" s="1">
        <f t="shared" ca="1" si="31"/>
        <v>46071</v>
      </c>
    </row>
    <row r="466" spans="1:4" x14ac:dyDescent="0.25">
      <c r="A466" t="str">
        <f t="shared" si="28"/>
        <v>S465</v>
      </c>
      <c r="B466" t="str">
        <f t="shared" ca="1" si="29"/>
        <v>M029</v>
      </c>
      <c r="C466">
        <f t="shared" ca="1" si="30"/>
        <v>17</v>
      </c>
      <c r="D466" s="1">
        <f t="shared" ca="1" si="31"/>
        <v>46064</v>
      </c>
    </row>
    <row r="467" spans="1:4" x14ac:dyDescent="0.25">
      <c r="A467" t="str">
        <f t="shared" si="28"/>
        <v>S466</v>
      </c>
      <c r="B467" t="str">
        <f t="shared" ca="1" si="29"/>
        <v>M029</v>
      </c>
      <c r="C467">
        <f t="shared" ca="1" si="30"/>
        <v>4</v>
      </c>
      <c r="D467" s="1">
        <f t="shared" ca="1" si="31"/>
        <v>46110</v>
      </c>
    </row>
    <row r="468" spans="1:4" x14ac:dyDescent="0.25">
      <c r="A468" t="str">
        <f t="shared" si="28"/>
        <v>S467</v>
      </c>
      <c r="B468" t="str">
        <f t="shared" ca="1" si="29"/>
        <v>M010</v>
      </c>
      <c r="C468">
        <f t="shared" ca="1" si="30"/>
        <v>26</v>
      </c>
      <c r="D468" s="1">
        <f t="shared" ca="1" si="31"/>
        <v>46031</v>
      </c>
    </row>
    <row r="469" spans="1:4" x14ac:dyDescent="0.25">
      <c r="A469" t="str">
        <f t="shared" si="28"/>
        <v>S468</v>
      </c>
      <c r="B469" t="str">
        <f t="shared" ca="1" si="29"/>
        <v>M064</v>
      </c>
      <c r="C469">
        <f t="shared" ca="1" si="30"/>
        <v>10</v>
      </c>
      <c r="D469" s="1">
        <f t="shared" ca="1" si="31"/>
        <v>46064</v>
      </c>
    </row>
    <row r="470" spans="1:4" x14ac:dyDescent="0.25">
      <c r="A470" t="str">
        <f t="shared" si="28"/>
        <v>S469</v>
      </c>
      <c r="B470" t="str">
        <f t="shared" ca="1" si="29"/>
        <v>M075</v>
      </c>
      <c r="C470">
        <f t="shared" ca="1" si="30"/>
        <v>1</v>
      </c>
      <c r="D470" s="1">
        <f t="shared" ca="1" si="31"/>
        <v>46035</v>
      </c>
    </row>
    <row r="471" spans="1:4" x14ac:dyDescent="0.25">
      <c r="A471" t="str">
        <f t="shared" si="28"/>
        <v>S470</v>
      </c>
      <c r="B471" t="str">
        <f t="shared" ca="1" si="29"/>
        <v>M037</v>
      </c>
      <c r="C471">
        <f t="shared" ca="1" si="30"/>
        <v>7</v>
      </c>
      <c r="D471" s="1">
        <f t="shared" ca="1" si="31"/>
        <v>46089</v>
      </c>
    </row>
    <row r="472" spans="1:4" x14ac:dyDescent="0.25">
      <c r="A472" t="str">
        <f t="shared" si="28"/>
        <v>S471</v>
      </c>
      <c r="B472" t="str">
        <f t="shared" ca="1" si="29"/>
        <v>M080</v>
      </c>
      <c r="C472">
        <f t="shared" ca="1" si="30"/>
        <v>26</v>
      </c>
      <c r="D472" s="1">
        <f t="shared" ca="1" si="31"/>
        <v>46105</v>
      </c>
    </row>
    <row r="473" spans="1:4" x14ac:dyDescent="0.25">
      <c r="A473" t="str">
        <f t="shared" si="28"/>
        <v>S472</v>
      </c>
      <c r="B473" t="str">
        <f t="shared" ca="1" si="29"/>
        <v>M091</v>
      </c>
      <c r="C473">
        <f t="shared" ca="1" si="30"/>
        <v>8</v>
      </c>
      <c r="D473" s="1">
        <f t="shared" ca="1" si="31"/>
        <v>46105</v>
      </c>
    </row>
    <row r="474" spans="1:4" x14ac:dyDescent="0.25">
      <c r="A474" t="str">
        <f t="shared" si="28"/>
        <v>S473</v>
      </c>
      <c r="B474" t="str">
        <f t="shared" ca="1" si="29"/>
        <v>M096</v>
      </c>
      <c r="C474">
        <f t="shared" ca="1" si="30"/>
        <v>7</v>
      </c>
      <c r="D474" s="1">
        <f t="shared" ca="1" si="31"/>
        <v>46035</v>
      </c>
    </row>
    <row r="475" spans="1:4" x14ac:dyDescent="0.25">
      <c r="A475" t="str">
        <f t="shared" si="28"/>
        <v>S474</v>
      </c>
      <c r="B475" t="str">
        <f t="shared" ca="1" si="29"/>
        <v>M097</v>
      </c>
      <c r="C475">
        <f t="shared" ca="1" si="30"/>
        <v>14</v>
      </c>
      <c r="D475" s="1">
        <f t="shared" ca="1" si="31"/>
        <v>46113</v>
      </c>
    </row>
    <row r="476" spans="1:4" x14ac:dyDescent="0.25">
      <c r="A476" t="str">
        <f t="shared" si="28"/>
        <v>S475</v>
      </c>
      <c r="B476" t="str">
        <f t="shared" ca="1" si="29"/>
        <v>M062</v>
      </c>
      <c r="C476">
        <f t="shared" ca="1" si="30"/>
        <v>16</v>
      </c>
      <c r="D476" s="1">
        <f t="shared" ca="1" si="31"/>
        <v>46075</v>
      </c>
    </row>
    <row r="477" spans="1:4" x14ac:dyDescent="0.25">
      <c r="A477" t="str">
        <f t="shared" si="28"/>
        <v>S476</v>
      </c>
      <c r="B477" t="str">
        <f t="shared" ca="1" si="29"/>
        <v>M097</v>
      </c>
      <c r="C477">
        <f t="shared" ca="1" si="30"/>
        <v>11</v>
      </c>
      <c r="D477" s="1">
        <f t="shared" ca="1" si="31"/>
        <v>46094</v>
      </c>
    </row>
    <row r="478" spans="1:4" x14ac:dyDescent="0.25">
      <c r="A478" t="str">
        <f t="shared" si="28"/>
        <v>S477</v>
      </c>
      <c r="B478" t="str">
        <f t="shared" ca="1" si="29"/>
        <v>M041</v>
      </c>
      <c r="C478">
        <f t="shared" ca="1" si="30"/>
        <v>29</v>
      </c>
      <c r="D478" s="1">
        <f t="shared" ca="1" si="31"/>
        <v>46067</v>
      </c>
    </row>
    <row r="479" spans="1:4" x14ac:dyDescent="0.25">
      <c r="A479" t="str">
        <f t="shared" si="28"/>
        <v>S478</v>
      </c>
      <c r="B479" t="str">
        <f t="shared" ca="1" si="29"/>
        <v>M080</v>
      </c>
      <c r="C479">
        <f t="shared" ca="1" si="30"/>
        <v>24</v>
      </c>
      <c r="D479" s="1">
        <f t="shared" ca="1" si="31"/>
        <v>46068</v>
      </c>
    </row>
    <row r="480" spans="1:4" x14ac:dyDescent="0.25">
      <c r="A480" t="str">
        <f t="shared" si="28"/>
        <v>S479</v>
      </c>
      <c r="B480" t="str">
        <f t="shared" ca="1" si="29"/>
        <v>M023</v>
      </c>
      <c r="C480">
        <f t="shared" ca="1" si="30"/>
        <v>17</v>
      </c>
      <c r="D480" s="1">
        <f t="shared" ca="1" si="31"/>
        <v>46074</v>
      </c>
    </row>
    <row r="481" spans="1:4" x14ac:dyDescent="0.25">
      <c r="A481" t="str">
        <f t="shared" si="28"/>
        <v>S480</v>
      </c>
      <c r="B481" t="str">
        <f t="shared" ca="1" si="29"/>
        <v>M047</v>
      </c>
      <c r="C481">
        <f t="shared" ca="1" si="30"/>
        <v>13</v>
      </c>
      <c r="D481" s="1">
        <f t="shared" ca="1" si="31"/>
        <v>46058</v>
      </c>
    </row>
    <row r="482" spans="1:4" x14ac:dyDescent="0.25">
      <c r="A482" t="str">
        <f t="shared" si="28"/>
        <v>S481</v>
      </c>
      <c r="B482" t="str">
        <f t="shared" ca="1" si="29"/>
        <v>M028</v>
      </c>
      <c r="C482">
        <f t="shared" ca="1" si="30"/>
        <v>18</v>
      </c>
      <c r="D482" s="1">
        <f t="shared" ca="1" si="31"/>
        <v>46064</v>
      </c>
    </row>
    <row r="483" spans="1:4" x14ac:dyDescent="0.25">
      <c r="A483" t="str">
        <f t="shared" si="28"/>
        <v>S482</v>
      </c>
      <c r="B483" t="str">
        <f t="shared" ca="1" si="29"/>
        <v>M076</v>
      </c>
      <c r="C483">
        <f t="shared" ca="1" si="30"/>
        <v>23</v>
      </c>
      <c r="D483" s="1">
        <f t="shared" ca="1" si="31"/>
        <v>46057</v>
      </c>
    </row>
    <row r="484" spans="1:4" x14ac:dyDescent="0.25">
      <c r="A484" t="str">
        <f t="shared" si="28"/>
        <v>S483</v>
      </c>
      <c r="B484" t="str">
        <f t="shared" ca="1" si="29"/>
        <v>M070</v>
      </c>
      <c r="C484">
        <f t="shared" ca="1" si="30"/>
        <v>17</v>
      </c>
      <c r="D484" s="1">
        <f t="shared" ca="1" si="31"/>
        <v>46068</v>
      </c>
    </row>
    <row r="485" spans="1:4" x14ac:dyDescent="0.25">
      <c r="A485" t="str">
        <f t="shared" si="28"/>
        <v>S484</v>
      </c>
      <c r="B485" t="str">
        <f t="shared" ca="1" si="29"/>
        <v>M073</v>
      </c>
      <c r="C485">
        <f t="shared" ca="1" si="30"/>
        <v>5</v>
      </c>
      <c r="D485" s="1">
        <f t="shared" ca="1" si="31"/>
        <v>46048</v>
      </c>
    </row>
    <row r="486" spans="1:4" x14ac:dyDescent="0.25">
      <c r="A486" t="str">
        <f t="shared" si="28"/>
        <v>S485</v>
      </c>
      <c r="B486" t="str">
        <f t="shared" ca="1" si="29"/>
        <v>M032</v>
      </c>
      <c r="C486">
        <f t="shared" ca="1" si="30"/>
        <v>20</v>
      </c>
      <c r="D486" s="1">
        <f t="shared" ca="1" si="31"/>
        <v>46074</v>
      </c>
    </row>
    <row r="487" spans="1:4" x14ac:dyDescent="0.25">
      <c r="A487" t="str">
        <f t="shared" si="28"/>
        <v>S486</v>
      </c>
      <c r="B487" t="str">
        <f t="shared" ca="1" si="29"/>
        <v>M080</v>
      </c>
      <c r="C487">
        <f t="shared" ca="1" si="30"/>
        <v>13</v>
      </c>
      <c r="D487" s="1">
        <f t="shared" ca="1" si="31"/>
        <v>46073</v>
      </c>
    </row>
    <row r="488" spans="1:4" x14ac:dyDescent="0.25">
      <c r="A488" t="str">
        <f t="shared" si="28"/>
        <v>S487</v>
      </c>
      <c r="B488" t="str">
        <f t="shared" ca="1" si="29"/>
        <v>M005</v>
      </c>
      <c r="C488">
        <f t="shared" ca="1" si="30"/>
        <v>8</v>
      </c>
      <c r="D488" s="1">
        <f t="shared" ca="1" si="31"/>
        <v>46100</v>
      </c>
    </row>
    <row r="489" spans="1:4" x14ac:dyDescent="0.25">
      <c r="A489" t="str">
        <f t="shared" si="28"/>
        <v>S488</v>
      </c>
      <c r="B489" t="str">
        <f t="shared" ca="1" si="29"/>
        <v>M030</v>
      </c>
      <c r="C489">
        <f t="shared" ca="1" si="30"/>
        <v>13</v>
      </c>
      <c r="D489" s="1">
        <f t="shared" ca="1" si="31"/>
        <v>46046</v>
      </c>
    </row>
    <row r="490" spans="1:4" x14ac:dyDescent="0.25">
      <c r="A490" t="str">
        <f t="shared" si="28"/>
        <v>S489</v>
      </c>
      <c r="B490" t="str">
        <f t="shared" ca="1" si="29"/>
        <v>M037</v>
      </c>
      <c r="C490">
        <f t="shared" ca="1" si="30"/>
        <v>3</v>
      </c>
      <c r="D490" s="1">
        <f t="shared" ca="1" si="31"/>
        <v>46042</v>
      </c>
    </row>
    <row r="491" spans="1:4" x14ac:dyDescent="0.25">
      <c r="A491" t="str">
        <f t="shared" si="28"/>
        <v>S490</v>
      </c>
      <c r="B491" t="str">
        <f t="shared" ca="1" si="29"/>
        <v>M011</v>
      </c>
      <c r="C491">
        <f t="shared" ca="1" si="30"/>
        <v>26</v>
      </c>
      <c r="D491" s="1">
        <f t="shared" ca="1" si="31"/>
        <v>46085</v>
      </c>
    </row>
    <row r="492" spans="1:4" x14ac:dyDescent="0.25">
      <c r="A492" t="str">
        <f t="shared" si="28"/>
        <v>S491</v>
      </c>
      <c r="B492" t="str">
        <f t="shared" ca="1" si="29"/>
        <v>M065</v>
      </c>
      <c r="C492">
        <f t="shared" ca="1" si="30"/>
        <v>18</v>
      </c>
      <c r="D492" s="1">
        <f t="shared" ca="1" si="31"/>
        <v>46103</v>
      </c>
    </row>
    <row r="493" spans="1:4" x14ac:dyDescent="0.25">
      <c r="A493" t="str">
        <f t="shared" si="28"/>
        <v>S492</v>
      </c>
      <c r="B493" t="str">
        <f t="shared" ca="1" si="29"/>
        <v>M040</v>
      </c>
      <c r="C493">
        <f t="shared" ca="1" si="30"/>
        <v>4</v>
      </c>
      <c r="D493" s="1">
        <f t="shared" ca="1" si="31"/>
        <v>46107</v>
      </c>
    </row>
    <row r="494" spans="1:4" x14ac:dyDescent="0.25">
      <c r="A494" t="str">
        <f t="shared" si="28"/>
        <v>S493</v>
      </c>
      <c r="B494" t="str">
        <f t="shared" ca="1" si="29"/>
        <v>M070</v>
      </c>
      <c r="C494">
        <f t="shared" ca="1" si="30"/>
        <v>4</v>
      </c>
      <c r="D494" s="1">
        <f t="shared" ca="1" si="31"/>
        <v>46093</v>
      </c>
    </row>
    <row r="495" spans="1:4" x14ac:dyDescent="0.25">
      <c r="A495" t="str">
        <f t="shared" si="28"/>
        <v>S494</v>
      </c>
      <c r="B495" t="str">
        <f t="shared" ca="1" si="29"/>
        <v>M091</v>
      </c>
      <c r="C495">
        <f t="shared" ca="1" si="30"/>
        <v>30</v>
      </c>
      <c r="D495" s="1">
        <f t="shared" ca="1" si="31"/>
        <v>46036</v>
      </c>
    </row>
    <row r="496" spans="1:4" x14ac:dyDescent="0.25">
      <c r="A496" t="str">
        <f t="shared" si="28"/>
        <v>S495</v>
      </c>
      <c r="B496" t="str">
        <f t="shared" ca="1" si="29"/>
        <v>M098</v>
      </c>
      <c r="C496">
        <f t="shared" ca="1" si="30"/>
        <v>24</v>
      </c>
      <c r="D496" s="1">
        <f t="shared" ca="1" si="31"/>
        <v>46030</v>
      </c>
    </row>
    <row r="497" spans="1:4" x14ac:dyDescent="0.25">
      <c r="A497" t="str">
        <f t="shared" si="28"/>
        <v>S496</v>
      </c>
      <c r="B497" t="str">
        <f t="shared" ca="1" si="29"/>
        <v>M064</v>
      </c>
      <c r="C497">
        <f t="shared" ca="1" si="30"/>
        <v>12</v>
      </c>
      <c r="D497" s="1">
        <f t="shared" ca="1" si="31"/>
        <v>46117</v>
      </c>
    </row>
    <row r="498" spans="1:4" x14ac:dyDescent="0.25">
      <c r="A498" t="str">
        <f t="shared" si="28"/>
        <v>S497</v>
      </c>
      <c r="B498" t="str">
        <f t="shared" ca="1" si="29"/>
        <v>M041</v>
      </c>
      <c r="C498">
        <f t="shared" ca="1" si="30"/>
        <v>4</v>
      </c>
      <c r="D498" s="1">
        <f t="shared" ca="1" si="31"/>
        <v>46111</v>
      </c>
    </row>
    <row r="499" spans="1:4" x14ac:dyDescent="0.25">
      <c r="A499" t="str">
        <f t="shared" si="28"/>
        <v>S498</v>
      </c>
      <c r="B499" t="str">
        <f t="shared" ca="1" si="29"/>
        <v>M086</v>
      </c>
      <c r="C499">
        <f t="shared" ca="1" si="30"/>
        <v>2</v>
      </c>
      <c r="D499" s="1">
        <f t="shared" ca="1" si="31"/>
        <v>46042</v>
      </c>
    </row>
    <row r="500" spans="1:4" x14ac:dyDescent="0.25">
      <c r="A500" t="str">
        <f t="shared" si="28"/>
        <v>S499</v>
      </c>
      <c r="B500" t="str">
        <f t="shared" ca="1" si="29"/>
        <v>M091</v>
      </c>
      <c r="C500">
        <f t="shared" ca="1" si="30"/>
        <v>27</v>
      </c>
      <c r="D500" s="1">
        <f t="shared" ca="1" si="31"/>
        <v>46098</v>
      </c>
    </row>
    <row r="501" spans="1:4" x14ac:dyDescent="0.25">
      <c r="A501" t="str">
        <f t="shared" si="28"/>
        <v>S500</v>
      </c>
      <c r="B501" t="str">
        <f t="shared" ca="1" si="29"/>
        <v>M023</v>
      </c>
      <c r="C501">
        <f t="shared" ca="1" si="30"/>
        <v>7</v>
      </c>
      <c r="D501" s="1">
        <f t="shared" ca="1" si="31"/>
        <v>46089</v>
      </c>
    </row>
    <row r="502" spans="1:4" x14ac:dyDescent="0.25">
      <c r="A502" t="str">
        <f t="shared" si="28"/>
        <v>S501</v>
      </c>
      <c r="B502" t="str">
        <f t="shared" ca="1" si="29"/>
        <v>M049</v>
      </c>
      <c r="C502">
        <f t="shared" ca="1" si="30"/>
        <v>15</v>
      </c>
      <c r="D502" s="1">
        <f t="shared" ca="1" si="31"/>
        <v>46061</v>
      </c>
    </row>
    <row r="503" spans="1:4" x14ac:dyDescent="0.25">
      <c r="A503" t="str">
        <f t="shared" si="28"/>
        <v>S502</v>
      </c>
      <c r="B503" t="str">
        <f t="shared" ca="1" si="29"/>
        <v>M084</v>
      </c>
      <c r="C503">
        <f t="shared" ca="1" si="30"/>
        <v>6</v>
      </c>
      <c r="D503" s="1">
        <f t="shared" ca="1" si="31"/>
        <v>46072</v>
      </c>
    </row>
    <row r="504" spans="1:4" x14ac:dyDescent="0.25">
      <c r="A504" t="str">
        <f t="shared" si="28"/>
        <v>S503</v>
      </c>
      <c r="B504" t="str">
        <f t="shared" ca="1" si="29"/>
        <v>M009</v>
      </c>
      <c r="C504">
        <f t="shared" ca="1" si="30"/>
        <v>3</v>
      </c>
      <c r="D504" s="1">
        <f t="shared" ca="1" si="31"/>
        <v>46110</v>
      </c>
    </row>
    <row r="505" spans="1:4" x14ac:dyDescent="0.25">
      <c r="A505" t="str">
        <f t="shared" si="28"/>
        <v>S504</v>
      </c>
      <c r="B505" t="str">
        <f t="shared" ca="1" si="29"/>
        <v>M051</v>
      </c>
      <c r="C505">
        <f t="shared" ca="1" si="30"/>
        <v>28</v>
      </c>
      <c r="D505" s="1">
        <f t="shared" ca="1" si="31"/>
        <v>46044</v>
      </c>
    </row>
    <row r="506" spans="1:4" x14ac:dyDescent="0.25">
      <c r="A506" t="str">
        <f t="shared" si="28"/>
        <v>S505</v>
      </c>
      <c r="B506" t="str">
        <f t="shared" ca="1" si="29"/>
        <v>M054</v>
      </c>
      <c r="C506">
        <f t="shared" ca="1" si="30"/>
        <v>28</v>
      </c>
      <c r="D506" s="1">
        <f t="shared" ca="1" si="31"/>
        <v>46044</v>
      </c>
    </row>
    <row r="507" spans="1:4" x14ac:dyDescent="0.25">
      <c r="A507" t="str">
        <f t="shared" si="28"/>
        <v>S506</v>
      </c>
      <c r="B507" t="str">
        <f t="shared" ca="1" si="29"/>
        <v>M074</v>
      </c>
      <c r="C507">
        <f t="shared" ca="1" si="30"/>
        <v>7</v>
      </c>
      <c r="D507" s="1">
        <f t="shared" ca="1" si="31"/>
        <v>46097</v>
      </c>
    </row>
    <row r="508" spans="1:4" x14ac:dyDescent="0.25">
      <c r="A508" t="str">
        <f t="shared" si="28"/>
        <v>S507</v>
      </c>
      <c r="B508" t="str">
        <f t="shared" ca="1" si="29"/>
        <v>M020</v>
      </c>
      <c r="C508">
        <f t="shared" ca="1" si="30"/>
        <v>12</v>
      </c>
      <c r="D508" s="1">
        <f t="shared" ca="1" si="31"/>
        <v>46088</v>
      </c>
    </row>
    <row r="509" spans="1:4" x14ac:dyDescent="0.25">
      <c r="A509" t="str">
        <f t="shared" si="28"/>
        <v>S508</v>
      </c>
      <c r="B509" t="str">
        <f t="shared" ca="1" si="29"/>
        <v>M081</v>
      </c>
      <c r="C509">
        <f t="shared" ca="1" si="30"/>
        <v>1</v>
      </c>
      <c r="D509" s="1">
        <f t="shared" ca="1" si="31"/>
        <v>46086</v>
      </c>
    </row>
    <row r="510" spans="1:4" x14ac:dyDescent="0.25">
      <c r="A510" t="str">
        <f t="shared" si="28"/>
        <v>S509</v>
      </c>
      <c r="B510" t="str">
        <f t="shared" ca="1" si="29"/>
        <v>M048</v>
      </c>
      <c r="C510">
        <f t="shared" ca="1" si="30"/>
        <v>9</v>
      </c>
      <c r="D510" s="1">
        <f t="shared" ca="1" si="31"/>
        <v>46112</v>
      </c>
    </row>
    <row r="511" spans="1:4" x14ac:dyDescent="0.25">
      <c r="A511" t="str">
        <f t="shared" si="28"/>
        <v>S510</v>
      </c>
      <c r="B511" t="str">
        <f t="shared" ca="1" si="29"/>
        <v>M028</v>
      </c>
      <c r="C511">
        <f t="shared" ca="1" si="30"/>
        <v>11</v>
      </c>
      <c r="D511" s="1">
        <f t="shared" ca="1" si="31"/>
        <v>46029</v>
      </c>
    </row>
    <row r="512" spans="1:4" x14ac:dyDescent="0.25">
      <c r="A512" t="str">
        <f t="shared" si="28"/>
        <v>S511</v>
      </c>
      <c r="B512" t="str">
        <f t="shared" ca="1" si="29"/>
        <v>M029</v>
      </c>
      <c r="C512">
        <f t="shared" ca="1" si="30"/>
        <v>22</v>
      </c>
      <c r="D512" s="1">
        <f t="shared" ca="1" si="31"/>
        <v>46105</v>
      </c>
    </row>
    <row r="513" spans="1:4" x14ac:dyDescent="0.25">
      <c r="A513" t="str">
        <f t="shared" si="28"/>
        <v>S512</v>
      </c>
      <c r="B513" t="str">
        <f t="shared" ca="1" si="29"/>
        <v>M087</v>
      </c>
      <c r="C513">
        <f t="shared" ca="1" si="30"/>
        <v>12</v>
      </c>
      <c r="D513" s="1">
        <f t="shared" ca="1" si="31"/>
        <v>46041</v>
      </c>
    </row>
    <row r="514" spans="1:4" x14ac:dyDescent="0.25">
      <c r="A514" t="str">
        <f t="shared" si="28"/>
        <v>S513</v>
      </c>
      <c r="B514" t="str">
        <f t="shared" ca="1" si="29"/>
        <v>M066</v>
      </c>
      <c r="C514">
        <f t="shared" ca="1" si="30"/>
        <v>8</v>
      </c>
      <c r="D514" s="1">
        <f t="shared" ca="1" si="31"/>
        <v>46083</v>
      </c>
    </row>
    <row r="515" spans="1:4" x14ac:dyDescent="0.25">
      <c r="A515" t="str">
        <f t="shared" ref="A515:A578" si="32">"S"&amp;TEXT(ROW(A514),"000")</f>
        <v>S514</v>
      </c>
      <c r="B515" t="str">
        <f t="shared" ref="B515:B578" ca="1" si="33">"M"&amp;TEXT(RANDBETWEEN(1,100),"000")</f>
        <v>M092</v>
      </c>
      <c r="C515">
        <f t="shared" ref="C515:C578" ca="1" si="34">RANDBETWEEN(1,30)</f>
        <v>13</v>
      </c>
      <c r="D515" s="1">
        <f t="shared" ref="D515:D578" ca="1" si="35">TODAY()-RANDBETWEEN(1,90)</f>
        <v>46088</v>
      </c>
    </row>
    <row r="516" spans="1:4" x14ac:dyDescent="0.25">
      <c r="A516" t="str">
        <f t="shared" si="32"/>
        <v>S515</v>
      </c>
      <c r="B516" t="str">
        <f t="shared" ca="1" si="33"/>
        <v>M003</v>
      </c>
      <c r="C516">
        <f t="shared" ca="1" si="34"/>
        <v>8</v>
      </c>
      <c r="D516" s="1">
        <f t="shared" ca="1" si="35"/>
        <v>46108</v>
      </c>
    </row>
    <row r="517" spans="1:4" x14ac:dyDescent="0.25">
      <c r="A517" t="str">
        <f t="shared" si="32"/>
        <v>S516</v>
      </c>
      <c r="B517" t="str">
        <f t="shared" ca="1" si="33"/>
        <v>M001</v>
      </c>
      <c r="C517">
        <f t="shared" ca="1" si="34"/>
        <v>24</v>
      </c>
      <c r="D517" s="1">
        <f t="shared" ca="1" si="35"/>
        <v>46101</v>
      </c>
    </row>
    <row r="518" spans="1:4" x14ac:dyDescent="0.25">
      <c r="A518" t="str">
        <f t="shared" si="32"/>
        <v>S517</v>
      </c>
      <c r="B518" t="str">
        <f t="shared" ca="1" si="33"/>
        <v>M084</v>
      </c>
      <c r="C518">
        <f t="shared" ca="1" si="34"/>
        <v>5</v>
      </c>
      <c r="D518" s="1">
        <f t="shared" ca="1" si="35"/>
        <v>46088</v>
      </c>
    </row>
    <row r="519" spans="1:4" x14ac:dyDescent="0.25">
      <c r="A519" t="str">
        <f t="shared" si="32"/>
        <v>S518</v>
      </c>
      <c r="B519" t="str">
        <f t="shared" ca="1" si="33"/>
        <v>M077</v>
      </c>
      <c r="C519">
        <f t="shared" ca="1" si="34"/>
        <v>26</v>
      </c>
      <c r="D519" s="1">
        <f t="shared" ca="1" si="35"/>
        <v>46101</v>
      </c>
    </row>
    <row r="520" spans="1:4" x14ac:dyDescent="0.25">
      <c r="A520" t="str">
        <f t="shared" si="32"/>
        <v>S519</v>
      </c>
      <c r="B520" t="str">
        <f t="shared" ca="1" si="33"/>
        <v>M029</v>
      </c>
      <c r="C520">
        <f t="shared" ca="1" si="34"/>
        <v>9</v>
      </c>
      <c r="D520" s="1">
        <f t="shared" ca="1" si="35"/>
        <v>46088</v>
      </c>
    </row>
    <row r="521" spans="1:4" x14ac:dyDescent="0.25">
      <c r="A521" t="str">
        <f t="shared" si="32"/>
        <v>S520</v>
      </c>
      <c r="B521" t="str">
        <f t="shared" ca="1" si="33"/>
        <v>M034</v>
      </c>
      <c r="C521">
        <f t="shared" ca="1" si="34"/>
        <v>7</v>
      </c>
      <c r="D521" s="1">
        <f t="shared" ca="1" si="35"/>
        <v>46046</v>
      </c>
    </row>
    <row r="522" spans="1:4" x14ac:dyDescent="0.25">
      <c r="A522" t="str">
        <f t="shared" si="32"/>
        <v>S521</v>
      </c>
      <c r="B522" t="str">
        <f t="shared" ca="1" si="33"/>
        <v>M035</v>
      </c>
      <c r="C522">
        <f t="shared" ca="1" si="34"/>
        <v>16</v>
      </c>
      <c r="D522" s="1">
        <f t="shared" ca="1" si="35"/>
        <v>46103</v>
      </c>
    </row>
    <row r="523" spans="1:4" x14ac:dyDescent="0.25">
      <c r="A523" t="str">
        <f t="shared" si="32"/>
        <v>S522</v>
      </c>
      <c r="B523" t="str">
        <f t="shared" ca="1" si="33"/>
        <v>M066</v>
      </c>
      <c r="C523">
        <f t="shared" ca="1" si="34"/>
        <v>17</v>
      </c>
      <c r="D523" s="1">
        <f t="shared" ca="1" si="35"/>
        <v>46095</v>
      </c>
    </row>
    <row r="524" spans="1:4" x14ac:dyDescent="0.25">
      <c r="A524" t="str">
        <f t="shared" si="32"/>
        <v>S523</v>
      </c>
      <c r="B524" t="str">
        <f t="shared" ca="1" si="33"/>
        <v>M091</v>
      </c>
      <c r="C524">
        <f t="shared" ca="1" si="34"/>
        <v>15</v>
      </c>
      <c r="D524" s="1">
        <f t="shared" ca="1" si="35"/>
        <v>46079</v>
      </c>
    </row>
    <row r="525" spans="1:4" x14ac:dyDescent="0.25">
      <c r="A525" t="str">
        <f t="shared" si="32"/>
        <v>S524</v>
      </c>
      <c r="B525" t="str">
        <f t="shared" ca="1" si="33"/>
        <v>M068</v>
      </c>
      <c r="C525">
        <f t="shared" ca="1" si="34"/>
        <v>27</v>
      </c>
      <c r="D525" s="1">
        <f t="shared" ca="1" si="35"/>
        <v>46059</v>
      </c>
    </row>
    <row r="526" spans="1:4" x14ac:dyDescent="0.25">
      <c r="A526" t="str">
        <f t="shared" si="32"/>
        <v>S525</v>
      </c>
      <c r="B526" t="str">
        <f t="shared" ca="1" si="33"/>
        <v>M062</v>
      </c>
      <c r="C526">
        <f t="shared" ca="1" si="34"/>
        <v>18</v>
      </c>
      <c r="D526" s="1">
        <f t="shared" ca="1" si="35"/>
        <v>46087</v>
      </c>
    </row>
    <row r="527" spans="1:4" x14ac:dyDescent="0.25">
      <c r="A527" t="str">
        <f t="shared" si="32"/>
        <v>S526</v>
      </c>
      <c r="B527" t="str">
        <f t="shared" ca="1" si="33"/>
        <v>M015</v>
      </c>
      <c r="C527">
        <f t="shared" ca="1" si="34"/>
        <v>22</v>
      </c>
      <c r="D527" s="1">
        <f t="shared" ca="1" si="35"/>
        <v>46056</v>
      </c>
    </row>
    <row r="528" spans="1:4" x14ac:dyDescent="0.25">
      <c r="A528" t="str">
        <f t="shared" si="32"/>
        <v>S527</v>
      </c>
      <c r="B528" t="str">
        <f t="shared" ca="1" si="33"/>
        <v>M036</v>
      </c>
      <c r="C528">
        <f t="shared" ca="1" si="34"/>
        <v>25</v>
      </c>
      <c r="D528" s="1">
        <f t="shared" ca="1" si="35"/>
        <v>46062</v>
      </c>
    </row>
    <row r="529" spans="1:4" x14ac:dyDescent="0.25">
      <c r="A529" t="str">
        <f t="shared" si="32"/>
        <v>S528</v>
      </c>
      <c r="B529" t="str">
        <f t="shared" ca="1" si="33"/>
        <v>M036</v>
      </c>
      <c r="C529">
        <f t="shared" ca="1" si="34"/>
        <v>21</v>
      </c>
      <c r="D529" s="1">
        <f t="shared" ca="1" si="35"/>
        <v>46095</v>
      </c>
    </row>
    <row r="530" spans="1:4" x14ac:dyDescent="0.25">
      <c r="A530" t="str">
        <f t="shared" si="32"/>
        <v>S529</v>
      </c>
      <c r="B530" t="str">
        <f t="shared" ca="1" si="33"/>
        <v>M049</v>
      </c>
      <c r="C530">
        <f t="shared" ca="1" si="34"/>
        <v>8</v>
      </c>
      <c r="D530" s="1">
        <f t="shared" ca="1" si="35"/>
        <v>46072</v>
      </c>
    </row>
    <row r="531" spans="1:4" x14ac:dyDescent="0.25">
      <c r="A531" t="str">
        <f t="shared" si="32"/>
        <v>S530</v>
      </c>
      <c r="B531" t="str">
        <f t="shared" ca="1" si="33"/>
        <v>M061</v>
      </c>
      <c r="C531">
        <f t="shared" ca="1" si="34"/>
        <v>18</v>
      </c>
      <c r="D531" s="1">
        <f t="shared" ca="1" si="35"/>
        <v>46085</v>
      </c>
    </row>
    <row r="532" spans="1:4" x14ac:dyDescent="0.25">
      <c r="A532" t="str">
        <f t="shared" si="32"/>
        <v>S531</v>
      </c>
      <c r="B532" t="str">
        <f t="shared" ca="1" si="33"/>
        <v>M036</v>
      </c>
      <c r="C532">
        <f t="shared" ca="1" si="34"/>
        <v>17</v>
      </c>
      <c r="D532" s="1">
        <f t="shared" ca="1" si="35"/>
        <v>46038</v>
      </c>
    </row>
    <row r="533" spans="1:4" x14ac:dyDescent="0.25">
      <c r="A533" t="str">
        <f t="shared" si="32"/>
        <v>S532</v>
      </c>
      <c r="B533" t="str">
        <f t="shared" ca="1" si="33"/>
        <v>M037</v>
      </c>
      <c r="C533">
        <f t="shared" ca="1" si="34"/>
        <v>2</v>
      </c>
      <c r="D533" s="1">
        <f t="shared" ca="1" si="35"/>
        <v>46113</v>
      </c>
    </row>
    <row r="534" spans="1:4" x14ac:dyDescent="0.25">
      <c r="A534" t="str">
        <f t="shared" si="32"/>
        <v>S533</v>
      </c>
      <c r="B534" t="str">
        <f t="shared" ca="1" si="33"/>
        <v>M013</v>
      </c>
      <c r="C534">
        <f t="shared" ca="1" si="34"/>
        <v>7</v>
      </c>
      <c r="D534" s="1">
        <f t="shared" ca="1" si="35"/>
        <v>46052</v>
      </c>
    </row>
    <row r="535" spans="1:4" x14ac:dyDescent="0.25">
      <c r="A535" t="str">
        <f t="shared" si="32"/>
        <v>S534</v>
      </c>
      <c r="B535" t="str">
        <f t="shared" ca="1" si="33"/>
        <v>M073</v>
      </c>
      <c r="C535">
        <f t="shared" ca="1" si="34"/>
        <v>11</v>
      </c>
      <c r="D535" s="1">
        <f t="shared" ca="1" si="35"/>
        <v>46038</v>
      </c>
    </row>
    <row r="536" spans="1:4" x14ac:dyDescent="0.25">
      <c r="A536" t="str">
        <f t="shared" si="32"/>
        <v>S535</v>
      </c>
      <c r="B536" t="str">
        <f t="shared" ca="1" si="33"/>
        <v>M025</v>
      </c>
      <c r="C536">
        <f t="shared" ca="1" si="34"/>
        <v>6</v>
      </c>
      <c r="D536" s="1">
        <f t="shared" ca="1" si="35"/>
        <v>46040</v>
      </c>
    </row>
    <row r="537" spans="1:4" x14ac:dyDescent="0.25">
      <c r="A537" t="str">
        <f t="shared" si="32"/>
        <v>S536</v>
      </c>
      <c r="B537" t="str">
        <f t="shared" ca="1" si="33"/>
        <v>M097</v>
      </c>
      <c r="C537">
        <f t="shared" ca="1" si="34"/>
        <v>9</v>
      </c>
      <c r="D537" s="1">
        <f t="shared" ca="1" si="35"/>
        <v>46094</v>
      </c>
    </row>
    <row r="538" spans="1:4" x14ac:dyDescent="0.25">
      <c r="A538" t="str">
        <f t="shared" si="32"/>
        <v>S537</v>
      </c>
      <c r="B538" t="str">
        <f t="shared" ca="1" si="33"/>
        <v>M007</v>
      </c>
      <c r="C538">
        <f t="shared" ca="1" si="34"/>
        <v>29</v>
      </c>
      <c r="D538" s="1">
        <f t="shared" ca="1" si="35"/>
        <v>46074</v>
      </c>
    </row>
    <row r="539" spans="1:4" x14ac:dyDescent="0.25">
      <c r="A539" t="str">
        <f t="shared" si="32"/>
        <v>S538</v>
      </c>
      <c r="B539" t="str">
        <f t="shared" ca="1" si="33"/>
        <v>M006</v>
      </c>
      <c r="C539">
        <f t="shared" ca="1" si="34"/>
        <v>7</v>
      </c>
      <c r="D539" s="1">
        <f t="shared" ca="1" si="35"/>
        <v>46057</v>
      </c>
    </row>
    <row r="540" spans="1:4" x14ac:dyDescent="0.25">
      <c r="A540" t="str">
        <f t="shared" si="32"/>
        <v>S539</v>
      </c>
      <c r="B540" t="str">
        <f t="shared" ca="1" si="33"/>
        <v>M044</v>
      </c>
      <c r="C540">
        <f t="shared" ca="1" si="34"/>
        <v>18</v>
      </c>
      <c r="D540" s="1">
        <f t="shared" ca="1" si="35"/>
        <v>46118</v>
      </c>
    </row>
    <row r="541" spans="1:4" x14ac:dyDescent="0.25">
      <c r="A541" t="str">
        <f t="shared" si="32"/>
        <v>S540</v>
      </c>
      <c r="B541" t="str">
        <f t="shared" ca="1" si="33"/>
        <v>M069</v>
      </c>
      <c r="C541">
        <f t="shared" ca="1" si="34"/>
        <v>9</v>
      </c>
      <c r="D541" s="1">
        <f t="shared" ca="1" si="35"/>
        <v>46093</v>
      </c>
    </row>
    <row r="542" spans="1:4" x14ac:dyDescent="0.25">
      <c r="A542" t="str">
        <f t="shared" si="32"/>
        <v>S541</v>
      </c>
      <c r="B542" t="str">
        <f t="shared" ca="1" si="33"/>
        <v>M072</v>
      </c>
      <c r="C542">
        <f t="shared" ca="1" si="34"/>
        <v>23</v>
      </c>
      <c r="D542" s="1">
        <f t="shared" ca="1" si="35"/>
        <v>46046</v>
      </c>
    </row>
    <row r="543" spans="1:4" x14ac:dyDescent="0.25">
      <c r="A543" t="str">
        <f t="shared" si="32"/>
        <v>S542</v>
      </c>
      <c r="B543" t="str">
        <f t="shared" ca="1" si="33"/>
        <v>M051</v>
      </c>
      <c r="C543">
        <f t="shared" ca="1" si="34"/>
        <v>13</v>
      </c>
      <c r="D543" s="1">
        <f t="shared" ca="1" si="35"/>
        <v>46042</v>
      </c>
    </row>
    <row r="544" spans="1:4" x14ac:dyDescent="0.25">
      <c r="A544" t="str">
        <f t="shared" si="32"/>
        <v>S543</v>
      </c>
      <c r="B544" t="str">
        <f t="shared" ca="1" si="33"/>
        <v>M046</v>
      </c>
      <c r="C544">
        <f t="shared" ca="1" si="34"/>
        <v>6</v>
      </c>
      <c r="D544" s="1">
        <f t="shared" ca="1" si="35"/>
        <v>46058</v>
      </c>
    </row>
    <row r="545" spans="1:4" x14ac:dyDescent="0.25">
      <c r="A545" t="str">
        <f t="shared" si="32"/>
        <v>S544</v>
      </c>
      <c r="B545" t="str">
        <f t="shared" ca="1" si="33"/>
        <v>M100</v>
      </c>
      <c r="C545">
        <f t="shared" ca="1" si="34"/>
        <v>24</v>
      </c>
      <c r="D545" s="1">
        <f t="shared" ca="1" si="35"/>
        <v>46075</v>
      </c>
    </row>
    <row r="546" spans="1:4" x14ac:dyDescent="0.25">
      <c r="A546" t="str">
        <f t="shared" si="32"/>
        <v>S545</v>
      </c>
      <c r="B546" t="str">
        <f t="shared" ca="1" si="33"/>
        <v>M023</v>
      </c>
      <c r="C546">
        <f t="shared" ca="1" si="34"/>
        <v>17</v>
      </c>
      <c r="D546" s="1">
        <f t="shared" ca="1" si="35"/>
        <v>46112</v>
      </c>
    </row>
    <row r="547" spans="1:4" x14ac:dyDescent="0.25">
      <c r="A547" t="str">
        <f t="shared" si="32"/>
        <v>S546</v>
      </c>
      <c r="B547" t="str">
        <f t="shared" ca="1" si="33"/>
        <v>M038</v>
      </c>
      <c r="C547">
        <f t="shared" ca="1" si="34"/>
        <v>28</v>
      </c>
      <c r="D547" s="1">
        <f t="shared" ca="1" si="35"/>
        <v>46046</v>
      </c>
    </row>
    <row r="548" spans="1:4" x14ac:dyDescent="0.25">
      <c r="A548" t="str">
        <f t="shared" si="32"/>
        <v>S547</v>
      </c>
      <c r="B548" t="str">
        <f t="shared" ca="1" si="33"/>
        <v>M028</v>
      </c>
      <c r="C548">
        <f t="shared" ca="1" si="34"/>
        <v>1</v>
      </c>
      <c r="D548" s="1">
        <f t="shared" ca="1" si="35"/>
        <v>46111</v>
      </c>
    </row>
    <row r="549" spans="1:4" x14ac:dyDescent="0.25">
      <c r="A549" t="str">
        <f t="shared" si="32"/>
        <v>S548</v>
      </c>
      <c r="B549" t="str">
        <f t="shared" ca="1" si="33"/>
        <v>M076</v>
      </c>
      <c r="C549">
        <f t="shared" ca="1" si="34"/>
        <v>9</v>
      </c>
      <c r="D549" s="1">
        <f t="shared" ca="1" si="35"/>
        <v>46068</v>
      </c>
    </row>
    <row r="550" spans="1:4" x14ac:dyDescent="0.25">
      <c r="A550" t="str">
        <f t="shared" si="32"/>
        <v>S549</v>
      </c>
      <c r="B550" t="str">
        <f t="shared" ca="1" si="33"/>
        <v>M031</v>
      </c>
      <c r="C550">
        <f t="shared" ca="1" si="34"/>
        <v>1</v>
      </c>
      <c r="D550" s="1">
        <f t="shared" ca="1" si="35"/>
        <v>46089</v>
      </c>
    </row>
    <row r="551" spans="1:4" x14ac:dyDescent="0.25">
      <c r="A551" t="str">
        <f t="shared" si="32"/>
        <v>S550</v>
      </c>
      <c r="B551" t="str">
        <f t="shared" ca="1" si="33"/>
        <v>M072</v>
      </c>
      <c r="C551">
        <f t="shared" ca="1" si="34"/>
        <v>17</v>
      </c>
      <c r="D551" s="1">
        <f t="shared" ca="1" si="35"/>
        <v>46039</v>
      </c>
    </row>
    <row r="552" spans="1:4" x14ac:dyDescent="0.25">
      <c r="A552" t="str">
        <f t="shared" si="32"/>
        <v>S551</v>
      </c>
      <c r="B552" t="str">
        <f t="shared" ca="1" si="33"/>
        <v>M035</v>
      </c>
      <c r="C552">
        <f t="shared" ca="1" si="34"/>
        <v>4</v>
      </c>
      <c r="D552" s="1">
        <f t="shared" ca="1" si="35"/>
        <v>46037</v>
      </c>
    </row>
    <row r="553" spans="1:4" x14ac:dyDescent="0.25">
      <c r="A553" t="str">
        <f t="shared" si="32"/>
        <v>S552</v>
      </c>
      <c r="B553" t="str">
        <f t="shared" ca="1" si="33"/>
        <v>M074</v>
      </c>
      <c r="C553">
        <f t="shared" ca="1" si="34"/>
        <v>6</v>
      </c>
      <c r="D553" s="1">
        <f t="shared" ca="1" si="35"/>
        <v>46070</v>
      </c>
    </row>
    <row r="554" spans="1:4" x14ac:dyDescent="0.25">
      <c r="A554" t="str">
        <f t="shared" si="32"/>
        <v>S553</v>
      </c>
      <c r="B554" t="str">
        <f t="shared" ca="1" si="33"/>
        <v>M031</v>
      </c>
      <c r="C554">
        <f t="shared" ca="1" si="34"/>
        <v>15</v>
      </c>
      <c r="D554" s="1">
        <f t="shared" ca="1" si="35"/>
        <v>46048</v>
      </c>
    </row>
    <row r="555" spans="1:4" x14ac:dyDescent="0.25">
      <c r="A555" t="str">
        <f t="shared" si="32"/>
        <v>S554</v>
      </c>
      <c r="B555" t="str">
        <f t="shared" ca="1" si="33"/>
        <v>M098</v>
      </c>
      <c r="C555">
        <f t="shared" ca="1" si="34"/>
        <v>8</v>
      </c>
      <c r="D555" s="1">
        <f t="shared" ca="1" si="35"/>
        <v>46030</v>
      </c>
    </row>
    <row r="556" spans="1:4" x14ac:dyDescent="0.25">
      <c r="A556" t="str">
        <f t="shared" si="32"/>
        <v>S555</v>
      </c>
      <c r="B556" t="str">
        <f t="shared" ca="1" si="33"/>
        <v>M097</v>
      </c>
      <c r="C556">
        <f t="shared" ca="1" si="34"/>
        <v>24</v>
      </c>
      <c r="D556" s="1">
        <f t="shared" ca="1" si="35"/>
        <v>46103</v>
      </c>
    </row>
    <row r="557" spans="1:4" x14ac:dyDescent="0.25">
      <c r="A557" t="str">
        <f t="shared" si="32"/>
        <v>S556</v>
      </c>
      <c r="B557" t="str">
        <f t="shared" ca="1" si="33"/>
        <v>M063</v>
      </c>
      <c r="C557">
        <f t="shared" ca="1" si="34"/>
        <v>21</v>
      </c>
      <c r="D557" s="1">
        <f t="shared" ca="1" si="35"/>
        <v>46070</v>
      </c>
    </row>
    <row r="558" spans="1:4" x14ac:dyDescent="0.25">
      <c r="A558" t="str">
        <f t="shared" si="32"/>
        <v>S557</v>
      </c>
      <c r="B558" t="str">
        <f t="shared" ca="1" si="33"/>
        <v>M010</v>
      </c>
      <c r="C558">
        <f t="shared" ca="1" si="34"/>
        <v>30</v>
      </c>
      <c r="D558" s="1">
        <f t="shared" ca="1" si="35"/>
        <v>46114</v>
      </c>
    </row>
    <row r="559" spans="1:4" x14ac:dyDescent="0.25">
      <c r="A559" t="str">
        <f t="shared" si="32"/>
        <v>S558</v>
      </c>
      <c r="B559" t="str">
        <f t="shared" ca="1" si="33"/>
        <v>M019</v>
      </c>
      <c r="C559">
        <f t="shared" ca="1" si="34"/>
        <v>8</v>
      </c>
      <c r="D559" s="1">
        <f t="shared" ca="1" si="35"/>
        <v>46072</v>
      </c>
    </row>
    <row r="560" spans="1:4" x14ac:dyDescent="0.25">
      <c r="A560" t="str">
        <f t="shared" si="32"/>
        <v>S559</v>
      </c>
      <c r="B560" t="str">
        <f t="shared" ca="1" si="33"/>
        <v>M080</v>
      </c>
      <c r="C560">
        <f t="shared" ca="1" si="34"/>
        <v>20</v>
      </c>
      <c r="D560" s="1">
        <f t="shared" ca="1" si="35"/>
        <v>46088</v>
      </c>
    </row>
    <row r="561" spans="1:4" x14ac:dyDescent="0.25">
      <c r="A561" t="str">
        <f t="shared" si="32"/>
        <v>S560</v>
      </c>
      <c r="B561" t="str">
        <f t="shared" ca="1" si="33"/>
        <v>M023</v>
      </c>
      <c r="C561">
        <f t="shared" ca="1" si="34"/>
        <v>16</v>
      </c>
      <c r="D561" s="1">
        <f t="shared" ca="1" si="35"/>
        <v>46078</v>
      </c>
    </row>
    <row r="562" spans="1:4" x14ac:dyDescent="0.25">
      <c r="A562" t="str">
        <f t="shared" si="32"/>
        <v>S561</v>
      </c>
      <c r="B562" t="str">
        <f t="shared" ca="1" si="33"/>
        <v>M087</v>
      </c>
      <c r="C562">
        <f t="shared" ca="1" si="34"/>
        <v>9</v>
      </c>
      <c r="D562" s="1">
        <f t="shared" ca="1" si="35"/>
        <v>46079</v>
      </c>
    </row>
    <row r="563" spans="1:4" x14ac:dyDescent="0.25">
      <c r="A563" t="str">
        <f t="shared" si="32"/>
        <v>S562</v>
      </c>
      <c r="B563" t="str">
        <f t="shared" ca="1" si="33"/>
        <v>M032</v>
      </c>
      <c r="C563">
        <f t="shared" ca="1" si="34"/>
        <v>28</v>
      </c>
      <c r="D563" s="1">
        <f t="shared" ca="1" si="35"/>
        <v>46054</v>
      </c>
    </row>
    <row r="564" spans="1:4" x14ac:dyDescent="0.25">
      <c r="A564" t="str">
        <f t="shared" si="32"/>
        <v>S563</v>
      </c>
      <c r="B564" t="str">
        <f t="shared" ca="1" si="33"/>
        <v>M031</v>
      </c>
      <c r="C564">
        <f t="shared" ca="1" si="34"/>
        <v>22</v>
      </c>
      <c r="D564" s="1">
        <f t="shared" ca="1" si="35"/>
        <v>46081</v>
      </c>
    </row>
    <row r="565" spans="1:4" x14ac:dyDescent="0.25">
      <c r="A565" t="str">
        <f t="shared" si="32"/>
        <v>S564</v>
      </c>
      <c r="B565" t="str">
        <f t="shared" ca="1" si="33"/>
        <v>M083</v>
      </c>
      <c r="C565">
        <f t="shared" ca="1" si="34"/>
        <v>18</v>
      </c>
      <c r="D565" s="1">
        <f t="shared" ca="1" si="35"/>
        <v>46103</v>
      </c>
    </row>
    <row r="566" spans="1:4" x14ac:dyDescent="0.25">
      <c r="A566" t="str">
        <f t="shared" si="32"/>
        <v>S565</v>
      </c>
      <c r="B566" t="str">
        <f t="shared" ca="1" si="33"/>
        <v>M083</v>
      </c>
      <c r="C566">
        <f t="shared" ca="1" si="34"/>
        <v>2</v>
      </c>
      <c r="D566" s="1">
        <f t="shared" ca="1" si="35"/>
        <v>46038</v>
      </c>
    </row>
    <row r="567" spans="1:4" x14ac:dyDescent="0.25">
      <c r="A567" t="str">
        <f t="shared" si="32"/>
        <v>S566</v>
      </c>
      <c r="B567" t="str">
        <f t="shared" ca="1" si="33"/>
        <v>M033</v>
      </c>
      <c r="C567">
        <f t="shared" ca="1" si="34"/>
        <v>14</v>
      </c>
      <c r="D567" s="1">
        <f t="shared" ca="1" si="35"/>
        <v>46070</v>
      </c>
    </row>
    <row r="568" spans="1:4" x14ac:dyDescent="0.25">
      <c r="A568" t="str">
        <f t="shared" si="32"/>
        <v>S567</v>
      </c>
      <c r="B568" t="str">
        <f t="shared" ca="1" si="33"/>
        <v>M020</v>
      </c>
      <c r="C568">
        <f t="shared" ca="1" si="34"/>
        <v>3</v>
      </c>
      <c r="D568" s="1">
        <f t="shared" ca="1" si="35"/>
        <v>46090</v>
      </c>
    </row>
    <row r="569" spans="1:4" x14ac:dyDescent="0.25">
      <c r="A569" t="str">
        <f t="shared" si="32"/>
        <v>S568</v>
      </c>
      <c r="B569" t="str">
        <f t="shared" ca="1" si="33"/>
        <v>M022</v>
      </c>
      <c r="C569">
        <f t="shared" ca="1" si="34"/>
        <v>15</v>
      </c>
      <c r="D569" s="1">
        <f t="shared" ca="1" si="35"/>
        <v>46044</v>
      </c>
    </row>
    <row r="570" spans="1:4" x14ac:dyDescent="0.25">
      <c r="A570" t="str">
        <f t="shared" si="32"/>
        <v>S569</v>
      </c>
      <c r="B570" t="str">
        <f t="shared" ca="1" si="33"/>
        <v>M072</v>
      </c>
      <c r="C570">
        <f t="shared" ca="1" si="34"/>
        <v>22</v>
      </c>
      <c r="D570" s="1">
        <f t="shared" ca="1" si="35"/>
        <v>46100</v>
      </c>
    </row>
    <row r="571" spans="1:4" x14ac:dyDescent="0.25">
      <c r="A571" t="str">
        <f t="shared" si="32"/>
        <v>S570</v>
      </c>
      <c r="B571" t="str">
        <f t="shared" ca="1" si="33"/>
        <v>M018</v>
      </c>
      <c r="C571">
        <f t="shared" ca="1" si="34"/>
        <v>15</v>
      </c>
      <c r="D571" s="1">
        <f t="shared" ca="1" si="35"/>
        <v>46068</v>
      </c>
    </row>
    <row r="572" spans="1:4" x14ac:dyDescent="0.25">
      <c r="A572" t="str">
        <f t="shared" si="32"/>
        <v>S571</v>
      </c>
      <c r="B572" t="str">
        <f t="shared" ca="1" si="33"/>
        <v>M008</v>
      </c>
      <c r="C572">
        <f t="shared" ca="1" si="34"/>
        <v>17</v>
      </c>
      <c r="D572" s="1">
        <f t="shared" ca="1" si="35"/>
        <v>46051</v>
      </c>
    </row>
    <row r="573" spans="1:4" x14ac:dyDescent="0.25">
      <c r="A573" t="str">
        <f t="shared" si="32"/>
        <v>S572</v>
      </c>
      <c r="B573" t="str">
        <f t="shared" ca="1" si="33"/>
        <v>M050</v>
      </c>
      <c r="C573">
        <f t="shared" ca="1" si="34"/>
        <v>19</v>
      </c>
      <c r="D573" s="1">
        <f t="shared" ca="1" si="35"/>
        <v>46039</v>
      </c>
    </row>
    <row r="574" spans="1:4" x14ac:dyDescent="0.25">
      <c r="A574" t="str">
        <f t="shared" si="32"/>
        <v>S573</v>
      </c>
      <c r="B574" t="str">
        <f t="shared" ca="1" si="33"/>
        <v>M053</v>
      </c>
      <c r="C574">
        <f t="shared" ca="1" si="34"/>
        <v>29</v>
      </c>
      <c r="D574" s="1">
        <f t="shared" ca="1" si="35"/>
        <v>46050</v>
      </c>
    </row>
    <row r="575" spans="1:4" x14ac:dyDescent="0.25">
      <c r="A575" t="str">
        <f t="shared" si="32"/>
        <v>S574</v>
      </c>
      <c r="B575" t="str">
        <f t="shared" ca="1" si="33"/>
        <v>M097</v>
      </c>
      <c r="C575">
        <f t="shared" ca="1" si="34"/>
        <v>24</v>
      </c>
      <c r="D575" s="1">
        <f t="shared" ca="1" si="35"/>
        <v>46057</v>
      </c>
    </row>
    <row r="576" spans="1:4" x14ac:dyDescent="0.25">
      <c r="A576" t="str">
        <f t="shared" si="32"/>
        <v>S575</v>
      </c>
      <c r="B576" t="str">
        <f t="shared" ca="1" si="33"/>
        <v>M042</v>
      </c>
      <c r="C576">
        <f t="shared" ca="1" si="34"/>
        <v>2</v>
      </c>
      <c r="D576" s="1">
        <f t="shared" ca="1" si="35"/>
        <v>46110</v>
      </c>
    </row>
    <row r="577" spans="1:4" x14ac:dyDescent="0.25">
      <c r="A577" t="str">
        <f t="shared" si="32"/>
        <v>S576</v>
      </c>
      <c r="B577" t="str">
        <f t="shared" ca="1" si="33"/>
        <v>M004</v>
      </c>
      <c r="C577">
        <f t="shared" ca="1" si="34"/>
        <v>23</v>
      </c>
      <c r="D577" s="1">
        <f t="shared" ca="1" si="35"/>
        <v>46041</v>
      </c>
    </row>
    <row r="578" spans="1:4" x14ac:dyDescent="0.25">
      <c r="A578" t="str">
        <f t="shared" si="32"/>
        <v>S577</v>
      </c>
      <c r="B578" t="str">
        <f t="shared" ca="1" si="33"/>
        <v>M008</v>
      </c>
      <c r="C578">
        <f t="shared" ca="1" si="34"/>
        <v>1</v>
      </c>
      <c r="D578" s="1">
        <f t="shared" ca="1" si="35"/>
        <v>46086</v>
      </c>
    </row>
    <row r="579" spans="1:4" x14ac:dyDescent="0.25">
      <c r="A579" t="str">
        <f t="shared" ref="A579:A642" si="36">"S"&amp;TEXT(ROW(A578),"000")</f>
        <v>S578</v>
      </c>
      <c r="B579" t="str">
        <f t="shared" ref="B579:B642" ca="1" si="37">"M"&amp;TEXT(RANDBETWEEN(1,100),"000")</f>
        <v>M012</v>
      </c>
      <c r="C579">
        <f t="shared" ref="C579:C642" ca="1" si="38">RANDBETWEEN(1,30)</f>
        <v>3</v>
      </c>
      <c r="D579" s="1">
        <f t="shared" ref="D579:D642" ca="1" si="39">TODAY()-RANDBETWEEN(1,90)</f>
        <v>46029</v>
      </c>
    </row>
    <row r="580" spans="1:4" x14ac:dyDescent="0.25">
      <c r="A580" t="str">
        <f t="shared" si="36"/>
        <v>S579</v>
      </c>
      <c r="B580" t="str">
        <f t="shared" ca="1" si="37"/>
        <v>M092</v>
      </c>
      <c r="C580">
        <f t="shared" ca="1" si="38"/>
        <v>4</v>
      </c>
      <c r="D580" s="1">
        <f t="shared" ca="1" si="39"/>
        <v>46106</v>
      </c>
    </row>
    <row r="581" spans="1:4" x14ac:dyDescent="0.25">
      <c r="A581" t="str">
        <f t="shared" si="36"/>
        <v>S580</v>
      </c>
      <c r="B581" t="str">
        <f t="shared" ca="1" si="37"/>
        <v>M005</v>
      </c>
      <c r="C581">
        <f t="shared" ca="1" si="38"/>
        <v>10</v>
      </c>
      <c r="D581" s="1">
        <f t="shared" ca="1" si="39"/>
        <v>46111</v>
      </c>
    </row>
    <row r="582" spans="1:4" x14ac:dyDescent="0.25">
      <c r="A582" t="str">
        <f t="shared" si="36"/>
        <v>S581</v>
      </c>
      <c r="B582" t="str">
        <f t="shared" ca="1" si="37"/>
        <v>M040</v>
      </c>
      <c r="C582">
        <f t="shared" ca="1" si="38"/>
        <v>12</v>
      </c>
      <c r="D582" s="1">
        <f t="shared" ca="1" si="39"/>
        <v>46094</v>
      </c>
    </row>
    <row r="583" spans="1:4" x14ac:dyDescent="0.25">
      <c r="A583" t="str">
        <f t="shared" si="36"/>
        <v>S582</v>
      </c>
      <c r="B583" t="str">
        <f t="shared" ca="1" si="37"/>
        <v>M055</v>
      </c>
      <c r="C583">
        <f t="shared" ca="1" si="38"/>
        <v>5</v>
      </c>
      <c r="D583" s="1">
        <f t="shared" ca="1" si="39"/>
        <v>46108</v>
      </c>
    </row>
    <row r="584" spans="1:4" x14ac:dyDescent="0.25">
      <c r="A584" t="str">
        <f t="shared" si="36"/>
        <v>S583</v>
      </c>
      <c r="B584" t="str">
        <f t="shared" ca="1" si="37"/>
        <v>M083</v>
      </c>
      <c r="C584">
        <f t="shared" ca="1" si="38"/>
        <v>11</v>
      </c>
      <c r="D584" s="1">
        <f t="shared" ca="1" si="39"/>
        <v>46087</v>
      </c>
    </row>
    <row r="585" spans="1:4" x14ac:dyDescent="0.25">
      <c r="A585" t="str">
        <f t="shared" si="36"/>
        <v>S584</v>
      </c>
      <c r="B585" t="str">
        <f t="shared" ca="1" si="37"/>
        <v>M016</v>
      </c>
      <c r="C585">
        <f t="shared" ca="1" si="38"/>
        <v>25</v>
      </c>
      <c r="D585" s="1">
        <f t="shared" ca="1" si="39"/>
        <v>46047</v>
      </c>
    </row>
    <row r="586" spans="1:4" x14ac:dyDescent="0.25">
      <c r="A586" t="str">
        <f t="shared" si="36"/>
        <v>S585</v>
      </c>
      <c r="B586" t="str">
        <f t="shared" ca="1" si="37"/>
        <v>M082</v>
      </c>
      <c r="C586">
        <f t="shared" ca="1" si="38"/>
        <v>21</v>
      </c>
      <c r="D586" s="1">
        <f t="shared" ca="1" si="39"/>
        <v>46037</v>
      </c>
    </row>
    <row r="587" spans="1:4" x14ac:dyDescent="0.25">
      <c r="A587" t="str">
        <f t="shared" si="36"/>
        <v>S586</v>
      </c>
      <c r="B587" t="str">
        <f t="shared" ca="1" si="37"/>
        <v>M051</v>
      </c>
      <c r="C587">
        <f t="shared" ca="1" si="38"/>
        <v>5</v>
      </c>
      <c r="D587" s="1">
        <f t="shared" ca="1" si="39"/>
        <v>46073</v>
      </c>
    </row>
    <row r="588" spans="1:4" x14ac:dyDescent="0.25">
      <c r="A588" t="str">
        <f t="shared" si="36"/>
        <v>S587</v>
      </c>
      <c r="B588" t="str">
        <f t="shared" ca="1" si="37"/>
        <v>M082</v>
      </c>
      <c r="C588">
        <f t="shared" ca="1" si="38"/>
        <v>21</v>
      </c>
      <c r="D588" s="1">
        <f t="shared" ca="1" si="39"/>
        <v>46054</v>
      </c>
    </row>
    <row r="589" spans="1:4" x14ac:dyDescent="0.25">
      <c r="A589" t="str">
        <f t="shared" si="36"/>
        <v>S588</v>
      </c>
      <c r="B589" t="str">
        <f t="shared" ca="1" si="37"/>
        <v>M006</v>
      </c>
      <c r="C589">
        <f t="shared" ca="1" si="38"/>
        <v>10</v>
      </c>
      <c r="D589" s="1">
        <f t="shared" ca="1" si="39"/>
        <v>46114</v>
      </c>
    </row>
    <row r="590" spans="1:4" x14ac:dyDescent="0.25">
      <c r="A590" t="str">
        <f t="shared" si="36"/>
        <v>S589</v>
      </c>
      <c r="B590" t="str">
        <f t="shared" ca="1" si="37"/>
        <v>M075</v>
      </c>
      <c r="C590">
        <f t="shared" ca="1" si="38"/>
        <v>21</v>
      </c>
      <c r="D590" s="1">
        <f t="shared" ca="1" si="39"/>
        <v>46070</v>
      </c>
    </row>
    <row r="591" spans="1:4" x14ac:dyDescent="0.25">
      <c r="A591" t="str">
        <f t="shared" si="36"/>
        <v>S590</v>
      </c>
      <c r="B591" t="str">
        <f t="shared" ca="1" si="37"/>
        <v>M041</v>
      </c>
      <c r="C591">
        <f t="shared" ca="1" si="38"/>
        <v>20</v>
      </c>
      <c r="D591" s="1">
        <f t="shared" ca="1" si="39"/>
        <v>46049</v>
      </c>
    </row>
    <row r="592" spans="1:4" x14ac:dyDescent="0.25">
      <c r="A592" t="str">
        <f t="shared" si="36"/>
        <v>S591</v>
      </c>
      <c r="B592" t="str">
        <f t="shared" ca="1" si="37"/>
        <v>M064</v>
      </c>
      <c r="C592">
        <f t="shared" ca="1" si="38"/>
        <v>9</v>
      </c>
      <c r="D592" s="1">
        <f t="shared" ca="1" si="39"/>
        <v>46109</v>
      </c>
    </row>
    <row r="593" spans="1:4" x14ac:dyDescent="0.25">
      <c r="A593" t="str">
        <f t="shared" si="36"/>
        <v>S592</v>
      </c>
      <c r="B593" t="str">
        <f t="shared" ca="1" si="37"/>
        <v>M044</v>
      </c>
      <c r="C593">
        <f t="shared" ca="1" si="38"/>
        <v>10</v>
      </c>
      <c r="D593" s="1">
        <f t="shared" ca="1" si="39"/>
        <v>46050</v>
      </c>
    </row>
    <row r="594" spans="1:4" x14ac:dyDescent="0.25">
      <c r="A594" t="str">
        <f t="shared" si="36"/>
        <v>S593</v>
      </c>
      <c r="B594" t="str">
        <f t="shared" ca="1" si="37"/>
        <v>M014</v>
      </c>
      <c r="C594">
        <f t="shared" ca="1" si="38"/>
        <v>21</v>
      </c>
      <c r="D594" s="1">
        <f t="shared" ca="1" si="39"/>
        <v>46055</v>
      </c>
    </row>
    <row r="595" spans="1:4" x14ac:dyDescent="0.25">
      <c r="A595" t="str">
        <f t="shared" si="36"/>
        <v>S594</v>
      </c>
      <c r="B595" t="str">
        <f t="shared" ca="1" si="37"/>
        <v>M088</v>
      </c>
      <c r="C595">
        <f t="shared" ca="1" si="38"/>
        <v>16</v>
      </c>
      <c r="D595" s="1">
        <f t="shared" ca="1" si="39"/>
        <v>46077</v>
      </c>
    </row>
    <row r="596" spans="1:4" x14ac:dyDescent="0.25">
      <c r="A596" t="str">
        <f t="shared" si="36"/>
        <v>S595</v>
      </c>
      <c r="B596" t="str">
        <f t="shared" ca="1" si="37"/>
        <v>M078</v>
      </c>
      <c r="C596">
        <f t="shared" ca="1" si="38"/>
        <v>18</v>
      </c>
      <c r="D596" s="1">
        <f t="shared" ca="1" si="39"/>
        <v>46041</v>
      </c>
    </row>
    <row r="597" spans="1:4" x14ac:dyDescent="0.25">
      <c r="A597" t="str">
        <f t="shared" si="36"/>
        <v>S596</v>
      </c>
      <c r="B597" t="str">
        <f t="shared" ca="1" si="37"/>
        <v>M042</v>
      </c>
      <c r="C597">
        <f t="shared" ca="1" si="38"/>
        <v>17</v>
      </c>
      <c r="D597" s="1">
        <f t="shared" ca="1" si="39"/>
        <v>46104</v>
      </c>
    </row>
    <row r="598" spans="1:4" x14ac:dyDescent="0.25">
      <c r="A598" t="str">
        <f t="shared" si="36"/>
        <v>S597</v>
      </c>
      <c r="B598" t="str">
        <f t="shared" ca="1" si="37"/>
        <v>M053</v>
      </c>
      <c r="C598">
        <f t="shared" ca="1" si="38"/>
        <v>9</v>
      </c>
      <c r="D598" s="1">
        <f t="shared" ca="1" si="39"/>
        <v>46108</v>
      </c>
    </row>
    <row r="599" spans="1:4" x14ac:dyDescent="0.25">
      <c r="A599" t="str">
        <f t="shared" si="36"/>
        <v>S598</v>
      </c>
      <c r="B599" t="str">
        <f t="shared" ca="1" si="37"/>
        <v>M077</v>
      </c>
      <c r="C599">
        <f t="shared" ca="1" si="38"/>
        <v>23</v>
      </c>
      <c r="D599" s="1">
        <f t="shared" ca="1" si="39"/>
        <v>46036</v>
      </c>
    </row>
    <row r="600" spans="1:4" x14ac:dyDescent="0.25">
      <c r="A600" t="str">
        <f t="shared" si="36"/>
        <v>S599</v>
      </c>
      <c r="B600" t="str">
        <f t="shared" ca="1" si="37"/>
        <v>M078</v>
      </c>
      <c r="C600">
        <f t="shared" ca="1" si="38"/>
        <v>6</v>
      </c>
      <c r="D600" s="1">
        <f t="shared" ca="1" si="39"/>
        <v>46033</v>
      </c>
    </row>
    <row r="601" spans="1:4" x14ac:dyDescent="0.25">
      <c r="A601" t="str">
        <f t="shared" si="36"/>
        <v>S600</v>
      </c>
      <c r="B601" t="str">
        <f t="shared" ca="1" si="37"/>
        <v>M022</v>
      </c>
      <c r="C601">
        <f t="shared" ca="1" si="38"/>
        <v>5</v>
      </c>
      <c r="D601" s="1">
        <f t="shared" ca="1" si="39"/>
        <v>46067</v>
      </c>
    </row>
    <row r="602" spans="1:4" x14ac:dyDescent="0.25">
      <c r="A602" t="str">
        <f t="shared" si="36"/>
        <v>S601</v>
      </c>
      <c r="B602" t="str">
        <f t="shared" ca="1" si="37"/>
        <v>M010</v>
      </c>
      <c r="C602">
        <f t="shared" ca="1" si="38"/>
        <v>1</v>
      </c>
      <c r="D602" s="1">
        <f t="shared" ca="1" si="39"/>
        <v>46049</v>
      </c>
    </row>
    <row r="603" spans="1:4" x14ac:dyDescent="0.25">
      <c r="A603" t="str">
        <f t="shared" si="36"/>
        <v>S602</v>
      </c>
      <c r="B603" t="str">
        <f t="shared" ca="1" si="37"/>
        <v>M053</v>
      </c>
      <c r="C603">
        <f t="shared" ca="1" si="38"/>
        <v>3</v>
      </c>
      <c r="D603" s="1">
        <f t="shared" ca="1" si="39"/>
        <v>46087</v>
      </c>
    </row>
    <row r="604" spans="1:4" x14ac:dyDescent="0.25">
      <c r="A604" t="str">
        <f t="shared" si="36"/>
        <v>S603</v>
      </c>
      <c r="B604" t="str">
        <f t="shared" ca="1" si="37"/>
        <v>M059</v>
      </c>
      <c r="C604">
        <f t="shared" ca="1" si="38"/>
        <v>22</v>
      </c>
      <c r="D604" s="1">
        <f t="shared" ca="1" si="39"/>
        <v>46046</v>
      </c>
    </row>
    <row r="605" spans="1:4" x14ac:dyDescent="0.25">
      <c r="A605" t="str">
        <f t="shared" si="36"/>
        <v>S604</v>
      </c>
      <c r="B605" t="str">
        <f t="shared" ca="1" si="37"/>
        <v>M070</v>
      </c>
      <c r="C605">
        <f t="shared" ca="1" si="38"/>
        <v>14</v>
      </c>
      <c r="D605" s="1">
        <f t="shared" ca="1" si="39"/>
        <v>46069</v>
      </c>
    </row>
    <row r="606" spans="1:4" x14ac:dyDescent="0.25">
      <c r="A606" t="str">
        <f t="shared" si="36"/>
        <v>S605</v>
      </c>
      <c r="B606" t="str">
        <f t="shared" ca="1" si="37"/>
        <v>M047</v>
      </c>
      <c r="C606">
        <f t="shared" ca="1" si="38"/>
        <v>6</v>
      </c>
      <c r="D606" s="1">
        <f t="shared" ca="1" si="39"/>
        <v>46106</v>
      </c>
    </row>
    <row r="607" spans="1:4" x14ac:dyDescent="0.25">
      <c r="A607" t="str">
        <f t="shared" si="36"/>
        <v>S606</v>
      </c>
      <c r="B607" t="str">
        <f t="shared" ca="1" si="37"/>
        <v>M035</v>
      </c>
      <c r="C607">
        <f t="shared" ca="1" si="38"/>
        <v>6</v>
      </c>
      <c r="D607" s="1">
        <f t="shared" ca="1" si="39"/>
        <v>46084</v>
      </c>
    </row>
    <row r="608" spans="1:4" x14ac:dyDescent="0.25">
      <c r="A608" t="str">
        <f t="shared" si="36"/>
        <v>S607</v>
      </c>
      <c r="B608" t="str">
        <f t="shared" ca="1" si="37"/>
        <v>M076</v>
      </c>
      <c r="C608">
        <f t="shared" ca="1" si="38"/>
        <v>7</v>
      </c>
      <c r="D608" s="1">
        <f t="shared" ca="1" si="39"/>
        <v>46060</v>
      </c>
    </row>
    <row r="609" spans="1:4" x14ac:dyDescent="0.25">
      <c r="A609" t="str">
        <f t="shared" si="36"/>
        <v>S608</v>
      </c>
      <c r="B609" t="str">
        <f t="shared" ca="1" si="37"/>
        <v>M081</v>
      </c>
      <c r="C609">
        <f t="shared" ca="1" si="38"/>
        <v>14</v>
      </c>
      <c r="D609" s="1">
        <f t="shared" ca="1" si="39"/>
        <v>46097</v>
      </c>
    </row>
    <row r="610" spans="1:4" x14ac:dyDescent="0.25">
      <c r="A610" t="str">
        <f t="shared" si="36"/>
        <v>S609</v>
      </c>
      <c r="B610" t="str">
        <f t="shared" ca="1" si="37"/>
        <v>M064</v>
      </c>
      <c r="C610">
        <f t="shared" ca="1" si="38"/>
        <v>3</v>
      </c>
      <c r="D610" s="1">
        <f t="shared" ca="1" si="39"/>
        <v>46072</v>
      </c>
    </row>
    <row r="611" spans="1:4" x14ac:dyDescent="0.25">
      <c r="A611" t="str">
        <f t="shared" si="36"/>
        <v>S610</v>
      </c>
      <c r="B611" t="str">
        <f t="shared" ca="1" si="37"/>
        <v>M059</v>
      </c>
      <c r="C611">
        <f t="shared" ca="1" si="38"/>
        <v>23</v>
      </c>
      <c r="D611" s="1">
        <f t="shared" ca="1" si="39"/>
        <v>46110</v>
      </c>
    </row>
    <row r="612" spans="1:4" x14ac:dyDescent="0.25">
      <c r="A612" t="str">
        <f t="shared" si="36"/>
        <v>S611</v>
      </c>
      <c r="B612" t="str">
        <f t="shared" ca="1" si="37"/>
        <v>M062</v>
      </c>
      <c r="C612">
        <f t="shared" ca="1" si="38"/>
        <v>6</v>
      </c>
      <c r="D612" s="1">
        <f t="shared" ca="1" si="39"/>
        <v>46100</v>
      </c>
    </row>
    <row r="613" spans="1:4" x14ac:dyDescent="0.25">
      <c r="A613" t="str">
        <f t="shared" si="36"/>
        <v>S612</v>
      </c>
      <c r="B613" t="str">
        <f t="shared" ca="1" si="37"/>
        <v>M094</v>
      </c>
      <c r="C613">
        <f t="shared" ca="1" si="38"/>
        <v>30</v>
      </c>
      <c r="D613" s="1">
        <f t="shared" ca="1" si="39"/>
        <v>46110</v>
      </c>
    </row>
    <row r="614" spans="1:4" x14ac:dyDescent="0.25">
      <c r="A614" t="str">
        <f t="shared" si="36"/>
        <v>S613</v>
      </c>
      <c r="B614" t="str">
        <f t="shared" ca="1" si="37"/>
        <v>M071</v>
      </c>
      <c r="C614">
        <f t="shared" ca="1" si="38"/>
        <v>27</v>
      </c>
      <c r="D614" s="1">
        <f t="shared" ca="1" si="39"/>
        <v>46062</v>
      </c>
    </row>
    <row r="615" spans="1:4" x14ac:dyDescent="0.25">
      <c r="A615" t="str">
        <f t="shared" si="36"/>
        <v>S614</v>
      </c>
      <c r="B615" t="str">
        <f t="shared" ca="1" si="37"/>
        <v>M042</v>
      </c>
      <c r="C615">
        <f t="shared" ca="1" si="38"/>
        <v>28</v>
      </c>
      <c r="D615" s="1">
        <f t="shared" ca="1" si="39"/>
        <v>46064</v>
      </c>
    </row>
    <row r="616" spans="1:4" x14ac:dyDescent="0.25">
      <c r="A616" t="str">
        <f t="shared" si="36"/>
        <v>S615</v>
      </c>
      <c r="B616" t="str">
        <f t="shared" ca="1" si="37"/>
        <v>M047</v>
      </c>
      <c r="C616">
        <f t="shared" ca="1" si="38"/>
        <v>23</v>
      </c>
      <c r="D616" s="1">
        <f t="shared" ca="1" si="39"/>
        <v>46047</v>
      </c>
    </row>
    <row r="617" spans="1:4" x14ac:dyDescent="0.25">
      <c r="A617" t="str">
        <f t="shared" si="36"/>
        <v>S616</v>
      </c>
      <c r="B617" t="str">
        <f t="shared" ca="1" si="37"/>
        <v>M067</v>
      </c>
      <c r="C617">
        <f t="shared" ca="1" si="38"/>
        <v>16</v>
      </c>
      <c r="D617" s="1">
        <f t="shared" ca="1" si="39"/>
        <v>46068</v>
      </c>
    </row>
    <row r="618" spans="1:4" x14ac:dyDescent="0.25">
      <c r="A618" t="str">
        <f t="shared" si="36"/>
        <v>S617</v>
      </c>
      <c r="B618" t="str">
        <f t="shared" ca="1" si="37"/>
        <v>M008</v>
      </c>
      <c r="C618">
        <f t="shared" ca="1" si="38"/>
        <v>11</v>
      </c>
      <c r="D618" s="1">
        <f t="shared" ca="1" si="39"/>
        <v>46052</v>
      </c>
    </row>
    <row r="619" spans="1:4" x14ac:dyDescent="0.25">
      <c r="A619" t="str">
        <f t="shared" si="36"/>
        <v>S618</v>
      </c>
      <c r="B619" t="str">
        <f t="shared" ca="1" si="37"/>
        <v>M008</v>
      </c>
      <c r="C619">
        <f t="shared" ca="1" si="38"/>
        <v>20</v>
      </c>
      <c r="D619" s="1">
        <f t="shared" ca="1" si="39"/>
        <v>46068</v>
      </c>
    </row>
    <row r="620" spans="1:4" x14ac:dyDescent="0.25">
      <c r="A620" t="str">
        <f t="shared" si="36"/>
        <v>S619</v>
      </c>
      <c r="B620" t="str">
        <f t="shared" ca="1" si="37"/>
        <v>M008</v>
      </c>
      <c r="C620">
        <f t="shared" ca="1" si="38"/>
        <v>17</v>
      </c>
      <c r="D620" s="1">
        <f t="shared" ca="1" si="39"/>
        <v>46061</v>
      </c>
    </row>
    <row r="621" spans="1:4" x14ac:dyDescent="0.25">
      <c r="A621" t="str">
        <f t="shared" si="36"/>
        <v>S620</v>
      </c>
      <c r="B621" t="str">
        <f t="shared" ca="1" si="37"/>
        <v>M064</v>
      </c>
      <c r="C621">
        <f t="shared" ca="1" si="38"/>
        <v>23</v>
      </c>
      <c r="D621" s="1">
        <f t="shared" ca="1" si="39"/>
        <v>46042</v>
      </c>
    </row>
    <row r="622" spans="1:4" x14ac:dyDescent="0.25">
      <c r="A622" t="str">
        <f t="shared" si="36"/>
        <v>S621</v>
      </c>
      <c r="B622" t="str">
        <f t="shared" ca="1" si="37"/>
        <v>M001</v>
      </c>
      <c r="C622">
        <f t="shared" ca="1" si="38"/>
        <v>2</v>
      </c>
      <c r="D622" s="1">
        <f t="shared" ca="1" si="39"/>
        <v>46096</v>
      </c>
    </row>
    <row r="623" spans="1:4" x14ac:dyDescent="0.25">
      <c r="A623" t="str">
        <f t="shared" si="36"/>
        <v>S622</v>
      </c>
      <c r="B623" t="str">
        <f t="shared" ca="1" si="37"/>
        <v>M092</v>
      </c>
      <c r="C623">
        <f t="shared" ca="1" si="38"/>
        <v>21</v>
      </c>
      <c r="D623" s="1">
        <f t="shared" ca="1" si="39"/>
        <v>46059</v>
      </c>
    </row>
    <row r="624" spans="1:4" x14ac:dyDescent="0.25">
      <c r="A624" t="str">
        <f t="shared" si="36"/>
        <v>S623</v>
      </c>
      <c r="B624" t="str">
        <f t="shared" ca="1" si="37"/>
        <v>M032</v>
      </c>
      <c r="C624">
        <f t="shared" ca="1" si="38"/>
        <v>25</v>
      </c>
      <c r="D624" s="1">
        <f t="shared" ca="1" si="39"/>
        <v>46041</v>
      </c>
    </row>
    <row r="625" spans="1:4" x14ac:dyDescent="0.25">
      <c r="A625" t="str">
        <f t="shared" si="36"/>
        <v>S624</v>
      </c>
      <c r="B625" t="str">
        <f t="shared" ca="1" si="37"/>
        <v>M059</v>
      </c>
      <c r="C625">
        <f t="shared" ca="1" si="38"/>
        <v>6</v>
      </c>
      <c r="D625" s="1">
        <f t="shared" ca="1" si="39"/>
        <v>46082</v>
      </c>
    </row>
    <row r="626" spans="1:4" x14ac:dyDescent="0.25">
      <c r="A626" t="str">
        <f t="shared" si="36"/>
        <v>S625</v>
      </c>
      <c r="B626" t="str">
        <f t="shared" ca="1" si="37"/>
        <v>M050</v>
      </c>
      <c r="C626">
        <f t="shared" ca="1" si="38"/>
        <v>8</v>
      </c>
      <c r="D626" s="1">
        <f t="shared" ca="1" si="39"/>
        <v>46111</v>
      </c>
    </row>
    <row r="627" spans="1:4" x14ac:dyDescent="0.25">
      <c r="A627" t="str">
        <f t="shared" si="36"/>
        <v>S626</v>
      </c>
      <c r="B627" t="str">
        <f t="shared" ca="1" si="37"/>
        <v>M017</v>
      </c>
      <c r="C627">
        <f t="shared" ca="1" si="38"/>
        <v>27</v>
      </c>
      <c r="D627" s="1">
        <f t="shared" ca="1" si="39"/>
        <v>46073</v>
      </c>
    </row>
    <row r="628" spans="1:4" x14ac:dyDescent="0.25">
      <c r="A628" t="str">
        <f t="shared" si="36"/>
        <v>S627</v>
      </c>
      <c r="B628" t="str">
        <f t="shared" ca="1" si="37"/>
        <v>M065</v>
      </c>
      <c r="C628">
        <f t="shared" ca="1" si="38"/>
        <v>9</v>
      </c>
      <c r="D628" s="1">
        <f t="shared" ca="1" si="39"/>
        <v>46058</v>
      </c>
    </row>
    <row r="629" spans="1:4" x14ac:dyDescent="0.25">
      <c r="A629" t="str">
        <f t="shared" si="36"/>
        <v>S628</v>
      </c>
      <c r="B629" t="str">
        <f t="shared" ca="1" si="37"/>
        <v>M030</v>
      </c>
      <c r="C629">
        <f t="shared" ca="1" si="38"/>
        <v>24</v>
      </c>
      <c r="D629" s="1">
        <f t="shared" ca="1" si="39"/>
        <v>46048</v>
      </c>
    </row>
    <row r="630" spans="1:4" x14ac:dyDescent="0.25">
      <c r="A630" t="str">
        <f t="shared" si="36"/>
        <v>S629</v>
      </c>
      <c r="B630" t="str">
        <f t="shared" ca="1" si="37"/>
        <v>M061</v>
      </c>
      <c r="C630">
        <f t="shared" ca="1" si="38"/>
        <v>21</v>
      </c>
      <c r="D630" s="1">
        <f t="shared" ca="1" si="39"/>
        <v>46096</v>
      </c>
    </row>
    <row r="631" spans="1:4" x14ac:dyDescent="0.25">
      <c r="A631" t="str">
        <f t="shared" si="36"/>
        <v>S630</v>
      </c>
      <c r="B631" t="str">
        <f t="shared" ca="1" si="37"/>
        <v>M061</v>
      </c>
      <c r="C631">
        <f t="shared" ca="1" si="38"/>
        <v>27</v>
      </c>
      <c r="D631" s="1">
        <f t="shared" ca="1" si="39"/>
        <v>46042</v>
      </c>
    </row>
    <row r="632" spans="1:4" x14ac:dyDescent="0.25">
      <c r="A632" t="str">
        <f t="shared" si="36"/>
        <v>S631</v>
      </c>
      <c r="B632" t="str">
        <f t="shared" ca="1" si="37"/>
        <v>M046</v>
      </c>
      <c r="C632">
        <f t="shared" ca="1" si="38"/>
        <v>8</v>
      </c>
      <c r="D632" s="1">
        <f t="shared" ca="1" si="39"/>
        <v>46069</v>
      </c>
    </row>
    <row r="633" spans="1:4" x14ac:dyDescent="0.25">
      <c r="A633" t="str">
        <f t="shared" si="36"/>
        <v>S632</v>
      </c>
      <c r="B633" t="str">
        <f t="shared" ca="1" si="37"/>
        <v>M044</v>
      </c>
      <c r="C633">
        <f t="shared" ca="1" si="38"/>
        <v>4</v>
      </c>
      <c r="D633" s="1">
        <f t="shared" ca="1" si="39"/>
        <v>46073</v>
      </c>
    </row>
    <row r="634" spans="1:4" x14ac:dyDescent="0.25">
      <c r="A634" t="str">
        <f t="shared" si="36"/>
        <v>S633</v>
      </c>
      <c r="B634" t="str">
        <f t="shared" ca="1" si="37"/>
        <v>M001</v>
      </c>
      <c r="C634">
        <f t="shared" ca="1" si="38"/>
        <v>30</v>
      </c>
      <c r="D634" s="1">
        <f t="shared" ca="1" si="39"/>
        <v>46053</v>
      </c>
    </row>
    <row r="635" spans="1:4" x14ac:dyDescent="0.25">
      <c r="A635" t="str">
        <f t="shared" si="36"/>
        <v>S634</v>
      </c>
      <c r="B635" t="str">
        <f t="shared" ca="1" si="37"/>
        <v>M041</v>
      </c>
      <c r="C635">
        <f t="shared" ca="1" si="38"/>
        <v>8</v>
      </c>
      <c r="D635" s="1">
        <f t="shared" ca="1" si="39"/>
        <v>46048</v>
      </c>
    </row>
    <row r="636" spans="1:4" x14ac:dyDescent="0.25">
      <c r="A636" t="str">
        <f t="shared" si="36"/>
        <v>S635</v>
      </c>
      <c r="B636" t="str">
        <f t="shared" ca="1" si="37"/>
        <v>M068</v>
      </c>
      <c r="C636">
        <f t="shared" ca="1" si="38"/>
        <v>4</v>
      </c>
      <c r="D636" s="1">
        <f t="shared" ca="1" si="39"/>
        <v>46072</v>
      </c>
    </row>
    <row r="637" spans="1:4" x14ac:dyDescent="0.25">
      <c r="A637" t="str">
        <f t="shared" si="36"/>
        <v>S636</v>
      </c>
      <c r="B637" t="str">
        <f t="shared" ca="1" si="37"/>
        <v>M062</v>
      </c>
      <c r="C637">
        <f t="shared" ca="1" si="38"/>
        <v>5</v>
      </c>
      <c r="D637" s="1">
        <f t="shared" ca="1" si="39"/>
        <v>46105</v>
      </c>
    </row>
    <row r="638" spans="1:4" x14ac:dyDescent="0.25">
      <c r="A638" t="str">
        <f t="shared" si="36"/>
        <v>S637</v>
      </c>
      <c r="B638" t="str">
        <f t="shared" ca="1" si="37"/>
        <v>M083</v>
      </c>
      <c r="C638">
        <f t="shared" ca="1" si="38"/>
        <v>14</v>
      </c>
      <c r="D638" s="1">
        <f t="shared" ca="1" si="39"/>
        <v>46050</v>
      </c>
    </row>
    <row r="639" spans="1:4" x14ac:dyDescent="0.25">
      <c r="A639" t="str">
        <f t="shared" si="36"/>
        <v>S638</v>
      </c>
      <c r="B639" t="str">
        <f t="shared" ca="1" si="37"/>
        <v>M073</v>
      </c>
      <c r="C639">
        <f t="shared" ca="1" si="38"/>
        <v>1</v>
      </c>
      <c r="D639" s="1">
        <f t="shared" ca="1" si="39"/>
        <v>46041</v>
      </c>
    </row>
    <row r="640" spans="1:4" x14ac:dyDescent="0.25">
      <c r="A640" t="str">
        <f t="shared" si="36"/>
        <v>S639</v>
      </c>
      <c r="B640" t="str">
        <f t="shared" ca="1" si="37"/>
        <v>M084</v>
      </c>
      <c r="C640">
        <f t="shared" ca="1" si="38"/>
        <v>19</v>
      </c>
      <c r="D640" s="1">
        <f t="shared" ca="1" si="39"/>
        <v>46100</v>
      </c>
    </row>
    <row r="641" spans="1:4" x14ac:dyDescent="0.25">
      <c r="A641" t="str">
        <f t="shared" si="36"/>
        <v>S640</v>
      </c>
      <c r="B641" t="str">
        <f t="shared" ca="1" si="37"/>
        <v>M086</v>
      </c>
      <c r="C641">
        <f t="shared" ca="1" si="38"/>
        <v>4</v>
      </c>
      <c r="D641" s="1">
        <f t="shared" ca="1" si="39"/>
        <v>46087</v>
      </c>
    </row>
    <row r="642" spans="1:4" x14ac:dyDescent="0.25">
      <c r="A642" t="str">
        <f t="shared" si="36"/>
        <v>S641</v>
      </c>
      <c r="B642" t="str">
        <f t="shared" ca="1" si="37"/>
        <v>M055</v>
      </c>
      <c r="C642">
        <f t="shared" ca="1" si="38"/>
        <v>29</v>
      </c>
      <c r="D642" s="1">
        <f t="shared" ca="1" si="39"/>
        <v>46086</v>
      </c>
    </row>
    <row r="643" spans="1:4" x14ac:dyDescent="0.25">
      <c r="A643" t="str">
        <f t="shared" ref="A643:A706" si="40">"S"&amp;TEXT(ROW(A642),"000")</f>
        <v>S642</v>
      </c>
      <c r="B643" t="str">
        <f t="shared" ref="B643:B706" ca="1" si="41">"M"&amp;TEXT(RANDBETWEEN(1,100),"000")</f>
        <v>M032</v>
      </c>
      <c r="C643">
        <f t="shared" ref="C643:C706" ca="1" si="42">RANDBETWEEN(1,30)</f>
        <v>14</v>
      </c>
      <c r="D643" s="1">
        <f t="shared" ref="D643:D706" ca="1" si="43">TODAY()-RANDBETWEEN(1,90)</f>
        <v>46091</v>
      </c>
    </row>
    <row r="644" spans="1:4" x14ac:dyDescent="0.25">
      <c r="A644" t="str">
        <f t="shared" si="40"/>
        <v>S643</v>
      </c>
      <c r="B644" t="str">
        <f t="shared" ca="1" si="41"/>
        <v>M054</v>
      </c>
      <c r="C644">
        <f t="shared" ca="1" si="42"/>
        <v>27</v>
      </c>
      <c r="D644" s="1">
        <f t="shared" ca="1" si="43"/>
        <v>46057</v>
      </c>
    </row>
    <row r="645" spans="1:4" x14ac:dyDescent="0.25">
      <c r="A645" t="str">
        <f t="shared" si="40"/>
        <v>S644</v>
      </c>
      <c r="B645" t="str">
        <f t="shared" ca="1" si="41"/>
        <v>M055</v>
      </c>
      <c r="C645">
        <f t="shared" ca="1" si="42"/>
        <v>1</v>
      </c>
      <c r="D645" s="1">
        <f t="shared" ca="1" si="43"/>
        <v>46040</v>
      </c>
    </row>
    <row r="646" spans="1:4" x14ac:dyDescent="0.25">
      <c r="A646" t="str">
        <f t="shared" si="40"/>
        <v>S645</v>
      </c>
      <c r="B646" t="str">
        <f t="shared" ca="1" si="41"/>
        <v>M044</v>
      </c>
      <c r="C646">
        <f t="shared" ca="1" si="42"/>
        <v>11</v>
      </c>
      <c r="D646" s="1">
        <f t="shared" ca="1" si="43"/>
        <v>46033</v>
      </c>
    </row>
    <row r="647" spans="1:4" x14ac:dyDescent="0.25">
      <c r="A647" t="str">
        <f t="shared" si="40"/>
        <v>S646</v>
      </c>
      <c r="B647" t="str">
        <f t="shared" ca="1" si="41"/>
        <v>M081</v>
      </c>
      <c r="C647">
        <f t="shared" ca="1" si="42"/>
        <v>17</v>
      </c>
      <c r="D647" s="1">
        <f t="shared" ca="1" si="43"/>
        <v>46070</v>
      </c>
    </row>
    <row r="648" spans="1:4" x14ac:dyDescent="0.25">
      <c r="A648" t="str">
        <f t="shared" si="40"/>
        <v>S647</v>
      </c>
      <c r="B648" t="str">
        <f t="shared" ca="1" si="41"/>
        <v>M081</v>
      </c>
      <c r="C648">
        <f t="shared" ca="1" si="42"/>
        <v>10</v>
      </c>
      <c r="D648" s="1">
        <f t="shared" ca="1" si="43"/>
        <v>46093</v>
      </c>
    </row>
    <row r="649" spans="1:4" x14ac:dyDescent="0.25">
      <c r="A649" t="str">
        <f t="shared" si="40"/>
        <v>S648</v>
      </c>
      <c r="B649" t="str">
        <f t="shared" ca="1" si="41"/>
        <v>M082</v>
      </c>
      <c r="C649">
        <f t="shared" ca="1" si="42"/>
        <v>3</v>
      </c>
      <c r="D649" s="1">
        <f t="shared" ca="1" si="43"/>
        <v>46086</v>
      </c>
    </row>
    <row r="650" spans="1:4" x14ac:dyDescent="0.25">
      <c r="A650" t="str">
        <f t="shared" si="40"/>
        <v>S649</v>
      </c>
      <c r="B650" t="str">
        <f t="shared" ca="1" si="41"/>
        <v>M018</v>
      </c>
      <c r="C650">
        <f t="shared" ca="1" si="42"/>
        <v>17</v>
      </c>
      <c r="D650" s="1">
        <f t="shared" ca="1" si="43"/>
        <v>46056</v>
      </c>
    </row>
    <row r="651" spans="1:4" x14ac:dyDescent="0.25">
      <c r="A651" t="str">
        <f t="shared" si="40"/>
        <v>S650</v>
      </c>
      <c r="B651" t="str">
        <f t="shared" ca="1" si="41"/>
        <v>M002</v>
      </c>
      <c r="C651">
        <f t="shared" ca="1" si="42"/>
        <v>3</v>
      </c>
      <c r="D651" s="1">
        <f t="shared" ca="1" si="43"/>
        <v>46043</v>
      </c>
    </row>
    <row r="652" spans="1:4" x14ac:dyDescent="0.25">
      <c r="A652" t="str">
        <f t="shared" si="40"/>
        <v>S651</v>
      </c>
      <c r="B652" t="str">
        <f t="shared" ca="1" si="41"/>
        <v>M028</v>
      </c>
      <c r="C652">
        <f t="shared" ca="1" si="42"/>
        <v>10</v>
      </c>
      <c r="D652" s="1">
        <f t="shared" ca="1" si="43"/>
        <v>46076</v>
      </c>
    </row>
    <row r="653" spans="1:4" x14ac:dyDescent="0.25">
      <c r="A653" t="str">
        <f t="shared" si="40"/>
        <v>S652</v>
      </c>
      <c r="B653" t="str">
        <f t="shared" ca="1" si="41"/>
        <v>M072</v>
      </c>
      <c r="C653">
        <f t="shared" ca="1" si="42"/>
        <v>7</v>
      </c>
      <c r="D653" s="1">
        <f t="shared" ca="1" si="43"/>
        <v>46052</v>
      </c>
    </row>
    <row r="654" spans="1:4" x14ac:dyDescent="0.25">
      <c r="A654" t="str">
        <f t="shared" si="40"/>
        <v>S653</v>
      </c>
      <c r="B654" t="str">
        <f t="shared" ca="1" si="41"/>
        <v>M010</v>
      </c>
      <c r="C654">
        <f t="shared" ca="1" si="42"/>
        <v>3</v>
      </c>
      <c r="D654" s="1">
        <f t="shared" ca="1" si="43"/>
        <v>46035</v>
      </c>
    </row>
    <row r="655" spans="1:4" x14ac:dyDescent="0.25">
      <c r="A655" t="str">
        <f t="shared" si="40"/>
        <v>S654</v>
      </c>
      <c r="B655" t="str">
        <f t="shared" ca="1" si="41"/>
        <v>M036</v>
      </c>
      <c r="C655">
        <f t="shared" ca="1" si="42"/>
        <v>6</v>
      </c>
      <c r="D655" s="1">
        <f t="shared" ca="1" si="43"/>
        <v>46107</v>
      </c>
    </row>
    <row r="656" spans="1:4" x14ac:dyDescent="0.25">
      <c r="A656" t="str">
        <f t="shared" si="40"/>
        <v>S655</v>
      </c>
      <c r="B656" t="str">
        <f t="shared" ca="1" si="41"/>
        <v>M093</v>
      </c>
      <c r="C656">
        <f t="shared" ca="1" si="42"/>
        <v>20</v>
      </c>
      <c r="D656" s="1">
        <f t="shared" ca="1" si="43"/>
        <v>46087</v>
      </c>
    </row>
    <row r="657" spans="1:4" x14ac:dyDescent="0.25">
      <c r="A657" t="str">
        <f t="shared" si="40"/>
        <v>S656</v>
      </c>
      <c r="B657" t="str">
        <f t="shared" ca="1" si="41"/>
        <v>M087</v>
      </c>
      <c r="C657">
        <f t="shared" ca="1" si="42"/>
        <v>8</v>
      </c>
      <c r="D657" s="1">
        <f t="shared" ca="1" si="43"/>
        <v>46084</v>
      </c>
    </row>
    <row r="658" spans="1:4" x14ac:dyDescent="0.25">
      <c r="A658" t="str">
        <f t="shared" si="40"/>
        <v>S657</v>
      </c>
      <c r="B658" t="str">
        <f t="shared" ca="1" si="41"/>
        <v>M064</v>
      </c>
      <c r="C658">
        <f t="shared" ca="1" si="42"/>
        <v>23</v>
      </c>
      <c r="D658" s="1">
        <f t="shared" ca="1" si="43"/>
        <v>46039</v>
      </c>
    </row>
    <row r="659" spans="1:4" x14ac:dyDescent="0.25">
      <c r="A659" t="str">
        <f t="shared" si="40"/>
        <v>S658</v>
      </c>
      <c r="B659" t="str">
        <f t="shared" ca="1" si="41"/>
        <v>M058</v>
      </c>
      <c r="C659">
        <f t="shared" ca="1" si="42"/>
        <v>26</v>
      </c>
      <c r="D659" s="1">
        <f t="shared" ca="1" si="43"/>
        <v>46109</v>
      </c>
    </row>
    <row r="660" spans="1:4" x14ac:dyDescent="0.25">
      <c r="A660" t="str">
        <f t="shared" si="40"/>
        <v>S659</v>
      </c>
      <c r="B660" t="str">
        <f t="shared" ca="1" si="41"/>
        <v>M005</v>
      </c>
      <c r="C660">
        <f t="shared" ca="1" si="42"/>
        <v>2</v>
      </c>
      <c r="D660" s="1">
        <f t="shared" ca="1" si="43"/>
        <v>46074</v>
      </c>
    </row>
    <row r="661" spans="1:4" x14ac:dyDescent="0.25">
      <c r="A661" t="str">
        <f t="shared" si="40"/>
        <v>S660</v>
      </c>
      <c r="B661" t="str">
        <f t="shared" ca="1" si="41"/>
        <v>M075</v>
      </c>
      <c r="C661">
        <f t="shared" ca="1" si="42"/>
        <v>8</v>
      </c>
      <c r="D661" s="1">
        <f t="shared" ca="1" si="43"/>
        <v>46055</v>
      </c>
    </row>
    <row r="662" spans="1:4" x14ac:dyDescent="0.25">
      <c r="A662" t="str">
        <f t="shared" si="40"/>
        <v>S661</v>
      </c>
      <c r="B662" t="str">
        <f t="shared" ca="1" si="41"/>
        <v>M067</v>
      </c>
      <c r="C662">
        <f t="shared" ca="1" si="42"/>
        <v>4</v>
      </c>
      <c r="D662" s="1">
        <f t="shared" ca="1" si="43"/>
        <v>46046</v>
      </c>
    </row>
    <row r="663" spans="1:4" x14ac:dyDescent="0.25">
      <c r="A663" t="str">
        <f t="shared" si="40"/>
        <v>S662</v>
      </c>
      <c r="B663" t="str">
        <f t="shared" ca="1" si="41"/>
        <v>M065</v>
      </c>
      <c r="C663">
        <f t="shared" ca="1" si="42"/>
        <v>24</v>
      </c>
      <c r="D663" s="1">
        <f t="shared" ca="1" si="43"/>
        <v>46044</v>
      </c>
    </row>
    <row r="664" spans="1:4" x14ac:dyDescent="0.25">
      <c r="A664" t="str">
        <f t="shared" si="40"/>
        <v>S663</v>
      </c>
      <c r="B664" t="str">
        <f t="shared" ca="1" si="41"/>
        <v>M012</v>
      </c>
      <c r="C664">
        <f t="shared" ca="1" si="42"/>
        <v>6</v>
      </c>
      <c r="D664" s="1">
        <f t="shared" ca="1" si="43"/>
        <v>46030</v>
      </c>
    </row>
    <row r="665" spans="1:4" x14ac:dyDescent="0.25">
      <c r="A665" t="str">
        <f t="shared" si="40"/>
        <v>S664</v>
      </c>
      <c r="B665" t="str">
        <f t="shared" ca="1" si="41"/>
        <v>M054</v>
      </c>
      <c r="C665">
        <f t="shared" ca="1" si="42"/>
        <v>18</v>
      </c>
      <c r="D665" s="1">
        <f t="shared" ca="1" si="43"/>
        <v>46112</v>
      </c>
    </row>
    <row r="666" spans="1:4" x14ac:dyDescent="0.25">
      <c r="A666" t="str">
        <f t="shared" si="40"/>
        <v>S665</v>
      </c>
      <c r="B666" t="str">
        <f t="shared" ca="1" si="41"/>
        <v>M098</v>
      </c>
      <c r="C666">
        <f t="shared" ca="1" si="42"/>
        <v>24</v>
      </c>
      <c r="D666" s="1">
        <f t="shared" ca="1" si="43"/>
        <v>46058</v>
      </c>
    </row>
    <row r="667" spans="1:4" x14ac:dyDescent="0.25">
      <c r="A667" t="str">
        <f t="shared" si="40"/>
        <v>S666</v>
      </c>
      <c r="B667" t="str">
        <f t="shared" ca="1" si="41"/>
        <v>M062</v>
      </c>
      <c r="C667">
        <f t="shared" ca="1" si="42"/>
        <v>6</v>
      </c>
      <c r="D667" s="1">
        <f t="shared" ca="1" si="43"/>
        <v>46064</v>
      </c>
    </row>
    <row r="668" spans="1:4" x14ac:dyDescent="0.25">
      <c r="A668" t="str">
        <f t="shared" si="40"/>
        <v>S667</v>
      </c>
      <c r="B668" t="str">
        <f t="shared" ca="1" si="41"/>
        <v>M033</v>
      </c>
      <c r="C668">
        <f t="shared" ca="1" si="42"/>
        <v>24</v>
      </c>
      <c r="D668" s="1">
        <f t="shared" ca="1" si="43"/>
        <v>46051</v>
      </c>
    </row>
    <row r="669" spans="1:4" x14ac:dyDescent="0.25">
      <c r="A669" t="str">
        <f t="shared" si="40"/>
        <v>S668</v>
      </c>
      <c r="B669" t="str">
        <f t="shared" ca="1" si="41"/>
        <v>M072</v>
      </c>
      <c r="C669">
        <f t="shared" ca="1" si="42"/>
        <v>10</v>
      </c>
      <c r="D669" s="1">
        <f t="shared" ca="1" si="43"/>
        <v>46030</v>
      </c>
    </row>
    <row r="670" spans="1:4" x14ac:dyDescent="0.25">
      <c r="A670" t="str">
        <f t="shared" si="40"/>
        <v>S669</v>
      </c>
      <c r="B670" t="str">
        <f t="shared" ca="1" si="41"/>
        <v>M003</v>
      </c>
      <c r="C670">
        <f t="shared" ca="1" si="42"/>
        <v>3</v>
      </c>
      <c r="D670" s="1">
        <f t="shared" ca="1" si="43"/>
        <v>46084</v>
      </c>
    </row>
    <row r="671" spans="1:4" x14ac:dyDescent="0.25">
      <c r="A671" t="str">
        <f t="shared" si="40"/>
        <v>S670</v>
      </c>
      <c r="B671" t="str">
        <f t="shared" ca="1" si="41"/>
        <v>M016</v>
      </c>
      <c r="C671">
        <f t="shared" ca="1" si="42"/>
        <v>19</v>
      </c>
      <c r="D671" s="1">
        <f t="shared" ca="1" si="43"/>
        <v>46078</v>
      </c>
    </row>
    <row r="672" spans="1:4" x14ac:dyDescent="0.25">
      <c r="A672" t="str">
        <f t="shared" si="40"/>
        <v>S671</v>
      </c>
      <c r="B672" t="str">
        <f t="shared" ca="1" si="41"/>
        <v>M009</v>
      </c>
      <c r="C672">
        <f t="shared" ca="1" si="42"/>
        <v>14</v>
      </c>
      <c r="D672" s="1">
        <f t="shared" ca="1" si="43"/>
        <v>46049</v>
      </c>
    </row>
    <row r="673" spans="1:4" x14ac:dyDescent="0.25">
      <c r="A673" t="str">
        <f t="shared" si="40"/>
        <v>S672</v>
      </c>
      <c r="B673" t="str">
        <f t="shared" ca="1" si="41"/>
        <v>M078</v>
      </c>
      <c r="C673">
        <f t="shared" ca="1" si="42"/>
        <v>7</v>
      </c>
      <c r="D673" s="1">
        <f t="shared" ca="1" si="43"/>
        <v>46106</v>
      </c>
    </row>
    <row r="674" spans="1:4" x14ac:dyDescent="0.25">
      <c r="A674" t="str">
        <f t="shared" si="40"/>
        <v>S673</v>
      </c>
      <c r="B674" t="str">
        <f t="shared" ca="1" si="41"/>
        <v>M097</v>
      </c>
      <c r="C674">
        <f t="shared" ca="1" si="42"/>
        <v>28</v>
      </c>
      <c r="D674" s="1">
        <f t="shared" ca="1" si="43"/>
        <v>46049</v>
      </c>
    </row>
    <row r="675" spans="1:4" x14ac:dyDescent="0.25">
      <c r="A675" t="str">
        <f t="shared" si="40"/>
        <v>S674</v>
      </c>
      <c r="B675" t="str">
        <f t="shared" ca="1" si="41"/>
        <v>M009</v>
      </c>
      <c r="C675">
        <f t="shared" ca="1" si="42"/>
        <v>2</v>
      </c>
      <c r="D675" s="1">
        <f t="shared" ca="1" si="43"/>
        <v>46071</v>
      </c>
    </row>
    <row r="676" spans="1:4" x14ac:dyDescent="0.25">
      <c r="A676" t="str">
        <f t="shared" si="40"/>
        <v>S675</v>
      </c>
      <c r="B676" t="str">
        <f t="shared" ca="1" si="41"/>
        <v>M095</v>
      </c>
      <c r="C676">
        <f t="shared" ca="1" si="42"/>
        <v>11</v>
      </c>
      <c r="D676" s="1">
        <f t="shared" ca="1" si="43"/>
        <v>46051</v>
      </c>
    </row>
    <row r="677" spans="1:4" x14ac:dyDescent="0.25">
      <c r="A677" t="str">
        <f t="shared" si="40"/>
        <v>S676</v>
      </c>
      <c r="B677" t="str">
        <f t="shared" ca="1" si="41"/>
        <v>M068</v>
      </c>
      <c r="C677">
        <f t="shared" ca="1" si="42"/>
        <v>27</v>
      </c>
      <c r="D677" s="1">
        <f t="shared" ca="1" si="43"/>
        <v>46103</v>
      </c>
    </row>
    <row r="678" spans="1:4" x14ac:dyDescent="0.25">
      <c r="A678" t="str">
        <f t="shared" si="40"/>
        <v>S677</v>
      </c>
      <c r="B678" t="str">
        <f t="shared" ca="1" si="41"/>
        <v>M008</v>
      </c>
      <c r="C678">
        <f t="shared" ca="1" si="42"/>
        <v>10</v>
      </c>
      <c r="D678" s="1">
        <f t="shared" ca="1" si="43"/>
        <v>46042</v>
      </c>
    </row>
    <row r="679" spans="1:4" x14ac:dyDescent="0.25">
      <c r="A679" t="str">
        <f t="shared" si="40"/>
        <v>S678</v>
      </c>
      <c r="B679" t="str">
        <f t="shared" ca="1" si="41"/>
        <v>M049</v>
      </c>
      <c r="C679">
        <f t="shared" ca="1" si="42"/>
        <v>4</v>
      </c>
      <c r="D679" s="1">
        <f t="shared" ca="1" si="43"/>
        <v>46053</v>
      </c>
    </row>
    <row r="680" spans="1:4" x14ac:dyDescent="0.25">
      <c r="A680" t="str">
        <f t="shared" si="40"/>
        <v>S679</v>
      </c>
      <c r="B680" t="str">
        <f t="shared" ca="1" si="41"/>
        <v>M031</v>
      </c>
      <c r="C680">
        <f t="shared" ca="1" si="42"/>
        <v>3</v>
      </c>
      <c r="D680" s="1">
        <f t="shared" ca="1" si="43"/>
        <v>46118</v>
      </c>
    </row>
    <row r="681" spans="1:4" x14ac:dyDescent="0.25">
      <c r="A681" t="str">
        <f t="shared" si="40"/>
        <v>S680</v>
      </c>
      <c r="B681" t="str">
        <f t="shared" ca="1" si="41"/>
        <v>M093</v>
      </c>
      <c r="C681">
        <f t="shared" ca="1" si="42"/>
        <v>25</v>
      </c>
      <c r="D681" s="1">
        <f t="shared" ca="1" si="43"/>
        <v>46107</v>
      </c>
    </row>
    <row r="682" spans="1:4" x14ac:dyDescent="0.25">
      <c r="A682" t="str">
        <f t="shared" si="40"/>
        <v>S681</v>
      </c>
      <c r="B682" t="str">
        <f t="shared" ca="1" si="41"/>
        <v>M078</v>
      </c>
      <c r="C682">
        <f t="shared" ca="1" si="42"/>
        <v>30</v>
      </c>
      <c r="D682" s="1">
        <f t="shared" ca="1" si="43"/>
        <v>46055</v>
      </c>
    </row>
    <row r="683" spans="1:4" x14ac:dyDescent="0.25">
      <c r="A683" t="str">
        <f t="shared" si="40"/>
        <v>S682</v>
      </c>
      <c r="B683" t="str">
        <f t="shared" ca="1" si="41"/>
        <v>M097</v>
      </c>
      <c r="C683">
        <f t="shared" ca="1" si="42"/>
        <v>30</v>
      </c>
      <c r="D683" s="1">
        <f t="shared" ca="1" si="43"/>
        <v>46078</v>
      </c>
    </row>
    <row r="684" spans="1:4" x14ac:dyDescent="0.25">
      <c r="A684" t="str">
        <f t="shared" si="40"/>
        <v>S683</v>
      </c>
      <c r="B684" t="str">
        <f t="shared" ca="1" si="41"/>
        <v>M076</v>
      </c>
      <c r="C684">
        <f t="shared" ca="1" si="42"/>
        <v>26</v>
      </c>
      <c r="D684" s="1">
        <f t="shared" ca="1" si="43"/>
        <v>46104</v>
      </c>
    </row>
    <row r="685" spans="1:4" x14ac:dyDescent="0.25">
      <c r="A685" t="str">
        <f t="shared" si="40"/>
        <v>S684</v>
      </c>
      <c r="B685" t="str">
        <f t="shared" ca="1" si="41"/>
        <v>M069</v>
      </c>
      <c r="C685">
        <f t="shared" ca="1" si="42"/>
        <v>27</v>
      </c>
      <c r="D685" s="1">
        <f t="shared" ca="1" si="43"/>
        <v>46088</v>
      </c>
    </row>
    <row r="686" spans="1:4" x14ac:dyDescent="0.25">
      <c r="A686" t="str">
        <f t="shared" si="40"/>
        <v>S685</v>
      </c>
      <c r="B686" t="str">
        <f t="shared" ca="1" si="41"/>
        <v>M015</v>
      </c>
      <c r="C686">
        <f t="shared" ca="1" si="42"/>
        <v>25</v>
      </c>
      <c r="D686" s="1">
        <f t="shared" ca="1" si="43"/>
        <v>46090</v>
      </c>
    </row>
    <row r="687" spans="1:4" x14ac:dyDescent="0.25">
      <c r="A687" t="str">
        <f t="shared" si="40"/>
        <v>S686</v>
      </c>
      <c r="B687" t="str">
        <f t="shared" ca="1" si="41"/>
        <v>M042</v>
      </c>
      <c r="C687">
        <f t="shared" ca="1" si="42"/>
        <v>2</v>
      </c>
      <c r="D687" s="1">
        <f t="shared" ca="1" si="43"/>
        <v>46108</v>
      </c>
    </row>
    <row r="688" spans="1:4" x14ac:dyDescent="0.25">
      <c r="A688" t="str">
        <f t="shared" si="40"/>
        <v>S687</v>
      </c>
      <c r="B688" t="str">
        <f t="shared" ca="1" si="41"/>
        <v>M032</v>
      </c>
      <c r="C688">
        <f t="shared" ca="1" si="42"/>
        <v>8</v>
      </c>
      <c r="D688" s="1">
        <f t="shared" ca="1" si="43"/>
        <v>46097</v>
      </c>
    </row>
    <row r="689" spans="1:4" x14ac:dyDescent="0.25">
      <c r="A689" t="str">
        <f t="shared" si="40"/>
        <v>S688</v>
      </c>
      <c r="B689" t="str">
        <f t="shared" ca="1" si="41"/>
        <v>M044</v>
      </c>
      <c r="C689">
        <f t="shared" ca="1" si="42"/>
        <v>3</v>
      </c>
      <c r="D689" s="1">
        <f t="shared" ca="1" si="43"/>
        <v>46055</v>
      </c>
    </row>
    <row r="690" spans="1:4" x14ac:dyDescent="0.25">
      <c r="A690" t="str">
        <f t="shared" si="40"/>
        <v>S689</v>
      </c>
      <c r="B690" t="str">
        <f t="shared" ca="1" si="41"/>
        <v>M097</v>
      </c>
      <c r="C690">
        <f t="shared" ca="1" si="42"/>
        <v>29</v>
      </c>
      <c r="D690" s="1">
        <f t="shared" ca="1" si="43"/>
        <v>46093</v>
      </c>
    </row>
    <row r="691" spans="1:4" x14ac:dyDescent="0.25">
      <c r="A691" t="str">
        <f t="shared" si="40"/>
        <v>S690</v>
      </c>
      <c r="B691" t="str">
        <f t="shared" ca="1" si="41"/>
        <v>M074</v>
      </c>
      <c r="C691">
        <f t="shared" ca="1" si="42"/>
        <v>6</v>
      </c>
      <c r="D691" s="1">
        <f t="shared" ca="1" si="43"/>
        <v>46037</v>
      </c>
    </row>
    <row r="692" spans="1:4" x14ac:dyDescent="0.25">
      <c r="A692" t="str">
        <f t="shared" si="40"/>
        <v>S691</v>
      </c>
      <c r="B692" t="str">
        <f t="shared" ca="1" si="41"/>
        <v>M095</v>
      </c>
      <c r="C692">
        <f t="shared" ca="1" si="42"/>
        <v>25</v>
      </c>
      <c r="D692" s="1">
        <f t="shared" ca="1" si="43"/>
        <v>46035</v>
      </c>
    </row>
    <row r="693" spans="1:4" x14ac:dyDescent="0.25">
      <c r="A693" t="str">
        <f t="shared" si="40"/>
        <v>S692</v>
      </c>
      <c r="B693" t="str">
        <f t="shared" ca="1" si="41"/>
        <v>M043</v>
      </c>
      <c r="C693">
        <f t="shared" ca="1" si="42"/>
        <v>3</v>
      </c>
      <c r="D693" s="1">
        <f t="shared" ca="1" si="43"/>
        <v>46116</v>
      </c>
    </row>
    <row r="694" spans="1:4" x14ac:dyDescent="0.25">
      <c r="A694" t="str">
        <f t="shared" si="40"/>
        <v>S693</v>
      </c>
      <c r="B694" t="str">
        <f t="shared" ca="1" si="41"/>
        <v>M016</v>
      </c>
      <c r="C694">
        <f t="shared" ca="1" si="42"/>
        <v>26</v>
      </c>
      <c r="D694" s="1">
        <f t="shared" ca="1" si="43"/>
        <v>46042</v>
      </c>
    </row>
    <row r="695" spans="1:4" x14ac:dyDescent="0.25">
      <c r="A695" t="str">
        <f t="shared" si="40"/>
        <v>S694</v>
      </c>
      <c r="B695" t="str">
        <f t="shared" ca="1" si="41"/>
        <v>M093</v>
      </c>
      <c r="C695">
        <f t="shared" ca="1" si="42"/>
        <v>8</v>
      </c>
      <c r="D695" s="1">
        <f t="shared" ca="1" si="43"/>
        <v>46059</v>
      </c>
    </row>
    <row r="696" spans="1:4" x14ac:dyDescent="0.25">
      <c r="A696" t="str">
        <f t="shared" si="40"/>
        <v>S695</v>
      </c>
      <c r="B696" t="str">
        <f t="shared" ca="1" si="41"/>
        <v>M005</v>
      </c>
      <c r="C696">
        <f t="shared" ca="1" si="42"/>
        <v>29</v>
      </c>
      <c r="D696" s="1">
        <f t="shared" ca="1" si="43"/>
        <v>46048</v>
      </c>
    </row>
    <row r="697" spans="1:4" x14ac:dyDescent="0.25">
      <c r="A697" t="str">
        <f t="shared" si="40"/>
        <v>S696</v>
      </c>
      <c r="B697" t="str">
        <f t="shared" ca="1" si="41"/>
        <v>M010</v>
      </c>
      <c r="C697">
        <f t="shared" ca="1" si="42"/>
        <v>4</v>
      </c>
      <c r="D697" s="1">
        <f t="shared" ca="1" si="43"/>
        <v>46075</v>
      </c>
    </row>
    <row r="698" spans="1:4" x14ac:dyDescent="0.25">
      <c r="A698" t="str">
        <f t="shared" si="40"/>
        <v>S697</v>
      </c>
      <c r="B698" t="str">
        <f t="shared" ca="1" si="41"/>
        <v>M077</v>
      </c>
      <c r="C698">
        <f t="shared" ca="1" si="42"/>
        <v>5</v>
      </c>
      <c r="D698" s="1">
        <f t="shared" ca="1" si="43"/>
        <v>46069</v>
      </c>
    </row>
    <row r="699" spans="1:4" x14ac:dyDescent="0.25">
      <c r="A699" t="str">
        <f t="shared" si="40"/>
        <v>S698</v>
      </c>
      <c r="B699" t="str">
        <f t="shared" ca="1" si="41"/>
        <v>M024</v>
      </c>
      <c r="C699">
        <f t="shared" ca="1" si="42"/>
        <v>2</v>
      </c>
      <c r="D699" s="1">
        <f t="shared" ca="1" si="43"/>
        <v>46045</v>
      </c>
    </row>
    <row r="700" spans="1:4" x14ac:dyDescent="0.25">
      <c r="A700" t="str">
        <f t="shared" si="40"/>
        <v>S699</v>
      </c>
      <c r="B700" t="str">
        <f t="shared" ca="1" si="41"/>
        <v>M095</v>
      </c>
      <c r="C700">
        <f t="shared" ca="1" si="42"/>
        <v>25</v>
      </c>
      <c r="D700" s="1">
        <f t="shared" ca="1" si="43"/>
        <v>46061</v>
      </c>
    </row>
    <row r="701" spans="1:4" x14ac:dyDescent="0.25">
      <c r="A701" t="str">
        <f t="shared" si="40"/>
        <v>S700</v>
      </c>
      <c r="B701" t="str">
        <f t="shared" ca="1" si="41"/>
        <v>M076</v>
      </c>
      <c r="C701">
        <f t="shared" ca="1" si="42"/>
        <v>26</v>
      </c>
      <c r="D701" s="1">
        <f t="shared" ca="1" si="43"/>
        <v>46077</v>
      </c>
    </row>
    <row r="702" spans="1:4" x14ac:dyDescent="0.25">
      <c r="A702" t="str">
        <f t="shared" si="40"/>
        <v>S701</v>
      </c>
      <c r="B702" t="str">
        <f t="shared" ca="1" si="41"/>
        <v>M004</v>
      </c>
      <c r="C702">
        <f t="shared" ca="1" si="42"/>
        <v>5</v>
      </c>
      <c r="D702" s="1">
        <f t="shared" ca="1" si="43"/>
        <v>46056</v>
      </c>
    </row>
    <row r="703" spans="1:4" x14ac:dyDescent="0.25">
      <c r="A703" t="str">
        <f t="shared" si="40"/>
        <v>S702</v>
      </c>
      <c r="B703" t="str">
        <f t="shared" ca="1" si="41"/>
        <v>M062</v>
      </c>
      <c r="C703">
        <f t="shared" ca="1" si="42"/>
        <v>30</v>
      </c>
      <c r="D703" s="1">
        <f t="shared" ca="1" si="43"/>
        <v>46080</v>
      </c>
    </row>
    <row r="704" spans="1:4" x14ac:dyDescent="0.25">
      <c r="A704" t="str">
        <f t="shared" si="40"/>
        <v>S703</v>
      </c>
      <c r="B704" t="str">
        <f t="shared" ca="1" si="41"/>
        <v>M024</v>
      </c>
      <c r="C704">
        <f t="shared" ca="1" si="42"/>
        <v>8</v>
      </c>
      <c r="D704" s="1">
        <f t="shared" ca="1" si="43"/>
        <v>46049</v>
      </c>
    </row>
    <row r="705" spans="1:4" x14ac:dyDescent="0.25">
      <c r="A705" t="str">
        <f t="shared" si="40"/>
        <v>S704</v>
      </c>
      <c r="B705" t="str">
        <f t="shared" ca="1" si="41"/>
        <v>M098</v>
      </c>
      <c r="C705">
        <f t="shared" ca="1" si="42"/>
        <v>10</v>
      </c>
      <c r="D705" s="1">
        <f t="shared" ca="1" si="43"/>
        <v>46107</v>
      </c>
    </row>
    <row r="706" spans="1:4" x14ac:dyDescent="0.25">
      <c r="A706" t="str">
        <f t="shared" si="40"/>
        <v>S705</v>
      </c>
      <c r="B706" t="str">
        <f t="shared" ca="1" si="41"/>
        <v>M066</v>
      </c>
      <c r="C706">
        <f t="shared" ca="1" si="42"/>
        <v>3</v>
      </c>
      <c r="D706" s="1">
        <f t="shared" ca="1" si="43"/>
        <v>46110</v>
      </c>
    </row>
    <row r="707" spans="1:4" x14ac:dyDescent="0.25">
      <c r="A707" t="str">
        <f t="shared" ref="A707:A770" si="44">"S"&amp;TEXT(ROW(A706),"000")</f>
        <v>S706</v>
      </c>
      <c r="B707" t="str">
        <f t="shared" ref="B707:B770" ca="1" si="45">"M"&amp;TEXT(RANDBETWEEN(1,100),"000")</f>
        <v>M062</v>
      </c>
      <c r="C707">
        <f t="shared" ref="C707:C770" ca="1" si="46">RANDBETWEEN(1,30)</f>
        <v>23</v>
      </c>
      <c r="D707" s="1">
        <f t="shared" ref="D707:D770" ca="1" si="47">TODAY()-RANDBETWEEN(1,90)</f>
        <v>46055</v>
      </c>
    </row>
    <row r="708" spans="1:4" x14ac:dyDescent="0.25">
      <c r="A708" t="str">
        <f t="shared" si="44"/>
        <v>S707</v>
      </c>
      <c r="B708" t="str">
        <f t="shared" ca="1" si="45"/>
        <v>M046</v>
      </c>
      <c r="C708">
        <f t="shared" ca="1" si="46"/>
        <v>21</v>
      </c>
      <c r="D708" s="1">
        <f t="shared" ca="1" si="47"/>
        <v>46080</v>
      </c>
    </row>
    <row r="709" spans="1:4" x14ac:dyDescent="0.25">
      <c r="A709" t="str">
        <f t="shared" si="44"/>
        <v>S708</v>
      </c>
      <c r="B709" t="str">
        <f t="shared" ca="1" si="45"/>
        <v>M050</v>
      </c>
      <c r="C709">
        <f t="shared" ca="1" si="46"/>
        <v>29</v>
      </c>
      <c r="D709" s="1">
        <f t="shared" ca="1" si="47"/>
        <v>46074</v>
      </c>
    </row>
    <row r="710" spans="1:4" x14ac:dyDescent="0.25">
      <c r="A710" t="str">
        <f t="shared" si="44"/>
        <v>S709</v>
      </c>
      <c r="B710" t="str">
        <f t="shared" ca="1" si="45"/>
        <v>M059</v>
      </c>
      <c r="C710">
        <f t="shared" ca="1" si="46"/>
        <v>18</v>
      </c>
      <c r="D710" s="1">
        <f t="shared" ca="1" si="47"/>
        <v>46085</v>
      </c>
    </row>
    <row r="711" spans="1:4" x14ac:dyDescent="0.25">
      <c r="A711" t="str">
        <f t="shared" si="44"/>
        <v>S710</v>
      </c>
      <c r="B711" t="str">
        <f t="shared" ca="1" si="45"/>
        <v>M052</v>
      </c>
      <c r="C711">
        <f t="shared" ca="1" si="46"/>
        <v>3</v>
      </c>
      <c r="D711" s="1">
        <f t="shared" ca="1" si="47"/>
        <v>46100</v>
      </c>
    </row>
    <row r="712" spans="1:4" x14ac:dyDescent="0.25">
      <c r="A712" t="str">
        <f t="shared" si="44"/>
        <v>S711</v>
      </c>
      <c r="B712" t="str">
        <f t="shared" ca="1" si="45"/>
        <v>M074</v>
      </c>
      <c r="C712">
        <f t="shared" ca="1" si="46"/>
        <v>5</v>
      </c>
      <c r="D712" s="1">
        <f t="shared" ca="1" si="47"/>
        <v>46081</v>
      </c>
    </row>
    <row r="713" spans="1:4" x14ac:dyDescent="0.25">
      <c r="A713" t="str">
        <f t="shared" si="44"/>
        <v>S712</v>
      </c>
      <c r="B713" t="str">
        <f t="shared" ca="1" si="45"/>
        <v>M058</v>
      </c>
      <c r="C713">
        <f t="shared" ca="1" si="46"/>
        <v>1</v>
      </c>
      <c r="D713" s="1">
        <f t="shared" ca="1" si="47"/>
        <v>46031</v>
      </c>
    </row>
    <row r="714" spans="1:4" x14ac:dyDescent="0.25">
      <c r="A714" t="str">
        <f t="shared" si="44"/>
        <v>S713</v>
      </c>
      <c r="B714" t="str">
        <f t="shared" ca="1" si="45"/>
        <v>M080</v>
      </c>
      <c r="C714">
        <f t="shared" ca="1" si="46"/>
        <v>26</v>
      </c>
      <c r="D714" s="1">
        <f t="shared" ca="1" si="47"/>
        <v>46103</v>
      </c>
    </row>
    <row r="715" spans="1:4" x14ac:dyDescent="0.25">
      <c r="A715" t="str">
        <f t="shared" si="44"/>
        <v>S714</v>
      </c>
      <c r="B715" t="str">
        <f t="shared" ca="1" si="45"/>
        <v>M004</v>
      </c>
      <c r="C715">
        <f t="shared" ca="1" si="46"/>
        <v>9</v>
      </c>
      <c r="D715" s="1">
        <f t="shared" ca="1" si="47"/>
        <v>46107</v>
      </c>
    </row>
    <row r="716" spans="1:4" x14ac:dyDescent="0.25">
      <c r="A716" t="str">
        <f t="shared" si="44"/>
        <v>S715</v>
      </c>
      <c r="B716" t="str">
        <f t="shared" ca="1" si="45"/>
        <v>M021</v>
      </c>
      <c r="C716">
        <f t="shared" ca="1" si="46"/>
        <v>10</v>
      </c>
      <c r="D716" s="1">
        <f t="shared" ca="1" si="47"/>
        <v>46036</v>
      </c>
    </row>
    <row r="717" spans="1:4" x14ac:dyDescent="0.25">
      <c r="A717" t="str">
        <f t="shared" si="44"/>
        <v>S716</v>
      </c>
      <c r="B717" t="str">
        <f t="shared" ca="1" si="45"/>
        <v>M091</v>
      </c>
      <c r="C717">
        <f t="shared" ca="1" si="46"/>
        <v>20</v>
      </c>
      <c r="D717" s="1">
        <f t="shared" ca="1" si="47"/>
        <v>46067</v>
      </c>
    </row>
    <row r="718" spans="1:4" x14ac:dyDescent="0.25">
      <c r="A718" t="str">
        <f t="shared" si="44"/>
        <v>S717</v>
      </c>
      <c r="B718" t="str">
        <f t="shared" ca="1" si="45"/>
        <v>M085</v>
      </c>
      <c r="C718">
        <f t="shared" ca="1" si="46"/>
        <v>30</v>
      </c>
      <c r="D718" s="1">
        <f t="shared" ca="1" si="47"/>
        <v>46095</v>
      </c>
    </row>
    <row r="719" spans="1:4" x14ac:dyDescent="0.25">
      <c r="A719" t="str">
        <f t="shared" si="44"/>
        <v>S718</v>
      </c>
      <c r="B719" t="str">
        <f t="shared" ca="1" si="45"/>
        <v>M088</v>
      </c>
      <c r="C719">
        <f t="shared" ca="1" si="46"/>
        <v>23</v>
      </c>
      <c r="D719" s="1">
        <f t="shared" ca="1" si="47"/>
        <v>46077</v>
      </c>
    </row>
    <row r="720" spans="1:4" x14ac:dyDescent="0.25">
      <c r="A720" t="str">
        <f t="shared" si="44"/>
        <v>S719</v>
      </c>
      <c r="B720" t="str">
        <f t="shared" ca="1" si="45"/>
        <v>M097</v>
      </c>
      <c r="C720">
        <f t="shared" ca="1" si="46"/>
        <v>26</v>
      </c>
      <c r="D720" s="1">
        <f t="shared" ca="1" si="47"/>
        <v>46042</v>
      </c>
    </row>
    <row r="721" spans="1:4" x14ac:dyDescent="0.25">
      <c r="A721" t="str">
        <f t="shared" si="44"/>
        <v>S720</v>
      </c>
      <c r="B721" t="str">
        <f t="shared" ca="1" si="45"/>
        <v>M066</v>
      </c>
      <c r="C721">
        <f t="shared" ca="1" si="46"/>
        <v>1</v>
      </c>
      <c r="D721" s="1">
        <f t="shared" ca="1" si="47"/>
        <v>46114</v>
      </c>
    </row>
    <row r="722" spans="1:4" x14ac:dyDescent="0.25">
      <c r="A722" t="str">
        <f t="shared" si="44"/>
        <v>S721</v>
      </c>
      <c r="B722" t="str">
        <f t="shared" ca="1" si="45"/>
        <v>M067</v>
      </c>
      <c r="C722">
        <f t="shared" ca="1" si="46"/>
        <v>22</v>
      </c>
      <c r="D722" s="1">
        <f t="shared" ca="1" si="47"/>
        <v>46041</v>
      </c>
    </row>
    <row r="723" spans="1:4" x14ac:dyDescent="0.25">
      <c r="A723" t="str">
        <f t="shared" si="44"/>
        <v>S722</v>
      </c>
      <c r="B723" t="str">
        <f t="shared" ca="1" si="45"/>
        <v>M060</v>
      </c>
      <c r="C723">
        <f t="shared" ca="1" si="46"/>
        <v>8</v>
      </c>
      <c r="D723" s="1">
        <f t="shared" ca="1" si="47"/>
        <v>46089</v>
      </c>
    </row>
    <row r="724" spans="1:4" x14ac:dyDescent="0.25">
      <c r="A724" t="str">
        <f t="shared" si="44"/>
        <v>S723</v>
      </c>
      <c r="B724" t="str">
        <f t="shared" ca="1" si="45"/>
        <v>M072</v>
      </c>
      <c r="C724">
        <f t="shared" ca="1" si="46"/>
        <v>18</v>
      </c>
      <c r="D724" s="1">
        <f t="shared" ca="1" si="47"/>
        <v>46034</v>
      </c>
    </row>
    <row r="725" spans="1:4" x14ac:dyDescent="0.25">
      <c r="A725" t="str">
        <f t="shared" si="44"/>
        <v>S724</v>
      </c>
      <c r="B725" t="str">
        <f t="shared" ca="1" si="45"/>
        <v>M044</v>
      </c>
      <c r="C725">
        <f t="shared" ca="1" si="46"/>
        <v>8</v>
      </c>
      <c r="D725" s="1">
        <f t="shared" ca="1" si="47"/>
        <v>46042</v>
      </c>
    </row>
    <row r="726" spans="1:4" x14ac:dyDescent="0.25">
      <c r="A726" t="str">
        <f t="shared" si="44"/>
        <v>S725</v>
      </c>
      <c r="B726" t="str">
        <f t="shared" ca="1" si="45"/>
        <v>M054</v>
      </c>
      <c r="C726">
        <f t="shared" ca="1" si="46"/>
        <v>10</v>
      </c>
      <c r="D726" s="1">
        <f t="shared" ca="1" si="47"/>
        <v>46050</v>
      </c>
    </row>
    <row r="727" spans="1:4" x14ac:dyDescent="0.25">
      <c r="A727" t="str">
        <f t="shared" si="44"/>
        <v>S726</v>
      </c>
      <c r="B727" t="str">
        <f t="shared" ca="1" si="45"/>
        <v>M072</v>
      </c>
      <c r="C727">
        <f t="shared" ca="1" si="46"/>
        <v>28</v>
      </c>
      <c r="D727" s="1">
        <f t="shared" ca="1" si="47"/>
        <v>46079</v>
      </c>
    </row>
    <row r="728" spans="1:4" x14ac:dyDescent="0.25">
      <c r="A728" t="str">
        <f t="shared" si="44"/>
        <v>S727</v>
      </c>
      <c r="B728" t="str">
        <f t="shared" ca="1" si="45"/>
        <v>M053</v>
      </c>
      <c r="C728">
        <f t="shared" ca="1" si="46"/>
        <v>27</v>
      </c>
      <c r="D728" s="1">
        <f t="shared" ca="1" si="47"/>
        <v>46107</v>
      </c>
    </row>
    <row r="729" spans="1:4" x14ac:dyDescent="0.25">
      <c r="A729" t="str">
        <f t="shared" si="44"/>
        <v>S728</v>
      </c>
      <c r="B729" t="str">
        <f t="shared" ca="1" si="45"/>
        <v>M064</v>
      </c>
      <c r="C729">
        <f t="shared" ca="1" si="46"/>
        <v>5</v>
      </c>
      <c r="D729" s="1">
        <f t="shared" ca="1" si="47"/>
        <v>46104</v>
      </c>
    </row>
    <row r="730" spans="1:4" x14ac:dyDescent="0.25">
      <c r="A730" t="str">
        <f t="shared" si="44"/>
        <v>S729</v>
      </c>
      <c r="B730" t="str">
        <f t="shared" ca="1" si="45"/>
        <v>M064</v>
      </c>
      <c r="C730">
        <f t="shared" ca="1" si="46"/>
        <v>1</v>
      </c>
      <c r="D730" s="1">
        <f t="shared" ca="1" si="47"/>
        <v>46077</v>
      </c>
    </row>
    <row r="731" spans="1:4" x14ac:dyDescent="0.25">
      <c r="A731" t="str">
        <f t="shared" si="44"/>
        <v>S730</v>
      </c>
      <c r="B731" t="str">
        <f t="shared" ca="1" si="45"/>
        <v>M071</v>
      </c>
      <c r="C731">
        <f t="shared" ca="1" si="46"/>
        <v>1</v>
      </c>
      <c r="D731" s="1">
        <f t="shared" ca="1" si="47"/>
        <v>46081</v>
      </c>
    </row>
    <row r="732" spans="1:4" x14ac:dyDescent="0.25">
      <c r="A732" t="str">
        <f t="shared" si="44"/>
        <v>S731</v>
      </c>
      <c r="B732" t="str">
        <f t="shared" ca="1" si="45"/>
        <v>M060</v>
      </c>
      <c r="C732">
        <f t="shared" ca="1" si="46"/>
        <v>7</v>
      </c>
      <c r="D732" s="1">
        <f t="shared" ca="1" si="47"/>
        <v>46114</v>
      </c>
    </row>
    <row r="733" spans="1:4" x14ac:dyDescent="0.25">
      <c r="A733" t="str">
        <f t="shared" si="44"/>
        <v>S732</v>
      </c>
      <c r="B733" t="str">
        <f t="shared" ca="1" si="45"/>
        <v>M048</v>
      </c>
      <c r="C733">
        <f t="shared" ca="1" si="46"/>
        <v>19</v>
      </c>
      <c r="D733" s="1">
        <f t="shared" ca="1" si="47"/>
        <v>46097</v>
      </c>
    </row>
    <row r="734" spans="1:4" x14ac:dyDescent="0.25">
      <c r="A734" t="str">
        <f t="shared" si="44"/>
        <v>S733</v>
      </c>
      <c r="B734" t="str">
        <f t="shared" ca="1" si="45"/>
        <v>M079</v>
      </c>
      <c r="C734">
        <f t="shared" ca="1" si="46"/>
        <v>7</v>
      </c>
      <c r="D734" s="1">
        <f t="shared" ca="1" si="47"/>
        <v>46089</v>
      </c>
    </row>
    <row r="735" spans="1:4" x14ac:dyDescent="0.25">
      <c r="A735" t="str">
        <f t="shared" si="44"/>
        <v>S734</v>
      </c>
      <c r="B735" t="str">
        <f t="shared" ca="1" si="45"/>
        <v>M018</v>
      </c>
      <c r="C735">
        <f t="shared" ca="1" si="46"/>
        <v>5</v>
      </c>
      <c r="D735" s="1">
        <f t="shared" ca="1" si="47"/>
        <v>46060</v>
      </c>
    </row>
    <row r="736" spans="1:4" x14ac:dyDescent="0.25">
      <c r="A736" t="str">
        <f t="shared" si="44"/>
        <v>S735</v>
      </c>
      <c r="B736" t="str">
        <f t="shared" ca="1" si="45"/>
        <v>M052</v>
      </c>
      <c r="C736">
        <f t="shared" ca="1" si="46"/>
        <v>11</v>
      </c>
      <c r="D736" s="1">
        <f t="shared" ca="1" si="47"/>
        <v>46092</v>
      </c>
    </row>
    <row r="737" spans="1:4" x14ac:dyDescent="0.25">
      <c r="A737" t="str">
        <f t="shared" si="44"/>
        <v>S736</v>
      </c>
      <c r="B737" t="str">
        <f t="shared" ca="1" si="45"/>
        <v>M082</v>
      </c>
      <c r="C737">
        <f t="shared" ca="1" si="46"/>
        <v>2</v>
      </c>
      <c r="D737" s="1">
        <f t="shared" ca="1" si="47"/>
        <v>46089</v>
      </c>
    </row>
    <row r="738" spans="1:4" x14ac:dyDescent="0.25">
      <c r="A738" t="str">
        <f t="shared" si="44"/>
        <v>S737</v>
      </c>
      <c r="B738" t="str">
        <f t="shared" ca="1" si="45"/>
        <v>M089</v>
      </c>
      <c r="C738">
        <f t="shared" ca="1" si="46"/>
        <v>6</v>
      </c>
      <c r="D738" s="1">
        <f t="shared" ca="1" si="47"/>
        <v>46116</v>
      </c>
    </row>
    <row r="739" spans="1:4" x14ac:dyDescent="0.25">
      <c r="A739" t="str">
        <f t="shared" si="44"/>
        <v>S738</v>
      </c>
      <c r="B739" t="str">
        <f t="shared" ca="1" si="45"/>
        <v>M060</v>
      </c>
      <c r="C739">
        <f t="shared" ca="1" si="46"/>
        <v>18</v>
      </c>
      <c r="D739" s="1">
        <f t="shared" ca="1" si="47"/>
        <v>46103</v>
      </c>
    </row>
    <row r="740" spans="1:4" x14ac:dyDescent="0.25">
      <c r="A740" t="str">
        <f t="shared" si="44"/>
        <v>S739</v>
      </c>
      <c r="B740" t="str">
        <f t="shared" ca="1" si="45"/>
        <v>M018</v>
      </c>
      <c r="C740">
        <f t="shared" ca="1" si="46"/>
        <v>17</v>
      </c>
      <c r="D740" s="1">
        <f t="shared" ca="1" si="47"/>
        <v>46060</v>
      </c>
    </row>
    <row r="741" spans="1:4" x14ac:dyDescent="0.25">
      <c r="A741" t="str">
        <f t="shared" si="44"/>
        <v>S740</v>
      </c>
      <c r="B741" t="str">
        <f t="shared" ca="1" si="45"/>
        <v>M039</v>
      </c>
      <c r="C741">
        <f t="shared" ca="1" si="46"/>
        <v>10</v>
      </c>
      <c r="D741" s="1">
        <f t="shared" ca="1" si="47"/>
        <v>46090</v>
      </c>
    </row>
    <row r="742" spans="1:4" x14ac:dyDescent="0.25">
      <c r="A742" t="str">
        <f t="shared" si="44"/>
        <v>S741</v>
      </c>
      <c r="B742" t="str">
        <f t="shared" ca="1" si="45"/>
        <v>M034</v>
      </c>
      <c r="C742">
        <f t="shared" ca="1" si="46"/>
        <v>30</v>
      </c>
      <c r="D742" s="1">
        <f t="shared" ca="1" si="47"/>
        <v>46073</v>
      </c>
    </row>
    <row r="743" spans="1:4" x14ac:dyDescent="0.25">
      <c r="A743" t="str">
        <f t="shared" si="44"/>
        <v>S742</v>
      </c>
      <c r="B743" t="str">
        <f t="shared" ca="1" si="45"/>
        <v>M086</v>
      </c>
      <c r="C743">
        <f t="shared" ca="1" si="46"/>
        <v>5</v>
      </c>
      <c r="D743" s="1">
        <f t="shared" ca="1" si="47"/>
        <v>46037</v>
      </c>
    </row>
    <row r="744" spans="1:4" x14ac:dyDescent="0.25">
      <c r="A744" t="str">
        <f t="shared" si="44"/>
        <v>S743</v>
      </c>
      <c r="B744" t="str">
        <f t="shared" ca="1" si="45"/>
        <v>M080</v>
      </c>
      <c r="C744">
        <f t="shared" ca="1" si="46"/>
        <v>8</v>
      </c>
      <c r="D744" s="1">
        <f t="shared" ca="1" si="47"/>
        <v>46084</v>
      </c>
    </row>
    <row r="745" spans="1:4" x14ac:dyDescent="0.25">
      <c r="A745" t="str">
        <f t="shared" si="44"/>
        <v>S744</v>
      </c>
      <c r="B745" t="str">
        <f t="shared" ca="1" si="45"/>
        <v>M001</v>
      </c>
      <c r="C745">
        <f t="shared" ca="1" si="46"/>
        <v>25</v>
      </c>
      <c r="D745" s="1">
        <f t="shared" ca="1" si="47"/>
        <v>46043</v>
      </c>
    </row>
    <row r="746" spans="1:4" x14ac:dyDescent="0.25">
      <c r="A746" t="str">
        <f t="shared" si="44"/>
        <v>S745</v>
      </c>
      <c r="B746" t="str">
        <f t="shared" ca="1" si="45"/>
        <v>M085</v>
      </c>
      <c r="C746">
        <f t="shared" ca="1" si="46"/>
        <v>17</v>
      </c>
      <c r="D746" s="1">
        <f t="shared" ca="1" si="47"/>
        <v>46056</v>
      </c>
    </row>
    <row r="747" spans="1:4" x14ac:dyDescent="0.25">
      <c r="A747" t="str">
        <f t="shared" si="44"/>
        <v>S746</v>
      </c>
      <c r="B747" t="str">
        <f t="shared" ca="1" si="45"/>
        <v>M091</v>
      </c>
      <c r="C747">
        <f t="shared" ca="1" si="46"/>
        <v>14</v>
      </c>
      <c r="D747" s="1">
        <f t="shared" ca="1" si="47"/>
        <v>46107</v>
      </c>
    </row>
    <row r="748" spans="1:4" x14ac:dyDescent="0.25">
      <c r="A748" t="str">
        <f t="shared" si="44"/>
        <v>S747</v>
      </c>
      <c r="B748" t="str">
        <f t="shared" ca="1" si="45"/>
        <v>M087</v>
      </c>
      <c r="C748">
        <f t="shared" ca="1" si="46"/>
        <v>4</v>
      </c>
      <c r="D748" s="1">
        <f t="shared" ca="1" si="47"/>
        <v>46114</v>
      </c>
    </row>
    <row r="749" spans="1:4" x14ac:dyDescent="0.25">
      <c r="A749" t="str">
        <f t="shared" si="44"/>
        <v>S748</v>
      </c>
      <c r="B749" t="str">
        <f t="shared" ca="1" si="45"/>
        <v>M096</v>
      </c>
      <c r="C749">
        <f t="shared" ca="1" si="46"/>
        <v>13</v>
      </c>
      <c r="D749" s="1">
        <f t="shared" ca="1" si="47"/>
        <v>46033</v>
      </c>
    </row>
    <row r="750" spans="1:4" x14ac:dyDescent="0.25">
      <c r="A750" t="str">
        <f t="shared" si="44"/>
        <v>S749</v>
      </c>
      <c r="B750" t="str">
        <f t="shared" ca="1" si="45"/>
        <v>M021</v>
      </c>
      <c r="C750">
        <f t="shared" ca="1" si="46"/>
        <v>26</v>
      </c>
      <c r="D750" s="1">
        <f t="shared" ca="1" si="47"/>
        <v>46095</v>
      </c>
    </row>
    <row r="751" spans="1:4" x14ac:dyDescent="0.25">
      <c r="A751" t="str">
        <f t="shared" si="44"/>
        <v>S750</v>
      </c>
      <c r="B751" t="str">
        <f t="shared" ca="1" si="45"/>
        <v>M029</v>
      </c>
      <c r="C751">
        <f t="shared" ca="1" si="46"/>
        <v>29</v>
      </c>
      <c r="D751" s="1">
        <f t="shared" ca="1" si="47"/>
        <v>46116</v>
      </c>
    </row>
    <row r="752" spans="1:4" x14ac:dyDescent="0.25">
      <c r="A752" t="str">
        <f t="shared" si="44"/>
        <v>S751</v>
      </c>
      <c r="B752" t="str">
        <f t="shared" ca="1" si="45"/>
        <v>M045</v>
      </c>
      <c r="C752">
        <f t="shared" ca="1" si="46"/>
        <v>4</v>
      </c>
      <c r="D752" s="1">
        <f t="shared" ca="1" si="47"/>
        <v>46052</v>
      </c>
    </row>
    <row r="753" spans="1:4" x14ac:dyDescent="0.25">
      <c r="A753" t="str">
        <f t="shared" si="44"/>
        <v>S752</v>
      </c>
      <c r="B753" t="str">
        <f t="shared" ca="1" si="45"/>
        <v>M040</v>
      </c>
      <c r="C753">
        <f t="shared" ca="1" si="46"/>
        <v>9</v>
      </c>
      <c r="D753" s="1">
        <f t="shared" ca="1" si="47"/>
        <v>46062</v>
      </c>
    </row>
    <row r="754" spans="1:4" x14ac:dyDescent="0.25">
      <c r="A754" t="str">
        <f t="shared" si="44"/>
        <v>S753</v>
      </c>
      <c r="B754" t="str">
        <f t="shared" ca="1" si="45"/>
        <v>M048</v>
      </c>
      <c r="C754">
        <f t="shared" ca="1" si="46"/>
        <v>3</v>
      </c>
      <c r="D754" s="1">
        <f t="shared" ca="1" si="47"/>
        <v>46037</v>
      </c>
    </row>
    <row r="755" spans="1:4" x14ac:dyDescent="0.25">
      <c r="A755" t="str">
        <f t="shared" si="44"/>
        <v>S754</v>
      </c>
      <c r="B755" t="str">
        <f t="shared" ca="1" si="45"/>
        <v>M081</v>
      </c>
      <c r="C755">
        <f t="shared" ca="1" si="46"/>
        <v>25</v>
      </c>
      <c r="D755" s="1">
        <f t="shared" ca="1" si="47"/>
        <v>46089</v>
      </c>
    </row>
    <row r="756" spans="1:4" x14ac:dyDescent="0.25">
      <c r="A756" t="str">
        <f t="shared" si="44"/>
        <v>S755</v>
      </c>
      <c r="B756" t="str">
        <f t="shared" ca="1" si="45"/>
        <v>M089</v>
      </c>
      <c r="C756">
        <f t="shared" ca="1" si="46"/>
        <v>30</v>
      </c>
      <c r="D756" s="1">
        <f t="shared" ca="1" si="47"/>
        <v>46084</v>
      </c>
    </row>
    <row r="757" spans="1:4" x14ac:dyDescent="0.25">
      <c r="A757" t="str">
        <f t="shared" si="44"/>
        <v>S756</v>
      </c>
      <c r="B757" t="str">
        <f t="shared" ca="1" si="45"/>
        <v>M032</v>
      </c>
      <c r="C757">
        <f t="shared" ca="1" si="46"/>
        <v>8</v>
      </c>
      <c r="D757" s="1">
        <f t="shared" ca="1" si="47"/>
        <v>46115</v>
      </c>
    </row>
    <row r="758" spans="1:4" x14ac:dyDescent="0.25">
      <c r="A758" t="str">
        <f t="shared" si="44"/>
        <v>S757</v>
      </c>
      <c r="B758" t="str">
        <f t="shared" ca="1" si="45"/>
        <v>M001</v>
      </c>
      <c r="C758">
        <f t="shared" ca="1" si="46"/>
        <v>28</v>
      </c>
      <c r="D758" s="1">
        <f t="shared" ca="1" si="47"/>
        <v>46084</v>
      </c>
    </row>
    <row r="759" spans="1:4" x14ac:dyDescent="0.25">
      <c r="A759" t="str">
        <f t="shared" si="44"/>
        <v>S758</v>
      </c>
      <c r="B759" t="str">
        <f t="shared" ca="1" si="45"/>
        <v>M097</v>
      </c>
      <c r="C759">
        <f t="shared" ca="1" si="46"/>
        <v>20</v>
      </c>
      <c r="D759" s="1">
        <f t="shared" ca="1" si="47"/>
        <v>46050</v>
      </c>
    </row>
    <row r="760" spans="1:4" x14ac:dyDescent="0.25">
      <c r="A760" t="str">
        <f t="shared" si="44"/>
        <v>S759</v>
      </c>
      <c r="B760" t="str">
        <f t="shared" ca="1" si="45"/>
        <v>M080</v>
      </c>
      <c r="C760">
        <f t="shared" ca="1" si="46"/>
        <v>29</v>
      </c>
      <c r="D760" s="1">
        <f t="shared" ca="1" si="47"/>
        <v>46036</v>
      </c>
    </row>
    <row r="761" spans="1:4" x14ac:dyDescent="0.25">
      <c r="A761" t="str">
        <f t="shared" si="44"/>
        <v>S760</v>
      </c>
      <c r="B761" t="str">
        <f t="shared" ca="1" si="45"/>
        <v>M045</v>
      </c>
      <c r="C761">
        <f t="shared" ca="1" si="46"/>
        <v>21</v>
      </c>
      <c r="D761" s="1">
        <f t="shared" ca="1" si="47"/>
        <v>46030</v>
      </c>
    </row>
    <row r="762" spans="1:4" x14ac:dyDescent="0.25">
      <c r="A762" t="str">
        <f t="shared" si="44"/>
        <v>S761</v>
      </c>
      <c r="B762" t="str">
        <f t="shared" ca="1" si="45"/>
        <v>M083</v>
      </c>
      <c r="C762">
        <f t="shared" ca="1" si="46"/>
        <v>8</v>
      </c>
      <c r="D762" s="1">
        <f t="shared" ca="1" si="47"/>
        <v>46058</v>
      </c>
    </row>
    <row r="763" spans="1:4" x14ac:dyDescent="0.25">
      <c r="A763" t="str">
        <f t="shared" si="44"/>
        <v>S762</v>
      </c>
      <c r="B763" t="str">
        <f t="shared" ca="1" si="45"/>
        <v>M030</v>
      </c>
      <c r="C763">
        <f t="shared" ca="1" si="46"/>
        <v>10</v>
      </c>
      <c r="D763" s="1">
        <f t="shared" ca="1" si="47"/>
        <v>46101</v>
      </c>
    </row>
    <row r="764" spans="1:4" x14ac:dyDescent="0.25">
      <c r="A764" t="str">
        <f t="shared" si="44"/>
        <v>S763</v>
      </c>
      <c r="B764" t="str">
        <f t="shared" ca="1" si="45"/>
        <v>M049</v>
      </c>
      <c r="C764">
        <f t="shared" ca="1" si="46"/>
        <v>7</v>
      </c>
      <c r="D764" s="1">
        <f t="shared" ca="1" si="47"/>
        <v>46087</v>
      </c>
    </row>
    <row r="765" spans="1:4" x14ac:dyDescent="0.25">
      <c r="A765" t="str">
        <f t="shared" si="44"/>
        <v>S764</v>
      </c>
      <c r="B765" t="str">
        <f t="shared" ca="1" si="45"/>
        <v>M084</v>
      </c>
      <c r="C765">
        <f t="shared" ca="1" si="46"/>
        <v>29</v>
      </c>
      <c r="D765" s="1">
        <f t="shared" ca="1" si="47"/>
        <v>46052</v>
      </c>
    </row>
    <row r="766" spans="1:4" x14ac:dyDescent="0.25">
      <c r="A766" t="str">
        <f t="shared" si="44"/>
        <v>S765</v>
      </c>
      <c r="B766" t="str">
        <f t="shared" ca="1" si="45"/>
        <v>M067</v>
      </c>
      <c r="C766">
        <f t="shared" ca="1" si="46"/>
        <v>22</v>
      </c>
      <c r="D766" s="1">
        <f t="shared" ca="1" si="47"/>
        <v>46046</v>
      </c>
    </row>
    <row r="767" spans="1:4" x14ac:dyDescent="0.25">
      <c r="A767" t="str">
        <f t="shared" si="44"/>
        <v>S766</v>
      </c>
      <c r="B767" t="str">
        <f t="shared" ca="1" si="45"/>
        <v>M099</v>
      </c>
      <c r="C767">
        <f t="shared" ca="1" si="46"/>
        <v>21</v>
      </c>
      <c r="D767" s="1">
        <f t="shared" ca="1" si="47"/>
        <v>46082</v>
      </c>
    </row>
    <row r="768" spans="1:4" x14ac:dyDescent="0.25">
      <c r="A768" t="str">
        <f t="shared" si="44"/>
        <v>S767</v>
      </c>
      <c r="B768" t="str">
        <f t="shared" ca="1" si="45"/>
        <v>M036</v>
      </c>
      <c r="C768">
        <f t="shared" ca="1" si="46"/>
        <v>14</v>
      </c>
      <c r="D768" s="1">
        <f t="shared" ca="1" si="47"/>
        <v>46079</v>
      </c>
    </row>
    <row r="769" spans="1:4" x14ac:dyDescent="0.25">
      <c r="A769" t="str">
        <f t="shared" si="44"/>
        <v>S768</v>
      </c>
      <c r="B769" t="str">
        <f t="shared" ca="1" si="45"/>
        <v>M018</v>
      </c>
      <c r="C769">
        <f t="shared" ca="1" si="46"/>
        <v>5</v>
      </c>
      <c r="D769" s="1">
        <f t="shared" ca="1" si="47"/>
        <v>46033</v>
      </c>
    </row>
    <row r="770" spans="1:4" x14ac:dyDescent="0.25">
      <c r="A770" t="str">
        <f t="shared" si="44"/>
        <v>S769</v>
      </c>
      <c r="B770" t="str">
        <f t="shared" ca="1" si="45"/>
        <v>M086</v>
      </c>
      <c r="C770">
        <f t="shared" ca="1" si="46"/>
        <v>14</v>
      </c>
      <c r="D770" s="1">
        <f t="shared" ca="1" si="47"/>
        <v>46060</v>
      </c>
    </row>
    <row r="771" spans="1:4" x14ac:dyDescent="0.25">
      <c r="A771" t="str">
        <f t="shared" ref="A771:A834" si="48">"S"&amp;TEXT(ROW(A770),"000")</f>
        <v>S770</v>
      </c>
      <c r="B771" t="str">
        <f t="shared" ref="B771:B834" ca="1" si="49">"M"&amp;TEXT(RANDBETWEEN(1,100),"000")</f>
        <v>M004</v>
      </c>
      <c r="C771">
        <f t="shared" ref="C771:C834" ca="1" si="50">RANDBETWEEN(1,30)</f>
        <v>14</v>
      </c>
      <c r="D771" s="1">
        <f t="shared" ref="D771:D834" ca="1" si="51">TODAY()-RANDBETWEEN(1,90)</f>
        <v>46103</v>
      </c>
    </row>
    <row r="772" spans="1:4" x14ac:dyDescent="0.25">
      <c r="A772" t="str">
        <f t="shared" si="48"/>
        <v>S771</v>
      </c>
      <c r="B772" t="str">
        <f t="shared" ca="1" si="49"/>
        <v>M100</v>
      </c>
      <c r="C772">
        <f t="shared" ca="1" si="50"/>
        <v>12</v>
      </c>
      <c r="D772" s="1">
        <f t="shared" ca="1" si="51"/>
        <v>46051</v>
      </c>
    </row>
    <row r="773" spans="1:4" x14ac:dyDescent="0.25">
      <c r="A773" t="str">
        <f t="shared" si="48"/>
        <v>S772</v>
      </c>
      <c r="B773" t="str">
        <f t="shared" ca="1" si="49"/>
        <v>M088</v>
      </c>
      <c r="C773">
        <f t="shared" ca="1" si="50"/>
        <v>22</v>
      </c>
      <c r="D773" s="1">
        <f t="shared" ca="1" si="51"/>
        <v>46062</v>
      </c>
    </row>
    <row r="774" spans="1:4" x14ac:dyDescent="0.25">
      <c r="A774" t="str">
        <f t="shared" si="48"/>
        <v>S773</v>
      </c>
      <c r="B774" t="str">
        <f t="shared" ca="1" si="49"/>
        <v>M028</v>
      </c>
      <c r="C774">
        <f t="shared" ca="1" si="50"/>
        <v>2</v>
      </c>
      <c r="D774" s="1">
        <f t="shared" ca="1" si="51"/>
        <v>46037</v>
      </c>
    </row>
    <row r="775" spans="1:4" x14ac:dyDescent="0.25">
      <c r="A775" t="str">
        <f t="shared" si="48"/>
        <v>S774</v>
      </c>
      <c r="B775" t="str">
        <f t="shared" ca="1" si="49"/>
        <v>M072</v>
      </c>
      <c r="C775">
        <f t="shared" ca="1" si="50"/>
        <v>13</v>
      </c>
      <c r="D775" s="1">
        <f t="shared" ca="1" si="51"/>
        <v>46052</v>
      </c>
    </row>
    <row r="776" spans="1:4" x14ac:dyDescent="0.25">
      <c r="A776" t="str">
        <f t="shared" si="48"/>
        <v>S775</v>
      </c>
      <c r="B776" t="str">
        <f t="shared" ca="1" si="49"/>
        <v>M047</v>
      </c>
      <c r="C776">
        <f t="shared" ca="1" si="50"/>
        <v>23</v>
      </c>
      <c r="D776" s="1">
        <f t="shared" ca="1" si="51"/>
        <v>46059</v>
      </c>
    </row>
    <row r="777" spans="1:4" x14ac:dyDescent="0.25">
      <c r="A777" t="str">
        <f t="shared" si="48"/>
        <v>S776</v>
      </c>
      <c r="B777" t="str">
        <f t="shared" ca="1" si="49"/>
        <v>M012</v>
      </c>
      <c r="C777">
        <f t="shared" ca="1" si="50"/>
        <v>9</v>
      </c>
      <c r="D777" s="1">
        <f t="shared" ca="1" si="51"/>
        <v>46079</v>
      </c>
    </row>
    <row r="778" spans="1:4" x14ac:dyDescent="0.25">
      <c r="A778" t="str">
        <f t="shared" si="48"/>
        <v>S777</v>
      </c>
      <c r="B778" t="str">
        <f t="shared" ca="1" si="49"/>
        <v>M061</v>
      </c>
      <c r="C778">
        <f t="shared" ca="1" si="50"/>
        <v>14</v>
      </c>
      <c r="D778" s="1">
        <f t="shared" ca="1" si="51"/>
        <v>46033</v>
      </c>
    </row>
    <row r="779" spans="1:4" x14ac:dyDescent="0.25">
      <c r="A779" t="str">
        <f t="shared" si="48"/>
        <v>S778</v>
      </c>
      <c r="B779" t="str">
        <f t="shared" ca="1" si="49"/>
        <v>M029</v>
      </c>
      <c r="C779">
        <f t="shared" ca="1" si="50"/>
        <v>9</v>
      </c>
      <c r="D779" s="1">
        <f t="shared" ca="1" si="51"/>
        <v>46050</v>
      </c>
    </row>
    <row r="780" spans="1:4" x14ac:dyDescent="0.25">
      <c r="A780" t="str">
        <f t="shared" si="48"/>
        <v>S779</v>
      </c>
      <c r="B780" t="str">
        <f t="shared" ca="1" si="49"/>
        <v>M051</v>
      </c>
      <c r="C780">
        <f t="shared" ca="1" si="50"/>
        <v>17</v>
      </c>
      <c r="D780" s="1">
        <f t="shared" ca="1" si="51"/>
        <v>46096</v>
      </c>
    </row>
    <row r="781" spans="1:4" x14ac:dyDescent="0.25">
      <c r="A781" t="str">
        <f t="shared" si="48"/>
        <v>S780</v>
      </c>
      <c r="B781" t="str">
        <f t="shared" ca="1" si="49"/>
        <v>M083</v>
      </c>
      <c r="C781">
        <f t="shared" ca="1" si="50"/>
        <v>7</v>
      </c>
      <c r="D781" s="1">
        <f t="shared" ca="1" si="51"/>
        <v>46108</v>
      </c>
    </row>
    <row r="782" spans="1:4" x14ac:dyDescent="0.25">
      <c r="A782" t="str">
        <f t="shared" si="48"/>
        <v>S781</v>
      </c>
      <c r="B782" t="str">
        <f t="shared" ca="1" si="49"/>
        <v>M092</v>
      </c>
      <c r="C782">
        <f t="shared" ca="1" si="50"/>
        <v>13</v>
      </c>
      <c r="D782" s="1">
        <f t="shared" ca="1" si="51"/>
        <v>46035</v>
      </c>
    </row>
    <row r="783" spans="1:4" x14ac:dyDescent="0.25">
      <c r="A783" t="str">
        <f t="shared" si="48"/>
        <v>S782</v>
      </c>
      <c r="B783" t="str">
        <f t="shared" ca="1" si="49"/>
        <v>M036</v>
      </c>
      <c r="C783">
        <f t="shared" ca="1" si="50"/>
        <v>23</v>
      </c>
      <c r="D783" s="1">
        <f t="shared" ca="1" si="51"/>
        <v>46043</v>
      </c>
    </row>
    <row r="784" spans="1:4" x14ac:dyDescent="0.25">
      <c r="A784" t="str">
        <f t="shared" si="48"/>
        <v>S783</v>
      </c>
      <c r="B784" t="str">
        <f t="shared" ca="1" si="49"/>
        <v>M021</v>
      </c>
      <c r="C784">
        <f t="shared" ca="1" si="50"/>
        <v>18</v>
      </c>
      <c r="D784" s="1">
        <f t="shared" ca="1" si="51"/>
        <v>46044</v>
      </c>
    </row>
    <row r="785" spans="1:4" x14ac:dyDescent="0.25">
      <c r="A785" t="str">
        <f t="shared" si="48"/>
        <v>S784</v>
      </c>
      <c r="B785" t="str">
        <f t="shared" ca="1" si="49"/>
        <v>M049</v>
      </c>
      <c r="C785">
        <f t="shared" ca="1" si="50"/>
        <v>20</v>
      </c>
      <c r="D785" s="1">
        <f t="shared" ca="1" si="51"/>
        <v>46059</v>
      </c>
    </row>
    <row r="786" spans="1:4" x14ac:dyDescent="0.25">
      <c r="A786" t="str">
        <f t="shared" si="48"/>
        <v>S785</v>
      </c>
      <c r="B786" t="str">
        <f t="shared" ca="1" si="49"/>
        <v>M036</v>
      </c>
      <c r="C786">
        <f t="shared" ca="1" si="50"/>
        <v>16</v>
      </c>
      <c r="D786" s="1">
        <f t="shared" ca="1" si="51"/>
        <v>46106</v>
      </c>
    </row>
    <row r="787" spans="1:4" x14ac:dyDescent="0.25">
      <c r="A787" t="str">
        <f t="shared" si="48"/>
        <v>S786</v>
      </c>
      <c r="B787" t="str">
        <f t="shared" ca="1" si="49"/>
        <v>M057</v>
      </c>
      <c r="C787">
        <f t="shared" ca="1" si="50"/>
        <v>25</v>
      </c>
      <c r="D787" s="1">
        <f t="shared" ca="1" si="51"/>
        <v>46118</v>
      </c>
    </row>
    <row r="788" spans="1:4" x14ac:dyDescent="0.25">
      <c r="A788" t="str">
        <f t="shared" si="48"/>
        <v>S787</v>
      </c>
      <c r="B788" t="str">
        <f t="shared" ca="1" si="49"/>
        <v>M026</v>
      </c>
      <c r="C788">
        <f t="shared" ca="1" si="50"/>
        <v>14</v>
      </c>
      <c r="D788" s="1">
        <f t="shared" ca="1" si="51"/>
        <v>46094</v>
      </c>
    </row>
    <row r="789" spans="1:4" x14ac:dyDescent="0.25">
      <c r="A789" t="str">
        <f t="shared" si="48"/>
        <v>S788</v>
      </c>
      <c r="B789" t="str">
        <f t="shared" ca="1" si="49"/>
        <v>M076</v>
      </c>
      <c r="C789">
        <f t="shared" ca="1" si="50"/>
        <v>21</v>
      </c>
      <c r="D789" s="1">
        <f t="shared" ca="1" si="51"/>
        <v>46052</v>
      </c>
    </row>
    <row r="790" spans="1:4" x14ac:dyDescent="0.25">
      <c r="A790" t="str">
        <f t="shared" si="48"/>
        <v>S789</v>
      </c>
      <c r="B790" t="str">
        <f t="shared" ca="1" si="49"/>
        <v>M065</v>
      </c>
      <c r="C790">
        <f t="shared" ca="1" si="50"/>
        <v>7</v>
      </c>
      <c r="D790" s="1">
        <f t="shared" ca="1" si="51"/>
        <v>46118</v>
      </c>
    </row>
    <row r="791" spans="1:4" x14ac:dyDescent="0.25">
      <c r="A791" t="str">
        <f t="shared" si="48"/>
        <v>S790</v>
      </c>
      <c r="B791" t="str">
        <f t="shared" ca="1" si="49"/>
        <v>M001</v>
      </c>
      <c r="C791">
        <f t="shared" ca="1" si="50"/>
        <v>8</v>
      </c>
      <c r="D791" s="1">
        <f t="shared" ca="1" si="51"/>
        <v>46060</v>
      </c>
    </row>
    <row r="792" spans="1:4" x14ac:dyDescent="0.25">
      <c r="A792" t="str">
        <f t="shared" si="48"/>
        <v>S791</v>
      </c>
      <c r="B792" t="str">
        <f t="shared" ca="1" si="49"/>
        <v>M094</v>
      </c>
      <c r="C792">
        <f t="shared" ca="1" si="50"/>
        <v>30</v>
      </c>
      <c r="D792" s="1">
        <f t="shared" ca="1" si="51"/>
        <v>46107</v>
      </c>
    </row>
    <row r="793" spans="1:4" x14ac:dyDescent="0.25">
      <c r="A793" t="str">
        <f t="shared" si="48"/>
        <v>S792</v>
      </c>
      <c r="B793" t="str">
        <f t="shared" ca="1" si="49"/>
        <v>M032</v>
      </c>
      <c r="C793">
        <f t="shared" ca="1" si="50"/>
        <v>4</v>
      </c>
      <c r="D793" s="1">
        <f t="shared" ca="1" si="51"/>
        <v>46058</v>
      </c>
    </row>
    <row r="794" spans="1:4" x14ac:dyDescent="0.25">
      <c r="A794" t="str">
        <f t="shared" si="48"/>
        <v>S793</v>
      </c>
      <c r="B794" t="str">
        <f t="shared" ca="1" si="49"/>
        <v>M009</v>
      </c>
      <c r="C794">
        <f t="shared" ca="1" si="50"/>
        <v>19</v>
      </c>
      <c r="D794" s="1">
        <f t="shared" ca="1" si="51"/>
        <v>46065</v>
      </c>
    </row>
    <row r="795" spans="1:4" x14ac:dyDescent="0.25">
      <c r="A795" t="str">
        <f t="shared" si="48"/>
        <v>S794</v>
      </c>
      <c r="B795" t="str">
        <f t="shared" ca="1" si="49"/>
        <v>M046</v>
      </c>
      <c r="C795">
        <f t="shared" ca="1" si="50"/>
        <v>17</v>
      </c>
      <c r="D795" s="1">
        <f t="shared" ca="1" si="51"/>
        <v>46113</v>
      </c>
    </row>
    <row r="796" spans="1:4" x14ac:dyDescent="0.25">
      <c r="A796" t="str">
        <f t="shared" si="48"/>
        <v>S795</v>
      </c>
      <c r="B796" t="str">
        <f t="shared" ca="1" si="49"/>
        <v>M088</v>
      </c>
      <c r="C796">
        <f t="shared" ca="1" si="50"/>
        <v>9</v>
      </c>
      <c r="D796" s="1">
        <f t="shared" ca="1" si="51"/>
        <v>46083</v>
      </c>
    </row>
    <row r="797" spans="1:4" x14ac:dyDescent="0.25">
      <c r="A797" t="str">
        <f t="shared" si="48"/>
        <v>S796</v>
      </c>
      <c r="B797" t="str">
        <f t="shared" ca="1" si="49"/>
        <v>M018</v>
      </c>
      <c r="C797">
        <f t="shared" ca="1" si="50"/>
        <v>23</v>
      </c>
      <c r="D797" s="1">
        <f t="shared" ca="1" si="51"/>
        <v>46067</v>
      </c>
    </row>
    <row r="798" spans="1:4" x14ac:dyDescent="0.25">
      <c r="A798" t="str">
        <f t="shared" si="48"/>
        <v>S797</v>
      </c>
      <c r="B798" t="str">
        <f t="shared" ca="1" si="49"/>
        <v>M092</v>
      </c>
      <c r="C798">
        <f t="shared" ca="1" si="50"/>
        <v>19</v>
      </c>
      <c r="D798" s="1">
        <f t="shared" ca="1" si="51"/>
        <v>46071</v>
      </c>
    </row>
    <row r="799" spans="1:4" x14ac:dyDescent="0.25">
      <c r="A799" t="str">
        <f t="shared" si="48"/>
        <v>S798</v>
      </c>
      <c r="B799" t="str">
        <f t="shared" ca="1" si="49"/>
        <v>M066</v>
      </c>
      <c r="C799">
        <f t="shared" ca="1" si="50"/>
        <v>21</v>
      </c>
      <c r="D799" s="1">
        <f t="shared" ca="1" si="51"/>
        <v>46039</v>
      </c>
    </row>
    <row r="800" spans="1:4" x14ac:dyDescent="0.25">
      <c r="A800" t="str">
        <f t="shared" si="48"/>
        <v>S799</v>
      </c>
      <c r="B800" t="str">
        <f t="shared" ca="1" si="49"/>
        <v>M094</v>
      </c>
      <c r="C800">
        <f t="shared" ca="1" si="50"/>
        <v>24</v>
      </c>
      <c r="D800" s="1">
        <f t="shared" ca="1" si="51"/>
        <v>46097</v>
      </c>
    </row>
    <row r="801" spans="1:4" x14ac:dyDescent="0.25">
      <c r="A801" t="str">
        <f t="shared" si="48"/>
        <v>S800</v>
      </c>
      <c r="B801" t="str">
        <f t="shared" ca="1" si="49"/>
        <v>M100</v>
      </c>
      <c r="C801">
        <f t="shared" ca="1" si="50"/>
        <v>11</v>
      </c>
      <c r="D801" s="1">
        <f t="shared" ca="1" si="51"/>
        <v>46034</v>
      </c>
    </row>
    <row r="802" spans="1:4" x14ac:dyDescent="0.25">
      <c r="A802" t="str">
        <f t="shared" si="48"/>
        <v>S801</v>
      </c>
      <c r="B802" t="str">
        <f t="shared" ca="1" si="49"/>
        <v>M069</v>
      </c>
      <c r="C802">
        <f t="shared" ca="1" si="50"/>
        <v>2</v>
      </c>
      <c r="D802" s="1">
        <f t="shared" ca="1" si="51"/>
        <v>46063</v>
      </c>
    </row>
    <row r="803" spans="1:4" x14ac:dyDescent="0.25">
      <c r="A803" t="str">
        <f t="shared" si="48"/>
        <v>S802</v>
      </c>
      <c r="B803" t="str">
        <f t="shared" ca="1" si="49"/>
        <v>M042</v>
      </c>
      <c r="C803">
        <f t="shared" ca="1" si="50"/>
        <v>13</v>
      </c>
      <c r="D803" s="1">
        <f t="shared" ca="1" si="51"/>
        <v>46117</v>
      </c>
    </row>
    <row r="804" spans="1:4" x14ac:dyDescent="0.25">
      <c r="A804" t="str">
        <f t="shared" si="48"/>
        <v>S803</v>
      </c>
      <c r="B804" t="str">
        <f t="shared" ca="1" si="49"/>
        <v>M060</v>
      </c>
      <c r="C804">
        <f t="shared" ca="1" si="50"/>
        <v>22</v>
      </c>
      <c r="D804" s="1">
        <f t="shared" ca="1" si="51"/>
        <v>46033</v>
      </c>
    </row>
    <row r="805" spans="1:4" x14ac:dyDescent="0.25">
      <c r="A805" t="str">
        <f t="shared" si="48"/>
        <v>S804</v>
      </c>
      <c r="B805" t="str">
        <f t="shared" ca="1" si="49"/>
        <v>M013</v>
      </c>
      <c r="C805">
        <f t="shared" ca="1" si="50"/>
        <v>11</v>
      </c>
      <c r="D805" s="1">
        <f t="shared" ca="1" si="51"/>
        <v>46088</v>
      </c>
    </row>
    <row r="806" spans="1:4" x14ac:dyDescent="0.25">
      <c r="A806" t="str">
        <f t="shared" si="48"/>
        <v>S805</v>
      </c>
      <c r="B806" t="str">
        <f t="shared" ca="1" si="49"/>
        <v>M098</v>
      </c>
      <c r="C806">
        <f t="shared" ca="1" si="50"/>
        <v>13</v>
      </c>
      <c r="D806" s="1">
        <f t="shared" ca="1" si="51"/>
        <v>46036</v>
      </c>
    </row>
    <row r="807" spans="1:4" x14ac:dyDescent="0.25">
      <c r="A807" t="str">
        <f t="shared" si="48"/>
        <v>S806</v>
      </c>
      <c r="B807" t="str">
        <f t="shared" ca="1" si="49"/>
        <v>M020</v>
      </c>
      <c r="C807">
        <f t="shared" ca="1" si="50"/>
        <v>8</v>
      </c>
      <c r="D807" s="1">
        <f t="shared" ca="1" si="51"/>
        <v>46108</v>
      </c>
    </row>
    <row r="808" spans="1:4" x14ac:dyDescent="0.25">
      <c r="A808" t="str">
        <f t="shared" si="48"/>
        <v>S807</v>
      </c>
      <c r="B808" t="str">
        <f t="shared" ca="1" si="49"/>
        <v>M086</v>
      </c>
      <c r="C808">
        <f t="shared" ca="1" si="50"/>
        <v>6</v>
      </c>
      <c r="D808" s="1">
        <f t="shared" ca="1" si="51"/>
        <v>46078</v>
      </c>
    </row>
    <row r="809" spans="1:4" x14ac:dyDescent="0.25">
      <c r="A809" t="str">
        <f t="shared" si="48"/>
        <v>S808</v>
      </c>
      <c r="B809" t="str">
        <f t="shared" ca="1" si="49"/>
        <v>M035</v>
      </c>
      <c r="C809">
        <f t="shared" ca="1" si="50"/>
        <v>15</v>
      </c>
      <c r="D809" s="1">
        <f t="shared" ca="1" si="51"/>
        <v>46083</v>
      </c>
    </row>
    <row r="810" spans="1:4" x14ac:dyDescent="0.25">
      <c r="A810" t="str">
        <f t="shared" si="48"/>
        <v>S809</v>
      </c>
      <c r="B810" t="str">
        <f t="shared" ca="1" si="49"/>
        <v>M040</v>
      </c>
      <c r="C810">
        <f t="shared" ca="1" si="50"/>
        <v>21</v>
      </c>
      <c r="D810" s="1">
        <f t="shared" ca="1" si="51"/>
        <v>46113</v>
      </c>
    </row>
    <row r="811" spans="1:4" x14ac:dyDescent="0.25">
      <c r="A811" t="str">
        <f t="shared" si="48"/>
        <v>S810</v>
      </c>
      <c r="B811" t="str">
        <f t="shared" ca="1" si="49"/>
        <v>M064</v>
      </c>
      <c r="C811">
        <f t="shared" ca="1" si="50"/>
        <v>12</v>
      </c>
      <c r="D811" s="1">
        <f t="shared" ca="1" si="51"/>
        <v>46099</v>
      </c>
    </row>
    <row r="812" spans="1:4" x14ac:dyDescent="0.25">
      <c r="A812" t="str">
        <f t="shared" si="48"/>
        <v>S811</v>
      </c>
      <c r="B812" t="str">
        <f t="shared" ca="1" si="49"/>
        <v>M038</v>
      </c>
      <c r="C812">
        <f t="shared" ca="1" si="50"/>
        <v>8</v>
      </c>
      <c r="D812" s="1">
        <f t="shared" ca="1" si="51"/>
        <v>46067</v>
      </c>
    </row>
    <row r="813" spans="1:4" x14ac:dyDescent="0.25">
      <c r="A813" t="str">
        <f t="shared" si="48"/>
        <v>S812</v>
      </c>
      <c r="B813" t="str">
        <f t="shared" ca="1" si="49"/>
        <v>M078</v>
      </c>
      <c r="C813">
        <f t="shared" ca="1" si="50"/>
        <v>10</v>
      </c>
      <c r="D813" s="1">
        <f t="shared" ca="1" si="51"/>
        <v>46069</v>
      </c>
    </row>
    <row r="814" spans="1:4" x14ac:dyDescent="0.25">
      <c r="A814" t="str">
        <f t="shared" si="48"/>
        <v>S813</v>
      </c>
      <c r="B814" t="str">
        <f t="shared" ca="1" si="49"/>
        <v>M097</v>
      </c>
      <c r="C814">
        <f t="shared" ca="1" si="50"/>
        <v>10</v>
      </c>
      <c r="D814" s="1">
        <f t="shared" ca="1" si="51"/>
        <v>46103</v>
      </c>
    </row>
    <row r="815" spans="1:4" x14ac:dyDescent="0.25">
      <c r="A815" t="str">
        <f t="shared" si="48"/>
        <v>S814</v>
      </c>
      <c r="B815" t="str">
        <f t="shared" ca="1" si="49"/>
        <v>M092</v>
      </c>
      <c r="C815">
        <f t="shared" ca="1" si="50"/>
        <v>24</v>
      </c>
      <c r="D815" s="1">
        <f t="shared" ca="1" si="51"/>
        <v>46110</v>
      </c>
    </row>
    <row r="816" spans="1:4" x14ac:dyDescent="0.25">
      <c r="A816" t="str">
        <f t="shared" si="48"/>
        <v>S815</v>
      </c>
      <c r="B816" t="str">
        <f t="shared" ca="1" si="49"/>
        <v>M100</v>
      </c>
      <c r="C816">
        <f t="shared" ca="1" si="50"/>
        <v>21</v>
      </c>
      <c r="D816" s="1">
        <f t="shared" ca="1" si="51"/>
        <v>46037</v>
      </c>
    </row>
    <row r="817" spans="1:4" x14ac:dyDescent="0.25">
      <c r="A817" t="str">
        <f t="shared" si="48"/>
        <v>S816</v>
      </c>
      <c r="B817" t="str">
        <f t="shared" ca="1" si="49"/>
        <v>M061</v>
      </c>
      <c r="C817">
        <f t="shared" ca="1" si="50"/>
        <v>28</v>
      </c>
      <c r="D817" s="1">
        <f t="shared" ca="1" si="51"/>
        <v>46039</v>
      </c>
    </row>
    <row r="818" spans="1:4" x14ac:dyDescent="0.25">
      <c r="A818" t="str">
        <f t="shared" si="48"/>
        <v>S817</v>
      </c>
      <c r="B818" t="str">
        <f t="shared" ca="1" si="49"/>
        <v>M088</v>
      </c>
      <c r="C818">
        <f t="shared" ca="1" si="50"/>
        <v>18</v>
      </c>
      <c r="D818" s="1">
        <f t="shared" ca="1" si="51"/>
        <v>46042</v>
      </c>
    </row>
    <row r="819" spans="1:4" x14ac:dyDescent="0.25">
      <c r="A819" t="str">
        <f t="shared" si="48"/>
        <v>S818</v>
      </c>
      <c r="B819" t="str">
        <f t="shared" ca="1" si="49"/>
        <v>M035</v>
      </c>
      <c r="C819">
        <f t="shared" ca="1" si="50"/>
        <v>27</v>
      </c>
      <c r="D819" s="1">
        <f t="shared" ca="1" si="51"/>
        <v>46078</v>
      </c>
    </row>
    <row r="820" spans="1:4" x14ac:dyDescent="0.25">
      <c r="A820" t="str">
        <f t="shared" si="48"/>
        <v>S819</v>
      </c>
      <c r="B820" t="str">
        <f t="shared" ca="1" si="49"/>
        <v>M057</v>
      </c>
      <c r="C820">
        <f t="shared" ca="1" si="50"/>
        <v>28</v>
      </c>
      <c r="D820" s="1">
        <f t="shared" ca="1" si="51"/>
        <v>46090</v>
      </c>
    </row>
    <row r="821" spans="1:4" x14ac:dyDescent="0.25">
      <c r="A821" t="str">
        <f t="shared" si="48"/>
        <v>S820</v>
      </c>
      <c r="B821" t="str">
        <f t="shared" ca="1" si="49"/>
        <v>M057</v>
      </c>
      <c r="C821">
        <f t="shared" ca="1" si="50"/>
        <v>25</v>
      </c>
      <c r="D821" s="1">
        <f t="shared" ca="1" si="51"/>
        <v>46083</v>
      </c>
    </row>
    <row r="822" spans="1:4" x14ac:dyDescent="0.25">
      <c r="A822" t="str">
        <f t="shared" si="48"/>
        <v>S821</v>
      </c>
      <c r="B822" t="str">
        <f t="shared" ca="1" si="49"/>
        <v>M047</v>
      </c>
      <c r="C822">
        <f t="shared" ca="1" si="50"/>
        <v>5</v>
      </c>
      <c r="D822" s="1">
        <f t="shared" ca="1" si="51"/>
        <v>46034</v>
      </c>
    </row>
    <row r="823" spans="1:4" x14ac:dyDescent="0.25">
      <c r="A823" t="str">
        <f t="shared" si="48"/>
        <v>S822</v>
      </c>
      <c r="B823" t="str">
        <f t="shared" ca="1" si="49"/>
        <v>M050</v>
      </c>
      <c r="C823">
        <f t="shared" ca="1" si="50"/>
        <v>23</v>
      </c>
      <c r="D823" s="1">
        <f t="shared" ca="1" si="51"/>
        <v>46077</v>
      </c>
    </row>
    <row r="824" spans="1:4" x14ac:dyDescent="0.25">
      <c r="A824" t="str">
        <f t="shared" si="48"/>
        <v>S823</v>
      </c>
      <c r="B824" t="str">
        <f t="shared" ca="1" si="49"/>
        <v>M078</v>
      </c>
      <c r="C824">
        <f t="shared" ca="1" si="50"/>
        <v>25</v>
      </c>
      <c r="D824" s="1">
        <f t="shared" ca="1" si="51"/>
        <v>46060</v>
      </c>
    </row>
    <row r="825" spans="1:4" x14ac:dyDescent="0.25">
      <c r="A825" t="str">
        <f t="shared" si="48"/>
        <v>S824</v>
      </c>
      <c r="B825" t="str">
        <f t="shared" ca="1" si="49"/>
        <v>M082</v>
      </c>
      <c r="C825">
        <f t="shared" ca="1" si="50"/>
        <v>18</v>
      </c>
      <c r="D825" s="1">
        <f t="shared" ca="1" si="51"/>
        <v>46063</v>
      </c>
    </row>
    <row r="826" spans="1:4" x14ac:dyDescent="0.25">
      <c r="A826" t="str">
        <f t="shared" si="48"/>
        <v>S825</v>
      </c>
      <c r="B826" t="str">
        <f t="shared" ca="1" si="49"/>
        <v>M002</v>
      </c>
      <c r="C826">
        <f t="shared" ca="1" si="50"/>
        <v>1</v>
      </c>
      <c r="D826" s="1">
        <f t="shared" ca="1" si="51"/>
        <v>46071</v>
      </c>
    </row>
    <row r="827" spans="1:4" x14ac:dyDescent="0.25">
      <c r="A827" t="str">
        <f t="shared" si="48"/>
        <v>S826</v>
      </c>
      <c r="B827" t="str">
        <f t="shared" ca="1" si="49"/>
        <v>M055</v>
      </c>
      <c r="C827">
        <f t="shared" ca="1" si="50"/>
        <v>20</v>
      </c>
      <c r="D827" s="1">
        <f t="shared" ca="1" si="51"/>
        <v>46071</v>
      </c>
    </row>
    <row r="828" spans="1:4" x14ac:dyDescent="0.25">
      <c r="A828" t="str">
        <f t="shared" si="48"/>
        <v>S827</v>
      </c>
      <c r="B828" t="str">
        <f t="shared" ca="1" si="49"/>
        <v>M052</v>
      </c>
      <c r="C828">
        <f t="shared" ca="1" si="50"/>
        <v>25</v>
      </c>
      <c r="D828" s="1">
        <f t="shared" ca="1" si="51"/>
        <v>46073</v>
      </c>
    </row>
    <row r="829" spans="1:4" x14ac:dyDescent="0.25">
      <c r="A829" t="str">
        <f t="shared" si="48"/>
        <v>S828</v>
      </c>
      <c r="B829" t="str">
        <f t="shared" ca="1" si="49"/>
        <v>M065</v>
      </c>
      <c r="C829">
        <f t="shared" ca="1" si="50"/>
        <v>19</v>
      </c>
      <c r="D829" s="1">
        <f t="shared" ca="1" si="51"/>
        <v>46046</v>
      </c>
    </row>
    <row r="830" spans="1:4" x14ac:dyDescent="0.25">
      <c r="A830" t="str">
        <f t="shared" si="48"/>
        <v>S829</v>
      </c>
      <c r="B830" t="str">
        <f t="shared" ca="1" si="49"/>
        <v>M048</v>
      </c>
      <c r="C830">
        <f t="shared" ca="1" si="50"/>
        <v>17</v>
      </c>
      <c r="D830" s="1">
        <f t="shared" ca="1" si="51"/>
        <v>46067</v>
      </c>
    </row>
    <row r="831" spans="1:4" x14ac:dyDescent="0.25">
      <c r="A831" t="str">
        <f t="shared" si="48"/>
        <v>S830</v>
      </c>
      <c r="B831" t="str">
        <f t="shared" ca="1" si="49"/>
        <v>M044</v>
      </c>
      <c r="C831">
        <f t="shared" ca="1" si="50"/>
        <v>12</v>
      </c>
      <c r="D831" s="1">
        <f t="shared" ca="1" si="51"/>
        <v>46086</v>
      </c>
    </row>
    <row r="832" spans="1:4" x14ac:dyDescent="0.25">
      <c r="A832" t="str">
        <f t="shared" si="48"/>
        <v>S831</v>
      </c>
      <c r="B832" t="str">
        <f t="shared" ca="1" si="49"/>
        <v>M028</v>
      </c>
      <c r="C832">
        <f t="shared" ca="1" si="50"/>
        <v>9</v>
      </c>
      <c r="D832" s="1">
        <f t="shared" ca="1" si="51"/>
        <v>46073</v>
      </c>
    </row>
    <row r="833" spans="1:4" x14ac:dyDescent="0.25">
      <c r="A833" t="str">
        <f t="shared" si="48"/>
        <v>S832</v>
      </c>
      <c r="B833" t="str">
        <f t="shared" ca="1" si="49"/>
        <v>M037</v>
      </c>
      <c r="C833">
        <f t="shared" ca="1" si="50"/>
        <v>30</v>
      </c>
      <c r="D833" s="1">
        <f t="shared" ca="1" si="51"/>
        <v>46100</v>
      </c>
    </row>
    <row r="834" spans="1:4" x14ac:dyDescent="0.25">
      <c r="A834" t="str">
        <f t="shared" si="48"/>
        <v>S833</v>
      </c>
      <c r="B834" t="str">
        <f t="shared" ca="1" si="49"/>
        <v>M066</v>
      </c>
      <c r="C834">
        <f t="shared" ca="1" si="50"/>
        <v>20</v>
      </c>
      <c r="D834" s="1">
        <f t="shared" ca="1" si="51"/>
        <v>46067</v>
      </c>
    </row>
    <row r="835" spans="1:4" x14ac:dyDescent="0.25">
      <c r="A835" t="str">
        <f t="shared" ref="A835:A898" si="52">"S"&amp;TEXT(ROW(A834),"000")</f>
        <v>S834</v>
      </c>
      <c r="B835" t="str">
        <f t="shared" ref="B835:B898" ca="1" si="53">"M"&amp;TEXT(RANDBETWEEN(1,100),"000")</f>
        <v>M052</v>
      </c>
      <c r="C835">
        <f t="shared" ref="C835:C898" ca="1" si="54">RANDBETWEEN(1,30)</f>
        <v>19</v>
      </c>
      <c r="D835" s="1">
        <f t="shared" ref="D835:D898" ca="1" si="55">TODAY()-RANDBETWEEN(1,90)</f>
        <v>46076</v>
      </c>
    </row>
    <row r="836" spans="1:4" x14ac:dyDescent="0.25">
      <c r="A836" t="str">
        <f t="shared" si="52"/>
        <v>S835</v>
      </c>
      <c r="B836" t="str">
        <f t="shared" ca="1" si="53"/>
        <v>M062</v>
      </c>
      <c r="C836">
        <f t="shared" ca="1" si="54"/>
        <v>22</v>
      </c>
      <c r="D836" s="1">
        <f t="shared" ca="1" si="55"/>
        <v>46097</v>
      </c>
    </row>
    <row r="837" spans="1:4" x14ac:dyDescent="0.25">
      <c r="A837" t="str">
        <f t="shared" si="52"/>
        <v>S836</v>
      </c>
      <c r="B837" t="str">
        <f t="shared" ca="1" si="53"/>
        <v>M058</v>
      </c>
      <c r="C837">
        <f t="shared" ca="1" si="54"/>
        <v>20</v>
      </c>
      <c r="D837" s="1">
        <f t="shared" ca="1" si="55"/>
        <v>46052</v>
      </c>
    </row>
    <row r="838" spans="1:4" x14ac:dyDescent="0.25">
      <c r="A838" t="str">
        <f t="shared" si="52"/>
        <v>S837</v>
      </c>
      <c r="B838" t="str">
        <f t="shared" ca="1" si="53"/>
        <v>M055</v>
      </c>
      <c r="C838">
        <f t="shared" ca="1" si="54"/>
        <v>26</v>
      </c>
      <c r="D838" s="1">
        <f t="shared" ca="1" si="55"/>
        <v>46081</v>
      </c>
    </row>
    <row r="839" spans="1:4" x14ac:dyDescent="0.25">
      <c r="A839" t="str">
        <f t="shared" si="52"/>
        <v>S838</v>
      </c>
      <c r="B839" t="str">
        <f t="shared" ca="1" si="53"/>
        <v>M043</v>
      </c>
      <c r="C839">
        <f t="shared" ca="1" si="54"/>
        <v>7</v>
      </c>
      <c r="D839" s="1">
        <f t="shared" ca="1" si="55"/>
        <v>46032</v>
      </c>
    </row>
    <row r="840" spans="1:4" x14ac:dyDescent="0.25">
      <c r="A840" t="str">
        <f t="shared" si="52"/>
        <v>S839</v>
      </c>
      <c r="B840" t="str">
        <f t="shared" ca="1" si="53"/>
        <v>M016</v>
      </c>
      <c r="C840">
        <f t="shared" ca="1" si="54"/>
        <v>18</v>
      </c>
      <c r="D840" s="1">
        <f t="shared" ca="1" si="55"/>
        <v>46081</v>
      </c>
    </row>
    <row r="841" spans="1:4" x14ac:dyDescent="0.25">
      <c r="A841" t="str">
        <f t="shared" si="52"/>
        <v>S840</v>
      </c>
      <c r="B841" t="str">
        <f t="shared" ca="1" si="53"/>
        <v>M051</v>
      </c>
      <c r="C841">
        <f t="shared" ca="1" si="54"/>
        <v>28</v>
      </c>
      <c r="D841" s="1">
        <f t="shared" ca="1" si="55"/>
        <v>46090</v>
      </c>
    </row>
    <row r="842" spans="1:4" x14ac:dyDescent="0.25">
      <c r="A842" t="str">
        <f t="shared" si="52"/>
        <v>S841</v>
      </c>
      <c r="B842" t="str">
        <f t="shared" ca="1" si="53"/>
        <v>M014</v>
      </c>
      <c r="C842">
        <f t="shared" ca="1" si="54"/>
        <v>17</v>
      </c>
      <c r="D842" s="1">
        <f t="shared" ca="1" si="55"/>
        <v>46078</v>
      </c>
    </row>
    <row r="843" spans="1:4" x14ac:dyDescent="0.25">
      <c r="A843" t="str">
        <f t="shared" si="52"/>
        <v>S842</v>
      </c>
      <c r="B843" t="str">
        <f t="shared" ca="1" si="53"/>
        <v>M056</v>
      </c>
      <c r="C843">
        <f t="shared" ca="1" si="54"/>
        <v>3</v>
      </c>
      <c r="D843" s="1">
        <f t="shared" ca="1" si="55"/>
        <v>46088</v>
      </c>
    </row>
    <row r="844" spans="1:4" x14ac:dyDescent="0.25">
      <c r="A844" t="str">
        <f t="shared" si="52"/>
        <v>S843</v>
      </c>
      <c r="B844" t="str">
        <f t="shared" ca="1" si="53"/>
        <v>M092</v>
      </c>
      <c r="C844">
        <f t="shared" ca="1" si="54"/>
        <v>26</v>
      </c>
      <c r="D844" s="1">
        <f t="shared" ca="1" si="55"/>
        <v>46095</v>
      </c>
    </row>
    <row r="845" spans="1:4" x14ac:dyDescent="0.25">
      <c r="A845" t="str">
        <f t="shared" si="52"/>
        <v>S844</v>
      </c>
      <c r="B845" t="str">
        <f t="shared" ca="1" si="53"/>
        <v>M088</v>
      </c>
      <c r="C845">
        <f t="shared" ca="1" si="54"/>
        <v>22</v>
      </c>
      <c r="D845" s="1">
        <f t="shared" ca="1" si="55"/>
        <v>46047</v>
      </c>
    </row>
    <row r="846" spans="1:4" x14ac:dyDescent="0.25">
      <c r="A846" t="str">
        <f t="shared" si="52"/>
        <v>S845</v>
      </c>
      <c r="B846" t="str">
        <f t="shared" ca="1" si="53"/>
        <v>M005</v>
      </c>
      <c r="C846">
        <f t="shared" ca="1" si="54"/>
        <v>11</v>
      </c>
      <c r="D846" s="1">
        <f t="shared" ca="1" si="55"/>
        <v>46090</v>
      </c>
    </row>
    <row r="847" spans="1:4" x14ac:dyDescent="0.25">
      <c r="A847" t="str">
        <f t="shared" si="52"/>
        <v>S846</v>
      </c>
      <c r="B847" t="str">
        <f t="shared" ca="1" si="53"/>
        <v>M047</v>
      </c>
      <c r="C847">
        <f t="shared" ca="1" si="54"/>
        <v>28</v>
      </c>
      <c r="D847" s="1">
        <f t="shared" ca="1" si="55"/>
        <v>46097</v>
      </c>
    </row>
    <row r="848" spans="1:4" x14ac:dyDescent="0.25">
      <c r="A848" t="str">
        <f t="shared" si="52"/>
        <v>S847</v>
      </c>
      <c r="B848" t="str">
        <f t="shared" ca="1" si="53"/>
        <v>M027</v>
      </c>
      <c r="C848">
        <f t="shared" ca="1" si="54"/>
        <v>9</v>
      </c>
      <c r="D848" s="1">
        <f t="shared" ca="1" si="55"/>
        <v>46110</v>
      </c>
    </row>
    <row r="849" spans="1:4" x14ac:dyDescent="0.25">
      <c r="A849" t="str">
        <f t="shared" si="52"/>
        <v>S848</v>
      </c>
      <c r="B849" t="str">
        <f t="shared" ca="1" si="53"/>
        <v>M006</v>
      </c>
      <c r="C849">
        <f t="shared" ca="1" si="54"/>
        <v>17</v>
      </c>
      <c r="D849" s="1">
        <f t="shared" ca="1" si="55"/>
        <v>46080</v>
      </c>
    </row>
    <row r="850" spans="1:4" x14ac:dyDescent="0.25">
      <c r="A850" t="str">
        <f t="shared" si="52"/>
        <v>S849</v>
      </c>
      <c r="B850" t="str">
        <f t="shared" ca="1" si="53"/>
        <v>M017</v>
      </c>
      <c r="C850">
        <f t="shared" ca="1" si="54"/>
        <v>19</v>
      </c>
      <c r="D850" s="1">
        <f t="shared" ca="1" si="55"/>
        <v>46038</v>
      </c>
    </row>
    <row r="851" spans="1:4" x14ac:dyDescent="0.25">
      <c r="A851" t="str">
        <f t="shared" si="52"/>
        <v>S850</v>
      </c>
      <c r="B851" t="str">
        <f t="shared" ca="1" si="53"/>
        <v>M024</v>
      </c>
      <c r="C851">
        <f t="shared" ca="1" si="54"/>
        <v>20</v>
      </c>
      <c r="D851" s="1">
        <f t="shared" ca="1" si="55"/>
        <v>46046</v>
      </c>
    </row>
    <row r="852" spans="1:4" x14ac:dyDescent="0.25">
      <c r="A852" t="str">
        <f t="shared" si="52"/>
        <v>S851</v>
      </c>
      <c r="B852" t="str">
        <f t="shared" ca="1" si="53"/>
        <v>M001</v>
      </c>
      <c r="C852">
        <f t="shared" ca="1" si="54"/>
        <v>20</v>
      </c>
      <c r="D852" s="1">
        <f t="shared" ca="1" si="55"/>
        <v>46031</v>
      </c>
    </row>
    <row r="853" spans="1:4" x14ac:dyDescent="0.25">
      <c r="A853" t="str">
        <f t="shared" si="52"/>
        <v>S852</v>
      </c>
      <c r="B853" t="str">
        <f t="shared" ca="1" si="53"/>
        <v>M073</v>
      </c>
      <c r="C853">
        <f t="shared" ca="1" si="54"/>
        <v>7</v>
      </c>
      <c r="D853" s="1">
        <f t="shared" ca="1" si="55"/>
        <v>46070</v>
      </c>
    </row>
    <row r="854" spans="1:4" x14ac:dyDescent="0.25">
      <c r="A854" t="str">
        <f t="shared" si="52"/>
        <v>S853</v>
      </c>
      <c r="B854" t="str">
        <f t="shared" ca="1" si="53"/>
        <v>M062</v>
      </c>
      <c r="C854">
        <f t="shared" ca="1" si="54"/>
        <v>9</v>
      </c>
      <c r="D854" s="1">
        <f t="shared" ca="1" si="55"/>
        <v>46047</v>
      </c>
    </row>
    <row r="855" spans="1:4" x14ac:dyDescent="0.25">
      <c r="A855" t="str">
        <f t="shared" si="52"/>
        <v>S854</v>
      </c>
      <c r="B855" t="str">
        <f t="shared" ca="1" si="53"/>
        <v>M092</v>
      </c>
      <c r="C855">
        <f t="shared" ca="1" si="54"/>
        <v>30</v>
      </c>
      <c r="D855" s="1">
        <f t="shared" ca="1" si="55"/>
        <v>46067</v>
      </c>
    </row>
    <row r="856" spans="1:4" x14ac:dyDescent="0.25">
      <c r="A856" t="str">
        <f t="shared" si="52"/>
        <v>S855</v>
      </c>
      <c r="B856" t="str">
        <f t="shared" ca="1" si="53"/>
        <v>M026</v>
      </c>
      <c r="C856">
        <f t="shared" ca="1" si="54"/>
        <v>10</v>
      </c>
      <c r="D856" s="1">
        <f t="shared" ca="1" si="55"/>
        <v>46115</v>
      </c>
    </row>
    <row r="857" spans="1:4" x14ac:dyDescent="0.25">
      <c r="A857" t="str">
        <f t="shared" si="52"/>
        <v>S856</v>
      </c>
      <c r="B857" t="str">
        <f t="shared" ca="1" si="53"/>
        <v>M010</v>
      </c>
      <c r="C857">
        <f t="shared" ca="1" si="54"/>
        <v>17</v>
      </c>
      <c r="D857" s="1">
        <f t="shared" ca="1" si="55"/>
        <v>46116</v>
      </c>
    </row>
    <row r="858" spans="1:4" x14ac:dyDescent="0.25">
      <c r="A858" t="str">
        <f t="shared" si="52"/>
        <v>S857</v>
      </c>
      <c r="B858" t="str">
        <f t="shared" ca="1" si="53"/>
        <v>M020</v>
      </c>
      <c r="C858">
        <f t="shared" ca="1" si="54"/>
        <v>20</v>
      </c>
      <c r="D858" s="1">
        <f t="shared" ca="1" si="55"/>
        <v>46062</v>
      </c>
    </row>
    <row r="859" spans="1:4" x14ac:dyDescent="0.25">
      <c r="A859" t="str">
        <f t="shared" si="52"/>
        <v>S858</v>
      </c>
      <c r="B859" t="str">
        <f t="shared" ca="1" si="53"/>
        <v>M092</v>
      </c>
      <c r="C859">
        <f t="shared" ca="1" si="54"/>
        <v>24</v>
      </c>
      <c r="D859" s="1">
        <f t="shared" ca="1" si="55"/>
        <v>46046</v>
      </c>
    </row>
    <row r="860" spans="1:4" x14ac:dyDescent="0.25">
      <c r="A860" t="str">
        <f t="shared" si="52"/>
        <v>S859</v>
      </c>
      <c r="B860" t="str">
        <f t="shared" ca="1" si="53"/>
        <v>M011</v>
      </c>
      <c r="C860">
        <f t="shared" ca="1" si="54"/>
        <v>18</v>
      </c>
      <c r="D860" s="1">
        <f t="shared" ca="1" si="55"/>
        <v>46034</v>
      </c>
    </row>
    <row r="861" spans="1:4" x14ac:dyDescent="0.25">
      <c r="A861" t="str">
        <f t="shared" si="52"/>
        <v>S860</v>
      </c>
      <c r="B861" t="str">
        <f t="shared" ca="1" si="53"/>
        <v>M043</v>
      </c>
      <c r="C861">
        <f t="shared" ca="1" si="54"/>
        <v>4</v>
      </c>
      <c r="D861" s="1">
        <f t="shared" ca="1" si="55"/>
        <v>46034</v>
      </c>
    </row>
    <row r="862" spans="1:4" x14ac:dyDescent="0.25">
      <c r="A862" t="str">
        <f t="shared" si="52"/>
        <v>S861</v>
      </c>
      <c r="B862" t="str">
        <f t="shared" ca="1" si="53"/>
        <v>M002</v>
      </c>
      <c r="C862">
        <f t="shared" ca="1" si="54"/>
        <v>16</v>
      </c>
      <c r="D862" s="1">
        <f t="shared" ca="1" si="55"/>
        <v>46095</v>
      </c>
    </row>
    <row r="863" spans="1:4" x14ac:dyDescent="0.25">
      <c r="A863" t="str">
        <f t="shared" si="52"/>
        <v>S862</v>
      </c>
      <c r="B863" t="str">
        <f t="shared" ca="1" si="53"/>
        <v>M020</v>
      </c>
      <c r="C863">
        <f t="shared" ca="1" si="54"/>
        <v>28</v>
      </c>
      <c r="D863" s="1">
        <f t="shared" ca="1" si="55"/>
        <v>46101</v>
      </c>
    </row>
    <row r="864" spans="1:4" x14ac:dyDescent="0.25">
      <c r="A864" t="str">
        <f t="shared" si="52"/>
        <v>S863</v>
      </c>
      <c r="B864" t="str">
        <f t="shared" ca="1" si="53"/>
        <v>M083</v>
      </c>
      <c r="C864">
        <f t="shared" ca="1" si="54"/>
        <v>28</v>
      </c>
      <c r="D864" s="1">
        <f t="shared" ca="1" si="55"/>
        <v>46055</v>
      </c>
    </row>
    <row r="865" spans="1:4" x14ac:dyDescent="0.25">
      <c r="A865" t="str">
        <f t="shared" si="52"/>
        <v>S864</v>
      </c>
      <c r="B865" t="str">
        <f t="shared" ca="1" si="53"/>
        <v>M086</v>
      </c>
      <c r="C865">
        <f t="shared" ca="1" si="54"/>
        <v>16</v>
      </c>
      <c r="D865" s="1">
        <f t="shared" ca="1" si="55"/>
        <v>46112</v>
      </c>
    </row>
    <row r="866" spans="1:4" x14ac:dyDescent="0.25">
      <c r="A866" t="str">
        <f t="shared" si="52"/>
        <v>S865</v>
      </c>
      <c r="B866" t="str">
        <f t="shared" ca="1" si="53"/>
        <v>M024</v>
      </c>
      <c r="C866">
        <f t="shared" ca="1" si="54"/>
        <v>24</v>
      </c>
      <c r="D866" s="1">
        <f t="shared" ca="1" si="55"/>
        <v>46049</v>
      </c>
    </row>
    <row r="867" spans="1:4" x14ac:dyDescent="0.25">
      <c r="A867" t="str">
        <f t="shared" si="52"/>
        <v>S866</v>
      </c>
      <c r="B867" t="str">
        <f t="shared" ca="1" si="53"/>
        <v>M092</v>
      </c>
      <c r="C867">
        <f t="shared" ca="1" si="54"/>
        <v>13</v>
      </c>
      <c r="D867" s="1">
        <f t="shared" ca="1" si="55"/>
        <v>46113</v>
      </c>
    </row>
    <row r="868" spans="1:4" x14ac:dyDescent="0.25">
      <c r="A868" t="str">
        <f t="shared" si="52"/>
        <v>S867</v>
      </c>
      <c r="B868" t="str">
        <f t="shared" ca="1" si="53"/>
        <v>M074</v>
      </c>
      <c r="C868">
        <f t="shared" ca="1" si="54"/>
        <v>4</v>
      </c>
      <c r="D868" s="1">
        <f t="shared" ca="1" si="55"/>
        <v>46068</v>
      </c>
    </row>
    <row r="869" spans="1:4" x14ac:dyDescent="0.25">
      <c r="A869" t="str">
        <f t="shared" si="52"/>
        <v>S868</v>
      </c>
      <c r="B869" t="str">
        <f t="shared" ca="1" si="53"/>
        <v>M092</v>
      </c>
      <c r="C869">
        <f t="shared" ca="1" si="54"/>
        <v>7</v>
      </c>
      <c r="D869" s="1">
        <f t="shared" ca="1" si="55"/>
        <v>46047</v>
      </c>
    </row>
    <row r="870" spans="1:4" x14ac:dyDescent="0.25">
      <c r="A870" t="str">
        <f t="shared" si="52"/>
        <v>S869</v>
      </c>
      <c r="B870" t="str">
        <f t="shared" ca="1" si="53"/>
        <v>M087</v>
      </c>
      <c r="C870">
        <f t="shared" ca="1" si="54"/>
        <v>7</v>
      </c>
      <c r="D870" s="1">
        <f t="shared" ca="1" si="55"/>
        <v>46080</v>
      </c>
    </row>
    <row r="871" spans="1:4" x14ac:dyDescent="0.25">
      <c r="A871" t="str">
        <f t="shared" si="52"/>
        <v>S870</v>
      </c>
      <c r="B871" t="str">
        <f t="shared" ca="1" si="53"/>
        <v>M022</v>
      </c>
      <c r="C871">
        <f t="shared" ca="1" si="54"/>
        <v>19</v>
      </c>
      <c r="D871" s="1">
        <f t="shared" ca="1" si="55"/>
        <v>46094</v>
      </c>
    </row>
    <row r="872" spans="1:4" x14ac:dyDescent="0.25">
      <c r="A872" t="str">
        <f t="shared" si="52"/>
        <v>S871</v>
      </c>
      <c r="B872" t="str">
        <f t="shared" ca="1" si="53"/>
        <v>M033</v>
      </c>
      <c r="C872">
        <f t="shared" ca="1" si="54"/>
        <v>21</v>
      </c>
      <c r="D872" s="1">
        <f t="shared" ca="1" si="55"/>
        <v>46102</v>
      </c>
    </row>
    <row r="873" spans="1:4" x14ac:dyDescent="0.25">
      <c r="A873" t="str">
        <f t="shared" si="52"/>
        <v>S872</v>
      </c>
      <c r="B873" t="str">
        <f t="shared" ca="1" si="53"/>
        <v>M065</v>
      </c>
      <c r="C873">
        <f t="shared" ca="1" si="54"/>
        <v>22</v>
      </c>
      <c r="D873" s="1">
        <f t="shared" ca="1" si="55"/>
        <v>46093</v>
      </c>
    </row>
    <row r="874" spans="1:4" x14ac:dyDescent="0.25">
      <c r="A874" t="str">
        <f t="shared" si="52"/>
        <v>S873</v>
      </c>
      <c r="B874" t="str">
        <f t="shared" ca="1" si="53"/>
        <v>M072</v>
      </c>
      <c r="C874">
        <f t="shared" ca="1" si="54"/>
        <v>12</v>
      </c>
      <c r="D874" s="1">
        <f t="shared" ca="1" si="55"/>
        <v>46095</v>
      </c>
    </row>
    <row r="875" spans="1:4" x14ac:dyDescent="0.25">
      <c r="A875" t="str">
        <f t="shared" si="52"/>
        <v>S874</v>
      </c>
      <c r="B875" t="str">
        <f t="shared" ca="1" si="53"/>
        <v>M098</v>
      </c>
      <c r="C875">
        <f t="shared" ca="1" si="54"/>
        <v>1</v>
      </c>
      <c r="D875" s="1">
        <f t="shared" ca="1" si="55"/>
        <v>46099</v>
      </c>
    </row>
    <row r="876" spans="1:4" x14ac:dyDescent="0.25">
      <c r="A876" t="str">
        <f t="shared" si="52"/>
        <v>S875</v>
      </c>
      <c r="B876" t="str">
        <f t="shared" ca="1" si="53"/>
        <v>M054</v>
      </c>
      <c r="C876">
        <f t="shared" ca="1" si="54"/>
        <v>27</v>
      </c>
      <c r="D876" s="1">
        <f t="shared" ca="1" si="55"/>
        <v>46098</v>
      </c>
    </row>
    <row r="877" spans="1:4" x14ac:dyDescent="0.25">
      <c r="A877" t="str">
        <f t="shared" si="52"/>
        <v>S876</v>
      </c>
      <c r="B877" t="str">
        <f t="shared" ca="1" si="53"/>
        <v>M033</v>
      </c>
      <c r="C877">
        <f t="shared" ca="1" si="54"/>
        <v>10</v>
      </c>
      <c r="D877" s="1">
        <f t="shared" ca="1" si="55"/>
        <v>46105</v>
      </c>
    </row>
    <row r="878" spans="1:4" x14ac:dyDescent="0.25">
      <c r="A878" t="str">
        <f t="shared" si="52"/>
        <v>S877</v>
      </c>
      <c r="B878" t="str">
        <f t="shared" ca="1" si="53"/>
        <v>M051</v>
      </c>
      <c r="C878">
        <f t="shared" ca="1" si="54"/>
        <v>22</v>
      </c>
      <c r="D878" s="1">
        <f t="shared" ca="1" si="55"/>
        <v>46068</v>
      </c>
    </row>
    <row r="879" spans="1:4" x14ac:dyDescent="0.25">
      <c r="A879" t="str">
        <f t="shared" si="52"/>
        <v>S878</v>
      </c>
      <c r="B879" t="str">
        <f t="shared" ca="1" si="53"/>
        <v>M023</v>
      </c>
      <c r="C879">
        <f t="shared" ca="1" si="54"/>
        <v>5</v>
      </c>
      <c r="D879" s="1">
        <f t="shared" ca="1" si="55"/>
        <v>46070</v>
      </c>
    </row>
    <row r="880" spans="1:4" x14ac:dyDescent="0.25">
      <c r="A880" t="str">
        <f t="shared" si="52"/>
        <v>S879</v>
      </c>
      <c r="B880" t="str">
        <f t="shared" ca="1" si="53"/>
        <v>M080</v>
      </c>
      <c r="C880">
        <f t="shared" ca="1" si="54"/>
        <v>15</v>
      </c>
      <c r="D880" s="1">
        <f t="shared" ca="1" si="55"/>
        <v>46054</v>
      </c>
    </row>
    <row r="881" spans="1:4" x14ac:dyDescent="0.25">
      <c r="A881" t="str">
        <f t="shared" si="52"/>
        <v>S880</v>
      </c>
      <c r="B881" t="str">
        <f t="shared" ca="1" si="53"/>
        <v>M058</v>
      </c>
      <c r="C881">
        <f t="shared" ca="1" si="54"/>
        <v>3</v>
      </c>
      <c r="D881" s="1">
        <f t="shared" ca="1" si="55"/>
        <v>46087</v>
      </c>
    </row>
    <row r="882" spans="1:4" x14ac:dyDescent="0.25">
      <c r="A882" t="str">
        <f t="shared" si="52"/>
        <v>S881</v>
      </c>
      <c r="B882" t="str">
        <f t="shared" ca="1" si="53"/>
        <v>M033</v>
      </c>
      <c r="C882">
        <f t="shared" ca="1" si="54"/>
        <v>4</v>
      </c>
      <c r="D882" s="1">
        <f t="shared" ca="1" si="55"/>
        <v>46109</v>
      </c>
    </row>
    <row r="883" spans="1:4" x14ac:dyDescent="0.25">
      <c r="A883" t="str">
        <f t="shared" si="52"/>
        <v>S882</v>
      </c>
      <c r="B883" t="str">
        <f t="shared" ca="1" si="53"/>
        <v>M079</v>
      </c>
      <c r="C883">
        <f t="shared" ca="1" si="54"/>
        <v>26</v>
      </c>
      <c r="D883" s="1">
        <f t="shared" ca="1" si="55"/>
        <v>46039</v>
      </c>
    </row>
    <row r="884" spans="1:4" x14ac:dyDescent="0.25">
      <c r="A884" t="str">
        <f t="shared" si="52"/>
        <v>S883</v>
      </c>
      <c r="B884" t="str">
        <f t="shared" ca="1" si="53"/>
        <v>M054</v>
      </c>
      <c r="C884">
        <f t="shared" ca="1" si="54"/>
        <v>23</v>
      </c>
      <c r="D884" s="1">
        <f t="shared" ca="1" si="55"/>
        <v>46030</v>
      </c>
    </row>
    <row r="885" spans="1:4" x14ac:dyDescent="0.25">
      <c r="A885" t="str">
        <f t="shared" si="52"/>
        <v>S884</v>
      </c>
      <c r="B885" t="str">
        <f t="shared" ca="1" si="53"/>
        <v>M039</v>
      </c>
      <c r="C885">
        <f t="shared" ca="1" si="54"/>
        <v>18</v>
      </c>
      <c r="D885" s="1">
        <f t="shared" ca="1" si="55"/>
        <v>46036</v>
      </c>
    </row>
    <row r="886" spans="1:4" x14ac:dyDescent="0.25">
      <c r="A886" t="str">
        <f t="shared" si="52"/>
        <v>S885</v>
      </c>
      <c r="B886" t="str">
        <f t="shared" ca="1" si="53"/>
        <v>M038</v>
      </c>
      <c r="C886">
        <f t="shared" ca="1" si="54"/>
        <v>18</v>
      </c>
      <c r="D886" s="1">
        <f t="shared" ca="1" si="55"/>
        <v>46063</v>
      </c>
    </row>
    <row r="887" spans="1:4" x14ac:dyDescent="0.25">
      <c r="A887" t="str">
        <f t="shared" si="52"/>
        <v>S886</v>
      </c>
      <c r="B887" t="str">
        <f t="shared" ca="1" si="53"/>
        <v>M056</v>
      </c>
      <c r="C887">
        <f t="shared" ca="1" si="54"/>
        <v>27</v>
      </c>
      <c r="D887" s="1">
        <f t="shared" ca="1" si="55"/>
        <v>46050</v>
      </c>
    </row>
    <row r="888" spans="1:4" x14ac:dyDescent="0.25">
      <c r="A888" t="str">
        <f t="shared" si="52"/>
        <v>S887</v>
      </c>
      <c r="B888" t="str">
        <f t="shared" ca="1" si="53"/>
        <v>M090</v>
      </c>
      <c r="C888">
        <f t="shared" ca="1" si="54"/>
        <v>12</v>
      </c>
      <c r="D888" s="1">
        <f t="shared" ca="1" si="55"/>
        <v>46089</v>
      </c>
    </row>
    <row r="889" spans="1:4" x14ac:dyDescent="0.25">
      <c r="A889" t="str">
        <f t="shared" si="52"/>
        <v>S888</v>
      </c>
      <c r="B889" t="str">
        <f t="shared" ca="1" si="53"/>
        <v>M066</v>
      </c>
      <c r="C889">
        <f t="shared" ca="1" si="54"/>
        <v>1</v>
      </c>
      <c r="D889" s="1">
        <f t="shared" ca="1" si="55"/>
        <v>46040</v>
      </c>
    </row>
    <row r="890" spans="1:4" x14ac:dyDescent="0.25">
      <c r="A890" t="str">
        <f t="shared" si="52"/>
        <v>S889</v>
      </c>
      <c r="B890" t="str">
        <f t="shared" ca="1" si="53"/>
        <v>M020</v>
      </c>
      <c r="C890">
        <f t="shared" ca="1" si="54"/>
        <v>15</v>
      </c>
      <c r="D890" s="1">
        <f t="shared" ca="1" si="55"/>
        <v>46097</v>
      </c>
    </row>
    <row r="891" spans="1:4" x14ac:dyDescent="0.25">
      <c r="A891" t="str">
        <f t="shared" si="52"/>
        <v>S890</v>
      </c>
      <c r="B891" t="str">
        <f t="shared" ca="1" si="53"/>
        <v>M024</v>
      </c>
      <c r="C891">
        <f t="shared" ca="1" si="54"/>
        <v>11</v>
      </c>
      <c r="D891" s="1">
        <f t="shared" ca="1" si="55"/>
        <v>46103</v>
      </c>
    </row>
    <row r="892" spans="1:4" x14ac:dyDescent="0.25">
      <c r="A892" t="str">
        <f t="shared" si="52"/>
        <v>S891</v>
      </c>
      <c r="B892" t="str">
        <f t="shared" ca="1" si="53"/>
        <v>M065</v>
      </c>
      <c r="C892">
        <f t="shared" ca="1" si="54"/>
        <v>22</v>
      </c>
      <c r="D892" s="1">
        <f t="shared" ca="1" si="55"/>
        <v>46075</v>
      </c>
    </row>
    <row r="893" spans="1:4" x14ac:dyDescent="0.25">
      <c r="A893" t="str">
        <f t="shared" si="52"/>
        <v>S892</v>
      </c>
      <c r="B893" t="str">
        <f t="shared" ca="1" si="53"/>
        <v>M074</v>
      </c>
      <c r="C893">
        <f t="shared" ca="1" si="54"/>
        <v>9</v>
      </c>
      <c r="D893" s="1">
        <f t="shared" ca="1" si="55"/>
        <v>46065</v>
      </c>
    </row>
    <row r="894" spans="1:4" x14ac:dyDescent="0.25">
      <c r="A894" t="str">
        <f t="shared" si="52"/>
        <v>S893</v>
      </c>
      <c r="B894" t="str">
        <f t="shared" ca="1" si="53"/>
        <v>M041</v>
      </c>
      <c r="C894">
        <f t="shared" ca="1" si="54"/>
        <v>29</v>
      </c>
      <c r="D894" s="1">
        <f t="shared" ca="1" si="55"/>
        <v>46065</v>
      </c>
    </row>
    <row r="895" spans="1:4" x14ac:dyDescent="0.25">
      <c r="A895" t="str">
        <f t="shared" si="52"/>
        <v>S894</v>
      </c>
      <c r="B895" t="str">
        <f t="shared" ca="1" si="53"/>
        <v>M045</v>
      </c>
      <c r="C895">
        <f t="shared" ca="1" si="54"/>
        <v>22</v>
      </c>
      <c r="D895" s="1">
        <f t="shared" ca="1" si="55"/>
        <v>46072</v>
      </c>
    </row>
    <row r="896" spans="1:4" x14ac:dyDescent="0.25">
      <c r="A896" t="str">
        <f t="shared" si="52"/>
        <v>S895</v>
      </c>
      <c r="B896" t="str">
        <f t="shared" ca="1" si="53"/>
        <v>M058</v>
      </c>
      <c r="C896">
        <f t="shared" ca="1" si="54"/>
        <v>14</v>
      </c>
      <c r="D896" s="1">
        <f t="shared" ca="1" si="55"/>
        <v>46097</v>
      </c>
    </row>
    <row r="897" spans="1:4" x14ac:dyDescent="0.25">
      <c r="A897" t="str">
        <f t="shared" si="52"/>
        <v>S896</v>
      </c>
      <c r="B897" t="str">
        <f t="shared" ca="1" si="53"/>
        <v>M027</v>
      </c>
      <c r="C897">
        <f t="shared" ca="1" si="54"/>
        <v>5</v>
      </c>
      <c r="D897" s="1">
        <f t="shared" ca="1" si="55"/>
        <v>46052</v>
      </c>
    </row>
    <row r="898" spans="1:4" x14ac:dyDescent="0.25">
      <c r="A898" t="str">
        <f t="shared" si="52"/>
        <v>S897</v>
      </c>
      <c r="B898" t="str">
        <f t="shared" ca="1" si="53"/>
        <v>M085</v>
      </c>
      <c r="C898">
        <f t="shared" ca="1" si="54"/>
        <v>22</v>
      </c>
      <c r="D898" s="1">
        <f t="shared" ca="1" si="55"/>
        <v>46070</v>
      </c>
    </row>
    <row r="899" spans="1:4" x14ac:dyDescent="0.25">
      <c r="A899" t="str">
        <f t="shared" ref="A899:A962" si="56">"S"&amp;TEXT(ROW(A898),"000")</f>
        <v>S898</v>
      </c>
      <c r="B899" t="str">
        <f t="shared" ref="B899:B962" ca="1" si="57">"M"&amp;TEXT(RANDBETWEEN(1,100),"000")</f>
        <v>M002</v>
      </c>
      <c r="C899">
        <f t="shared" ref="C899:C962" ca="1" si="58">RANDBETWEEN(1,30)</f>
        <v>22</v>
      </c>
      <c r="D899" s="1">
        <f t="shared" ref="D899:D962" ca="1" si="59">TODAY()-RANDBETWEEN(1,90)</f>
        <v>46079</v>
      </c>
    </row>
    <row r="900" spans="1:4" x14ac:dyDescent="0.25">
      <c r="A900" t="str">
        <f t="shared" si="56"/>
        <v>S899</v>
      </c>
      <c r="B900" t="str">
        <f t="shared" ca="1" si="57"/>
        <v>M044</v>
      </c>
      <c r="C900">
        <f t="shared" ca="1" si="58"/>
        <v>8</v>
      </c>
      <c r="D900" s="1">
        <f t="shared" ca="1" si="59"/>
        <v>46062</v>
      </c>
    </row>
    <row r="901" spans="1:4" x14ac:dyDescent="0.25">
      <c r="A901" t="str">
        <f t="shared" si="56"/>
        <v>S900</v>
      </c>
      <c r="B901" t="str">
        <f t="shared" ca="1" si="57"/>
        <v>M069</v>
      </c>
      <c r="C901">
        <f t="shared" ca="1" si="58"/>
        <v>17</v>
      </c>
      <c r="D901" s="1">
        <f t="shared" ca="1" si="59"/>
        <v>46036</v>
      </c>
    </row>
    <row r="902" spans="1:4" x14ac:dyDescent="0.25">
      <c r="A902" t="str">
        <f t="shared" si="56"/>
        <v>S901</v>
      </c>
      <c r="B902" t="str">
        <f t="shared" ca="1" si="57"/>
        <v>M003</v>
      </c>
      <c r="C902">
        <f t="shared" ca="1" si="58"/>
        <v>23</v>
      </c>
      <c r="D902" s="1">
        <f t="shared" ca="1" si="59"/>
        <v>46104</v>
      </c>
    </row>
    <row r="903" spans="1:4" x14ac:dyDescent="0.25">
      <c r="A903" t="str">
        <f t="shared" si="56"/>
        <v>S902</v>
      </c>
      <c r="B903" t="str">
        <f t="shared" ca="1" si="57"/>
        <v>M044</v>
      </c>
      <c r="C903">
        <f t="shared" ca="1" si="58"/>
        <v>26</v>
      </c>
      <c r="D903" s="1">
        <f t="shared" ca="1" si="59"/>
        <v>46109</v>
      </c>
    </row>
    <row r="904" spans="1:4" x14ac:dyDescent="0.25">
      <c r="A904" t="str">
        <f t="shared" si="56"/>
        <v>S903</v>
      </c>
      <c r="B904" t="str">
        <f t="shared" ca="1" si="57"/>
        <v>M084</v>
      </c>
      <c r="C904">
        <f t="shared" ca="1" si="58"/>
        <v>20</v>
      </c>
      <c r="D904" s="1">
        <f t="shared" ca="1" si="59"/>
        <v>46098</v>
      </c>
    </row>
    <row r="905" spans="1:4" x14ac:dyDescent="0.25">
      <c r="A905" t="str">
        <f t="shared" si="56"/>
        <v>S904</v>
      </c>
      <c r="B905" t="str">
        <f t="shared" ca="1" si="57"/>
        <v>M078</v>
      </c>
      <c r="C905">
        <f t="shared" ca="1" si="58"/>
        <v>23</v>
      </c>
      <c r="D905" s="1">
        <f t="shared" ca="1" si="59"/>
        <v>46038</v>
      </c>
    </row>
    <row r="906" spans="1:4" x14ac:dyDescent="0.25">
      <c r="A906" t="str">
        <f t="shared" si="56"/>
        <v>S905</v>
      </c>
      <c r="B906" t="str">
        <f t="shared" ca="1" si="57"/>
        <v>M074</v>
      </c>
      <c r="C906">
        <f t="shared" ca="1" si="58"/>
        <v>4</v>
      </c>
      <c r="D906" s="1">
        <f t="shared" ca="1" si="59"/>
        <v>46089</v>
      </c>
    </row>
    <row r="907" spans="1:4" x14ac:dyDescent="0.25">
      <c r="A907" t="str">
        <f t="shared" si="56"/>
        <v>S906</v>
      </c>
      <c r="B907" t="str">
        <f t="shared" ca="1" si="57"/>
        <v>M061</v>
      </c>
      <c r="C907">
        <f t="shared" ca="1" si="58"/>
        <v>15</v>
      </c>
      <c r="D907" s="1">
        <f t="shared" ca="1" si="59"/>
        <v>46092</v>
      </c>
    </row>
    <row r="908" spans="1:4" x14ac:dyDescent="0.25">
      <c r="A908" t="str">
        <f t="shared" si="56"/>
        <v>S907</v>
      </c>
      <c r="B908" t="str">
        <f t="shared" ca="1" si="57"/>
        <v>M094</v>
      </c>
      <c r="C908">
        <f t="shared" ca="1" si="58"/>
        <v>17</v>
      </c>
      <c r="D908" s="1">
        <f t="shared" ca="1" si="59"/>
        <v>46109</v>
      </c>
    </row>
    <row r="909" spans="1:4" x14ac:dyDescent="0.25">
      <c r="A909" t="str">
        <f t="shared" si="56"/>
        <v>S908</v>
      </c>
      <c r="B909" t="str">
        <f t="shared" ca="1" si="57"/>
        <v>M014</v>
      </c>
      <c r="C909">
        <f t="shared" ca="1" si="58"/>
        <v>7</v>
      </c>
      <c r="D909" s="1">
        <f t="shared" ca="1" si="59"/>
        <v>46106</v>
      </c>
    </row>
    <row r="910" spans="1:4" x14ac:dyDescent="0.25">
      <c r="A910" t="str">
        <f t="shared" si="56"/>
        <v>S909</v>
      </c>
      <c r="B910" t="str">
        <f t="shared" ca="1" si="57"/>
        <v>M061</v>
      </c>
      <c r="C910">
        <f t="shared" ca="1" si="58"/>
        <v>19</v>
      </c>
      <c r="D910" s="1">
        <f t="shared" ca="1" si="59"/>
        <v>46118</v>
      </c>
    </row>
    <row r="911" spans="1:4" x14ac:dyDescent="0.25">
      <c r="A911" t="str">
        <f t="shared" si="56"/>
        <v>S910</v>
      </c>
      <c r="B911" t="str">
        <f t="shared" ca="1" si="57"/>
        <v>M049</v>
      </c>
      <c r="C911">
        <f t="shared" ca="1" si="58"/>
        <v>23</v>
      </c>
      <c r="D911" s="1">
        <f t="shared" ca="1" si="59"/>
        <v>46083</v>
      </c>
    </row>
    <row r="912" spans="1:4" x14ac:dyDescent="0.25">
      <c r="A912" t="str">
        <f t="shared" si="56"/>
        <v>S911</v>
      </c>
      <c r="B912" t="str">
        <f t="shared" ca="1" si="57"/>
        <v>M071</v>
      </c>
      <c r="C912">
        <f t="shared" ca="1" si="58"/>
        <v>29</v>
      </c>
      <c r="D912" s="1">
        <f t="shared" ca="1" si="59"/>
        <v>46033</v>
      </c>
    </row>
    <row r="913" spans="1:4" x14ac:dyDescent="0.25">
      <c r="A913" t="str">
        <f t="shared" si="56"/>
        <v>S912</v>
      </c>
      <c r="B913" t="str">
        <f t="shared" ca="1" si="57"/>
        <v>M018</v>
      </c>
      <c r="C913">
        <f t="shared" ca="1" si="58"/>
        <v>14</v>
      </c>
      <c r="D913" s="1">
        <f t="shared" ca="1" si="59"/>
        <v>46039</v>
      </c>
    </row>
    <row r="914" spans="1:4" x14ac:dyDescent="0.25">
      <c r="A914" t="str">
        <f t="shared" si="56"/>
        <v>S913</v>
      </c>
      <c r="B914" t="str">
        <f t="shared" ca="1" si="57"/>
        <v>M095</v>
      </c>
      <c r="C914">
        <f t="shared" ca="1" si="58"/>
        <v>6</v>
      </c>
      <c r="D914" s="1">
        <f t="shared" ca="1" si="59"/>
        <v>46037</v>
      </c>
    </row>
    <row r="915" spans="1:4" x14ac:dyDescent="0.25">
      <c r="A915" t="str">
        <f t="shared" si="56"/>
        <v>S914</v>
      </c>
      <c r="B915" t="str">
        <f t="shared" ca="1" si="57"/>
        <v>M064</v>
      </c>
      <c r="C915">
        <f t="shared" ca="1" si="58"/>
        <v>24</v>
      </c>
      <c r="D915" s="1">
        <f t="shared" ca="1" si="59"/>
        <v>46030</v>
      </c>
    </row>
    <row r="916" spans="1:4" x14ac:dyDescent="0.25">
      <c r="A916" t="str">
        <f t="shared" si="56"/>
        <v>S915</v>
      </c>
      <c r="B916" t="str">
        <f t="shared" ca="1" si="57"/>
        <v>M074</v>
      </c>
      <c r="C916">
        <f t="shared" ca="1" si="58"/>
        <v>10</v>
      </c>
      <c r="D916" s="1">
        <f t="shared" ca="1" si="59"/>
        <v>46091</v>
      </c>
    </row>
    <row r="917" spans="1:4" x14ac:dyDescent="0.25">
      <c r="A917" t="str">
        <f t="shared" si="56"/>
        <v>S916</v>
      </c>
      <c r="B917" t="str">
        <f t="shared" ca="1" si="57"/>
        <v>M045</v>
      </c>
      <c r="C917">
        <f t="shared" ca="1" si="58"/>
        <v>18</v>
      </c>
      <c r="D917" s="1">
        <f t="shared" ca="1" si="59"/>
        <v>46054</v>
      </c>
    </row>
    <row r="918" spans="1:4" x14ac:dyDescent="0.25">
      <c r="A918" t="str">
        <f t="shared" si="56"/>
        <v>S917</v>
      </c>
      <c r="B918" t="str">
        <f t="shared" ca="1" si="57"/>
        <v>M068</v>
      </c>
      <c r="C918">
        <f t="shared" ca="1" si="58"/>
        <v>10</v>
      </c>
      <c r="D918" s="1">
        <f t="shared" ca="1" si="59"/>
        <v>46100</v>
      </c>
    </row>
    <row r="919" spans="1:4" x14ac:dyDescent="0.25">
      <c r="A919" t="str">
        <f t="shared" si="56"/>
        <v>S918</v>
      </c>
      <c r="B919" t="str">
        <f t="shared" ca="1" si="57"/>
        <v>M097</v>
      </c>
      <c r="C919">
        <f t="shared" ca="1" si="58"/>
        <v>25</v>
      </c>
      <c r="D919" s="1">
        <f t="shared" ca="1" si="59"/>
        <v>46033</v>
      </c>
    </row>
    <row r="920" spans="1:4" x14ac:dyDescent="0.25">
      <c r="A920" t="str">
        <f t="shared" si="56"/>
        <v>S919</v>
      </c>
      <c r="B920" t="str">
        <f t="shared" ca="1" si="57"/>
        <v>M012</v>
      </c>
      <c r="C920">
        <f t="shared" ca="1" si="58"/>
        <v>29</v>
      </c>
      <c r="D920" s="1">
        <f t="shared" ca="1" si="59"/>
        <v>46084</v>
      </c>
    </row>
    <row r="921" spans="1:4" x14ac:dyDescent="0.25">
      <c r="A921" t="str">
        <f t="shared" si="56"/>
        <v>S920</v>
      </c>
      <c r="B921" t="str">
        <f t="shared" ca="1" si="57"/>
        <v>M076</v>
      </c>
      <c r="C921">
        <f t="shared" ca="1" si="58"/>
        <v>27</v>
      </c>
      <c r="D921" s="1">
        <f t="shared" ca="1" si="59"/>
        <v>46076</v>
      </c>
    </row>
    <row r="922" spans="1:4" x14ac:dyDescent="0.25">
      <c r="A922" t="str">
        <f t="shared" si="56"/>
        <v>S921</v>
      </c>
      <c r="B922" t="str">
        <f t="shared" ca="1" si="57"/>
        <v>M078</v>
      </c>
      <c r="C922">
        <f t="shared" ca="1" si="58"/>
        <v>6</v>
      </c>
      <c r="D922" s="1">
        <f t="shared" ca="1" si="59"/>
        <v>46087</v>
      </c>
    </row>
    <row r="923" spans="1:4" x14ac:dyDescent="0.25">
      <c r="A923" t="str">
        <f t="shared" si="56"/>
        <v>S922</v>
      </c>
      <c r="B923" t="str">
        <f t="shared" ca="1" si="57"/>
        <v>M002</v>
      </c>
      <c r="C923">
        <f t="shared" ca="1" si="58"/>
        <v>6</v>
      </c>
      <c r="D923" s="1">
        <f t="shared" ca="1" si="59"/>
        <v>46057</v>
      </c>
    </row>
    <row r="924" spans="1:4" x14ac:dyDescent="0.25">
      <c r="A924" t="str">
        <f t="shared" si="56"/>
        <v>S923</v>
      </c>
      <c r="B924" t="str">
        <f t="shared" ca="1" si="57"/>
        <v>M068</v>
      </c>
      <c r="C924">
        <f t="shared" ca="1" si="58"/>
        <v>10</v>
      </c>
      <c r="D924" s="1">
        <f t="shared" ca="1" si="59"/>
        <v>46063</v>
      </c>
    </row>
    <row r="925" spans="1:4" x14ac:dyDescent="0.25">
      <c r="A925" t="str">
        <f t="shared" si="56"/>
        <v>S924</v>
      </c>
      <c r="B925" t="str">
        <f t="shared" ca="1" si="57"/>
        <v>M008</v>
      </c>
      <c r="C925">
        <f t="shared" ca="1" si="58"/>
        <v>14</v>
      </c>
      <c r="D925" s="1">
        <f t="shared" ca="1" si="59"/>
        <v>46040</v>
      </c>
    </row>
    <row r="926" spans="1:4" x14ac:dyDescent="0.25">
      <c r="A926" t="str">
        <f t="shared" si="56"/>
        <v>S925</v>
      </c>
      <c r="B926" t="str">
        <f t="shared" ca="1" si="57"/>
        <v>M053</v>
      </c>
      <c r="C926">
        <f t="shared" ca="1" si="58"/>
        <v>27</v>
      </c>
      <c r="D926" s="1">
        <f t="shared" ca="1" si="59"/>
        <v>46085</v>
      </c>
    </row>
    <row r="927" spans="1:4" x14ac:dyDescent="0.25">
      <c r="A927" t="str">
        <f t="shared" si="56"/>
        <v>S926</v>
      </c>
      <c r="B927" t="str">
        <f t="shared" ca="1" si="57"/>
        <v>M016</v>
      </c>
      <c r="C927">
        <f t="shared" ca="1" si="58"/>
        <v>24</v>
      </c>
      <c r="D927" s="1">
        <f t="shared" ca="1" si="59"/>
        <v>46087</v>
      </c>
    </row>
    <row r="928" spans="1:4" x14ac:dyDescent="0.25">
      <c r="A928" t="str">
        <f t="shared" si="56"/>
        <v>S927</v>
      </c>
      <c r="B928" t="str">
        <f t="shared" ca="1" si="57"/>
        <v>M037</v>
      </c>
      <c r="C928">
        <f t="shared" ca="1" si="58"/>
        <v>13</v>
      </c>
      <c r="D928" s="1">
        <f t="shared" ca="1" si="59"/>
        <v>46065</v>
      </c>
    </row>
    <row r="929" spans="1:4" x14ac:dyDescent="0.25">
      <c r="A929" t="str">
        <f t="shared" si="56"/>
        <v>S928</v>
      </c>
      <c r="B929" t="str">
        <f t="shared" ca="1" si="57"/>
        <v>M019</v>
      </c>
      <c r="C929">
        <f t="shared" ca="1" si="58"/>
        <v>26</v>
      </c>
      <c r="D929" s="1">
        <f t="shared" ca="1" si="59"/>
        <v>46112</v>
      </c>
    </row>
    <row r="930" spans="1:4" x14ac:dyDescent="0.25">
      <c r="A930" t="str">
        <f t="shared" si="56"/>
        <v>S929</v>
      </c>
      <c r="B930" t="str">
        <f t="shared" ca="1" si="57"/>
        <v>M005</v>
      </c>
      <c r="C930">
        <f t="shared" ca="1" si="58"/>
        <v>26</v>
      </c>
      <c r="D930" s="1">
        <f t="shared" ca="1" si="59"/>
        <v>46072</v>
      </c>
    </row>
    <row r="931" spans="1:4" x14ac:dyDescent="0.25">
      <c r="A931" t="str">
        <f t="shared" si="56"/>
        <v>S930</v>
      </c>
      <c r="B931" t="str">
        <f t="shared" ca="1" si="57"/>
        <v>M094</v>
      </c>
      <c r="C931">
        <f t="shared" ca="1" si="58"/>
        <v>6</v>
      </c>
      <c r="D931" s="1">
        <f t="shared" ca="1" si="59"/>
        <v>46042</v>
      </c>
    </row>
    <row r="932" spans="1:4" x14ac:dyDescent="0.25">
      <c r="A932" t="str">
        <f t="shared" si="56"/>
        <v>S931</v>
      </c>
      <c r="B932" t="str">
        <f t="shared" ca="1" si="57"/>
        <v>M017</v>
      </c>
      <c r="C932">
        <f t="shared" ca="1" si="58"/>
        <v>10</v>
      </c>
      <c r="D932" s="1">
        <f t="shared" ca="1" si="59"/>
        <v>46094</v>
      </c>
    </row>
    <row r="933" spans="1:4" x14ac:dyDescent="0.25">
      <c r="A933" t="str">
        <f t="shared" si="56"/>
        <v>S932</v>
      </c>
      <c r="B933" t="str">
        <f t="shared" ca="1" si="57"/>
        <v>M053</v>
      </c>
      <c r="C933">
        <f t="shared" ca="1" si="58"/>
        <v>19</v>
      </c>
      <c r="D933" s="1">
        <f t="shared" ca="1" si="59"/>
        <v>46087</v>
      </c>
    </row>
    <row r="934" spans="1:4" x14ac:dyDescent="0.25">
      <c r="A934" t="str">
        <f t="shared" si="56"/>
        <v>S933</v>
      </c>
      <c r="B934" t="str">
        <f t="shared" ca="1" si="57"/>
        <v>M009</v>
      </c>
      <c r="C934">
        <f t="shared" ca="1" si="58"/>
        <v>18</v>
      </c>
      <c r="D934" s="1">
        <f t="shared" ca="1" si="59"/>
        <v>46068</v>
      </c>
    </row>
    <row r="935" spans="1:4" x14ac:dyDescent="0.25">
      <c r="A935" t="str">
        <f t="shared" si="56"/>
        <v>S934</v>
      </c>
      <c r="B935" t="str">
        <f t="shared" ca="1" si="57"/>
        <v>M026</v>
      </c>
      <c r="C935">
        <f t="shared" ca="1" si="58"/>
        <v>7</v>
      </c>
      <c r="D935" s="1">
        <f t="shared" ca="1" si="59"/>
        <v>46070</v>
      </c>
    </row>
    <row r="936" spans="1:4" x14ac:dyDescent="0.25">
      <c r="A936" t="str">
        <f t="shared" si="56"/>
        <v>S935</v>
      </c>
      <c r="B936" t="str">
        <f t="shared" ca="1" si="57"/>
        <v>M046</v>
      </c>
      <c r="C936">
        <f t="shared" ca="1" si="58"/>
        <v>3</v>
      </c>
      <c r="D936" s="1">
        <f t="shared" ca="1" si="59"/>
        <v>46067</v>
      </c>
    </row>
    <row r="937" spans="1:4" x14ac:dyDescent="0.25">
      <c r="A937" t="str">
        <f t="shared" si="56"/>
        <v>S936</v>
      </c>
      <c r="B937" t="str">
        <f t="shared" ca="1" si="57"/>
        <v>M034</v>
      </c>
      <c r="C937">
        <f t="shared" ca="1" si="58"/>
        <v>7</v>
      </c>
      <c r="D937" s="1">
        <f t="shared" ca="1" si="59"/>
        <v>46098</v>
      </c>
    </row>
    <row r="938" spans="1:4" x14ac:dyDescent="0.25">
      <c r="A938" t="str">
        <f t="shared" si="56"/>
        <v>S937</v>
      </c>
      <c r="B938" t="str">
        <f t="shared" ca="1" si="57"/>
        <v>M047</v>
      </c>
      <c r="C938">
        <f t="shared" ca="1" si="58"/>
        <v>25</v>
      </c>
      <c r="D938" s="1">
        <f t="shared" ca="1" si="59"/>
        <v>46037</v>
      </c>
    </row>
    <row r="939" spans="1:4" x14ac:dyDescent="0.25">
      <c r="A939" t="str">
        <f t="shared" si="56"/>
        <v>S938</v>
      </c>
      <c r="B939" t="str">
        <f t="shared" ca="1" si="57"/>
        <v>M098</v>
      </c>
      <c r="C939">
        <f t="shared" ca="1" si="58"/>
        <v>12</v>
      </c>
      <c r="D939" s="1">
        <f t="shared" ca="1" si="59"/>
        <v>46078</v>
      </c>
    </row>
    <row r="940" spans="1:4" x14ac:dyDescent="0.25">
      <c r="A940" t="str">
        <f t="shared" si="56"/>
        <v>S939</v>
      </c>
      <c r="B940" t="str">
        <f t="shared" ca="1" si="57"/>
        <v>M046</v>
      </c>
      <c r="C940">
        <f t="shared" ca="1" si="58"/>
        <v>8</v>
      </c>
      <c r="D940" s="1">
        <f t="shared" ca="1" si="59"/>
        <v>46036</v>
      </c>
    </row>
    <row r="941" spans="1:4" x14ac:dyDescent="0.25">
      <c r="A941" t="str">
        <f t="shared" si="56"/>
        <v>S940</v>
      </c>
      <c r="B941" t="str">
        <f t="shared" ca="1" si="57"/>
        <v>M096</v>
      </c>
      <c r="C941">
        <f t="shared" ca="1" si="58"/>
        <v>3</v>
      </c>
      <c r="D941" s="1">
        <f t="shared" ca="1" si="59"/>
        <v>46061</v>
      </c>
    </row>
    <row r="942" spans="1:4" x14ac:dyDescent="0.25">
      <c r="A942" t="str">
        <f t="shared" si="56"/>
        <v>S941</v>
      </c>
      <c r="B942" t="str">
        <f t="shared" ca="1" si="57"/>
        <v>M031</v>
      </c>
      <c r="C942">
        <f t="shared" ca="1" si="58"/>
        <v>29</v>
      </c>
      <c r="D942" s="1">
        <f t="shared" ca="1" si="59"/>
        <v>46055</v>
      </c>
    </row>
    <row r="943" spans="1:4" x14ac:dyDescent="0.25">
      <c r="A943" t="str">
        <f t="shared" si="56"/>
        <v>S942</v>
      </c>
      <c r="B943" t="str">
        <f t="shared" ca="1" si="57"/>
        <v>M021</v>
      </c>
      <c r="C943">
        <f t="shared" ca="1" si="58"/>
        <v>16</v>
      </c>
      <c r="D943" s="1">
        <f t="shared" ca="1" si="59"/>
        <v>46042</v>
      </c>
    </row>
    <row r="944" spans="1:4" x14ac:dyDescent="0.25">
      <c r="A944" t="str">
        <f t="shared" si="56"/>
        <v>S943</v>
      </c>
      <c r="B944" t="str">
        <f t="shared" ca="1" si="57"/>
        <v>M008</v>
      </c>
      <c r="C944">
        <f t="shared" ca="1" si="58"/>
        <v>1</v>
      </c>
      <c r="D944" s="1">
        <f t="shared" ca="1" si="59"/>
        <v>46077</v>
      </c>
    </row>
    <row r="945" spans="1:4" x14ac:dyDescent="0.25">
      <c r="A945" t="str">
        <f t="shared" si="56"/>
        <v>S944</v>
      </c>
      <c r="B945" t="str">
        <f t="shared" ca="1" si="57"/>
        <v>M020</v>
      </c>
      <c r="C945">
        <f t="shared" ca="1" si="58"/>
        <v>11</v>
      </c>
      <c r="D945" s="1">
        <f t="shared" ca="1" si="59"/>
        <v>46091</v>
      </c>
    </row>
    <row r="946" spans="1:4" x14ac:dyDescent="0.25">
      <c r="A946" t="str">
        <f t="shared" si="56"/>
        <v>S945</v>
      </c>
      <c r="B946" t="str">
        <f t="shared" ca="1" si="57"/>
        <v>M008</v>
      </c>
      <c r="C946">
        <f t="shared" ca="1" si="58"/>
        <v>8</v>
      </c>
      <c r="D946" s="1">
        <f t="shared" ca="1" si="59"/>
        <v>46084</v>
      </c>
    </row>
    <row r="947" spans="1:4" x14ac:dyDescent="0.25">
      <c r="A947" t="str">
        <f t="shared" si="56"/>
        <v>S946</v>
      </c>
      <c r="B947" t="str">
        <f t="shared" ca="1" si="57"/>
        <v>M021</v>
      </c>
      <c r="C947">
        <f t="shared" ca="1" si="58"/>
        <v>21</v>
      </c>
      <c r="D947" s="1">
        <f t="shared" ca="1" si="59"/>
        <v>46074</v>
      </c>
    </row>
    <row r="948" spans="1:4" x14ac:dyDescent="0.25">
      <c r="A948" t="str">
        <f t="shared" si="56"/>
        <v>S947</v>
      </c>
      <c r="B948" t="str">
        <f t="shared" ca="1" si="57"/>
        <v>M008</v>
      </c>
      <c r="C948">
        <f t="shared" ca="1" si="58"/>
        <v>14</v>
      </c>
      <c r="D948" s="1">
        <f t="shared" ca="1" si="59"/>
        <v>46030</v>
      </c>
    </row>
    <row r="949" spans="1:4" x14ac:dyDescent="0.25">
      <c r="A949" t="str">
        <f t="shared" si="56"/>
        <v>S948</v>
      </c>
      <c r="B949" t="str">
        <f t="shared" ca="1" si="57"/>
        <v>M086</v>
      </c>
      <c r="C949">
        <f t="shared" ca="1" si="58"/>
        <v>14</v>
      </c>
      <c r="D949" s="1">
        <f t="shared" ca="1" si="59"/>
        <v>46041</v>
      </c>
    </row>
    <row r="950" spans="1:4" x14ac:dyDescent="0.25">
      <c r="A950" t="str">
        <f t="shared" si="56"/>
        <v>S949</v>
      </c>
      <c r="B950" t="str">
        <f t="shared" ca="1" si="57"/>
        <v>M087</v>
      </c>
      <c r="C950">
        <f t="shared" ca="1" si="58"/>
        <v>1</v>
      </c>
      <c r="D950" s="1">
        <f t="shared" ca="1" si="59"/>
        <v>46084</v>
      </c>
    </row>
    <row r="951" spans="1:4" x14ac:dyDescent="0.25">
      <c r="A951" t="str">
        <f t="shared" si="56"/>
        <v>S950</v>
      </c>
      <c r="B951" t="str">
        <f t="shared" ca="1" si="57"/>
        <v>M003</v>
      </c>
      <c r="C951">
        <f t="shared" ca="1" si="58"/>
        <v>3</v>
      </c>
      <c r="D951" s="1">
        <f t="shared" ca="1" si="59"/>
        <v>46047</v>
      </c>
    </row>
    <row r="952" spans="1:4" x14ac:dyDescent="0.25">
      <c r="A952" t="str">
        <f t="shared" si="56"/>
        <v>S951</v>
      </c>
      <c r="B952" t="str">
        <f t="shared" ca="1" si="57"/>
        <v>M022</v>
      </c>
      <c r="C952">
        <f t="shared" ca="1" si="58"/>
        <v>28</v>
      </c>
      <c r="D952" s="1">
        <f t="shared" ca="1" si="59"/>
        <v>46063</v>
      </c>
    </row>
    <row r="953" spans="1:4" x14ac:dyDescent="0.25">
      <c r="A953" t="str">
        <f t="shared" si="56"/>
        <v>S952</v>
      </c>
      <c r="B953" t="str">
        <f t="shared" ca="1" si="57"/>
        <v>M003</v>
      </c>
      <c r="C953">
        <f t="shared" ca="1" si="58"/>
        <v>29</v>
      </c>
      <c r="D953" s="1">
        <f t="shared" ca="1" si="59"/>
        <v>46035</v>
      </c>
    </row>
    <row r="954" spans="1:4" x14ac:dyDescent="0.25">
      <c r="A954" t="str">
        <f t="shared" si="56"/>
        <v>S953</v>
      </c>
      <c r="B954" t="str">
        <f t="shared" ca="1" si="57"/>
        <v>M063</v>
      </c>
      <c r="C954">
        <f t="shared" ca="1" si="58"/>
        <v>11</v>
      </c>
      <c r="D954" s="1">
        <f t="shared" ca="1" si="59"/>
        <v>46088</v>
      </c>
    </row>
    <row r="955" spans="1:4" x14ac:dyDescent="0.25">
      <c r="A955" t="str">
        <f t="shared" si="56"/>
        <v>S954</v>
      </c>
      <c r="B955" t="str">
        <f t="shared" ca="1" si="57"/>
        <v>M010</v>
      </c>
      <c r="C955">
        <f t="shared" ca="1" si="58"/>
        <v>7</v>
      </c>
      <c r="D955" s="1">
        <f t="shared" ca="1" si="59"/>
        <v>46051</v>
      </c>
    </row>
    <row r="956" spans="1:4" x14ac:dyDescent="0.25">
      <c r="A956" t="str">
        <f t="shared" si="56"/>
        <v>S955</v>
      </c>
      <c r="B956" t="str">
        <f t="shared" ca="1" si="57"/>
        <v>M079</v>
      </c>
      <c r="C956">
        <f t="shared" ca="1" si="58"/>
        <v>4</v>
      </c>
      <c r="D956" s="1">
        <f t="shared" ca="1" si="59"/>
        <v>46055</v>
      </c>
    </row>
    <row r="957" spans="1:4" x14ac:dyDescent="0.25">
      <c r="A957" t="str">
        <f t="shared" si="56"/>
        <v>S956</v>
      </c>
      <c r="B957" t="str">
        <f t="shared" ca="1" si="57"/>
        <v>M062</v>
      </c>
      <c r="C957">
        <f t="shared" ca="1" si="58"/>
        <v>19</v>
      </c>
      <c r="D957" s="1">
        <f t="shared" ca="1" si="59"/>
        <v>46041</v>
      </c>
    </row>
    <row r="958" spans="1:4" x14ac:dyDescent="0.25">
      <c r="A958" t="str">
        <f t="shared" si="56"/>
        <v>S957</v>
      </c>
      <c r="B958" t="str">
        <f t="shared" ca="1" si="57"/>
        <v>M040</v>
      </c>
      <c r="C958">
        <f t="shared" ca="1" si="58"/>
        <v>30</v>
      </c>
      <c r="D958" s="1">
        <f t="shared" ca="1" si="59"/>
        <v>46074</v>
      </c>
    </row>
    <row r="959" spans="1:4" x14ac:dyDescent="0.25">
      <c r="A959" t="str">
        <f t="shared" si="56"/>
        <v>S958</v>
      </c>
      <c r="B959" t="str">
        <f t="shared" ca="1" si="57"/>
        <v>M041</v>
      </c>
      <c r="C959">
        <f t="shared" ca="1" si="58"/>
        <v>3</v>
      </c>
      <c r="D959" s="1">
        <f t="shared" ca="1" si="59"/>
        <v>46035</v>
      </c>
    </row>
    <row r="960" spans="1:4" x14ac:dyDescent="0.25">
      <c r="A960" t="str">
        <f t="shared" si="56"/>
        <v>S959</v>
      </c>
      <c r="B960" t="str">
        <f t="shared" ca="1" si="57"/>
        <v>M001</v>
      </c>
      <c r="C960">
        <f t="shared" ca="1" si="58"/>
        <v>27</v>
      </c>
      <c r="D960" s="1">
        <f t="shared" ca="1" si="59"/>
        <v>46071</v>
      </c>
    </row>
    <row r="961" spans="1:4" x14ac:dyDescent="0.25">
      <c r="A961" t="str">
        <f t="shared" si="56"/>
        <v>S960</v>
      </c>
      <c r="B961" t="str">
        <f t="shared" ca="1" si="57"/>
        <v>M004</v>
      </c>
      <c r="C961">
        <f t="shared" ca="1" si="58"/>
        <v>2</v>
      </c>
      <c r="D961" s="1">
        <f t="shared" ca="1" si="59"/>
        <v>46107</v>
      </c>
    </row>
    <row r="962" spans="1:4" x14ac:dyDescent="0.25">
      <c r="A962" t="str">
        <f t="shared" si="56"/>
        <v>S961</v>
      </c>
      <c r="B962" t="str">
        <f t="shared" ca="1" si="57"/>
        <v>M086</v>
      </c>
      <c r="C962">
        <f t="shared" ca="1" si="58"/>
        <v>14</v>
      </c>
      <c r="D962" s="1">
        <f t="shared" ca="1" si="59"/>
        <v>46074</v>
      </c>
    </row>
    <row r="963" spans="1:4" x14ac:dyDescent="0.25">
      <c r="A963" t="str">
        <f t="shared" ref="A963:A1026" si="60">"S"&amp;TEXT(ROW(A962),"000")</f>
        <v>S962</v>
      </c>
      <c r="B963" t="str">
        <f t="shared" ref="B963:B1026" ca="1" si="61">"M"&amp;TEXT(RANDBETWEEN(1,100),"000")</f>
        <v>M023</v>
      </c>
      <c r="C963">
        <f t="shared" ref="C963:C1026" ca="1" si="62">RANDBETWEEN(1,30)</f>
        <v>11</v>
      </c>
      <c r="D963" s="1">
        <f t="shared" ref="D963:D1026" ca="1" si="63">TODAY()-RANDBETWEEN(1,90)</f>
        <v>46108</v>
      </c>
    </row>
    <row r="964" spans="1:4" x14ac:dyDescent="0.25">
      <c r="A964" t="str">
        <f t="shared" si="60"/>
        <v>S963</v>
      </c>
      <c r="B964" t="str">
        <f t="shared" ca="1" si="61"/>
        <v>M066</v>
      </c>
      <c r="C964">
        <f t="shared" ca="1" si="62"/>
        <v>1</v>
      </c>
      <c r="D964" s="1">
        <f t="shared" ca="1" si="63"/>
        <v>46102</v>
      </c>
    </row>
    <row r="965" spans="1:4" x14ac:dyDescent="0.25">
      <c r="A965" t="str">
        <f t="shared" si="60"/>
        <v>S964</v>
      </c>
      <c r="B965" t="str">
        <f t="shared" ca="1" si="61"/>
        <v>M072</v>
      </c>
      <c r="C965">
        <f t="shared" ca="1" si="62"/>
        <v>16</v>
      </c>
      <c r="D965" s="1">
        <f t="shared" ca="1" si="63"/>
        <v>46118</v>
      </c>
    </row>
    <row r="966" spans="1:4" x14ac:dyDescent="0.25">
      <c r="A966" t="str">
        <f t="shared" si="60"/>
        <v>S965</v>
      </c>
      <c r="B966" t="str">
        <f t="shared" ca="1" si="61"/>
        <v>M055</v>
      </c>
      <c r="C966">
        <f t="shared" ca="1" si="62"/>
        <v>3</v>
      </c>
      <c r="D966" s="1">
        <f t="shared" ca="1" si="63"/>
        <v>46061</v>
      </c>
    </row>
    <row r="967" spans="1:4" x14ac:dyDescent="0.25">
      <c r="A967" t="str">
        <f t="shared" si="60"/>
        <v>S966</v>
      </c>
      <c r="B967" t="str">
        <f t="shared" ca="1" si="61"/>
        <v>M076</v>
      </c>
      <c r="C967">
        <f t="shared" ca="1" si="62"/>
        <v>18</v>
      </c>
      <c r="D967" s="1">
        <f t="shared" ca="1" si="63"/>
        <v>46068</v>
      </c>
    </row>
    <row r="968" spans="1:4" x14ac:dyDescent="0.25">
      <c r="A968" t="str">
        <f t="shared" si="60"/>
        <v>S967</v>
      </c>
      <c r="B968" t="str">
        <f t="shared" ca="1" si="61"/>
        <v>M100</v>
      </c>
      <c r="C968">
        <f t="shared" ca="1" si="62"/>
        <v>25</v>
      </c>
      <c r="D968" s="1">
        <f t="shared" ca="1" si="63"/>
        <v>46082</v>
      </c>
    </row>
    <row r="969" spans="1:4" x14ac:dyDescent="0.25">
      <c r="A969" t="str">
        <f t="shared" si="60"/>
        <v>S968</v>
      </c>
      <c r="B969" t="str">
        <f t="shared" ca="1" si="61"/>
        <v>M051</v>
      </c>
      <c r="C969">
        <f t="shared" ca="1" si="62"/>
        <v>8</v>
      </c>
      <c r="D969" s="1">
        <f t="shared" ca="1" si="63"/>
        <v>46067</v>
      </c>
    </row>
    <row r="970" spans="1:4" x14ac:dyDescent="0.25">
      <c r="A970" t="str">
        <f t="shared" si="60"/>
        <v>S969</v>
      </c>
      <c r="B970" t="str">
        <f t="shared" ca="1" si="61"/>
        <v>M024</v>
      </c>
      <c r="C970">
        <f t="shared" ca="1" si="62"/>
        <v>12</v>
      </c>
      <c r="D970" s="1">
        <f t="shared" ca="1" si="63"/>
        <v>46104</v>
      </c>
    </row>
    <row r="971" spans="1:4" x14ac:dyDescent="0.25">
      <c r="A971" t="str">
        <f t="shared" si="60"/>
        <v>S970</v>
      </c>
      <c r="B971" t="str">
        <f t="shared" ca="1" si="61"/>
        <v>M065</v>
      </c>
      <c r="C971">
        <f t="shared" ca="1" si="62"/>
        <v>14</v>
      </c>
      <c r="D971" s="1">
        <f t="shared" ca="1" si="63"/>
        <v>46082</v>
      </c>
    </row>
    <row r="972" spans="1:4" x14ac:dyDescent="0.25">
      <c r="A972" t="str">
        <f t="shared" si="60"/>
        <v>S971</v>
      </c>
      <c r="B972" t="str">
        <f t="shared" ca="1" si="61"/>
        <v>M100</v>
      </c>
      <c r="C972">
        <f t="shared" ca="1" si="62"/>
        <v>8</v>
      </c>
      <c r="D972" s="1">
        <f t="shared" ca="1" si="63"/>
        <v>46029</v>
      </c>
    </row>
    <row r="973" spans="1:4" x14ac:dyDescent="0.25">
      <c r="A973" t="str">
        <f t="shared" si="60"/>
        <v>S972</v>
      </c>
      <c r="B973" t="str">
        <f t="shared" ca="1" si="61"/>
        <v>M037</v>
      </c>
      <c r="C973">
        <f t="shared" ca="1" si="62"/>
        <v>12</v>
      </c>
      <c r="D973" s="1">
        <f t="shared" ca="1" si="63"/>
        <v>46034</v>
      </c>
    </row>
    <row r="974" spans="1:4" x14ac:dyDescent="0.25">
      <c r="A974" t="str">
        <f t="shared" si="60"/>
        <v>S973</v>
      </c>
      <c r="B974" t="str">
        <f t="shared" ca="1" si="61"/>
        <v>M100</v>
      </c>
      <c r="C974">
        <f t="shared" ca="1" si="62"/>
        <v>18</v>
      </c>
      <c r="D974" s="1">
        <f t="shared" ca="1" si="63"/>
        <v>46063</v>
      </c>
    </row>
    <row r="975" spans="1:4" x14ac:dyDescent="0.25">
      <c r="A975" t="str">
        <f t="shared" si="60"/>
        <v>S974</v>
      </c>
      <c r="B975" t="str">
        <f t="shared" ca="1" si="61"/>
        <v>M061</v>
      </c>
      <c r="C975">
        <f t="shared" ca="1" si="62"/>
        <v>23</v>
      </c>
      <c r="D975" s="1">
        <f t="shared" ca="1" si="63"/>
        <v>46096</v>
      </c>
    </row>
    <row r="976" spans="1:4" x14ac:dyDescent="0.25">
      <c r="A976" t="str">
        <f t="shared" si="60"/>
        <v>S975</v>
      </c>
      <c r="B976" t="str">
        <f t="shared" ca="1" si="61"/>
        <v>M066</v>
      </c>
      <c r="C976">
        <f t="shared" ca="1" si="62"/>
        <v>10</v>
      </c>
      <c r="D976" s="1">
        <f t="shared" ca="1" si="63"/>
        <v>46113</v>
      </c>
    </row>
    <row r="977" spans="1:4" x14ac:dyDescent="0.25">
      <c r="A977" t="str">
        <f t="shared" si="60"/>
        <v>S976</v>
      </c>
      <c r="B977" t="str">
        <f t="shared" ca="1" si="61"/>
        <v>M071</v>
      </c>
      <c r="C977">
        <f t="shared" ca="1" si="62"/>
        <v>2</v>
      </c>
      <c r="D977" s="1">
        <f t="shared" ca="1" si="63"/>
        <v>46037</v>
      </c>
    </row>
    <row r="978" spans="1:4" x14ac:dyDescent="0.25">
      <c r="A978" t="str">
        <f t="shared" si="60"/>
        <v>S977</v>
      </c>
      <c r="B978" t="str">
        <f t="shared" ca="1" si="61"/>
        <v>M021</v>
      </c>
      <c r="C978">
        <f t="shared" ca="1" si="62"/>
        <v>13</v>
      </c>
      <c r="D978" s="1">
        <f t="shared" ca="1" si="63"/>
        <v>46064</v>
      </c>
    </row>
    <row r="979" spans="1:4" x14ac:dyDescent="0.25">
      <c r="A979" t="str">
        <f t="shared" si="60"/>
        <v>S978</v>
      </c>
      <c r="B979" t="str">
        <f t="shared" ca="1" si="61"/>
        <v>M001</v>
      </c>
      <c r="C979">
        <f t="shared" ca="1" si="62"/>
        <v>24</v>
      </c>
      <c r="D979" s="1">
        <f t="shared" ca="1" si="63"/>
        <v>46097</v>
      </c>
    </row>
    <row r="980" spans="1:4" x14ac:dyDescent="0.25">
      <c r="A980" t="str">
        <f t="shared" si="60"/>
        <v>S979</v>
      </c>
      <c r="B980" t="str">
        <f t="shared" ca="1" si="61"/>
        <v>M099</v>
      </c>
      <c r="C980">
        <f t="shared" ca="1" si="62"/>
        <v>28</v>
      </c>
      <c r="D980" s="1">
        <f t="shared" ca="1" si="63"/>
        <v>46034</v>
      </c>
    </row>
    <row r="981" spans="1:4" x14ac:dyDescent="0.25">
      <c r="A981" t="str">
        <f t="shared" si="60"/>
        <v>S980</v>
      </c>
      <c r="B981" t="str">
        <f t="shared" ca="1" si="61"/>
        <v>M056</v>
      </c>
      <c r="C981">
        <f t="shared" ca="1" si="62"/>
        <v>17</v>
      </c>
      <c r="D981" s="1">
        <f t="shared" ca="1" si="63"/>
        <v>46117</v>
      </c>
    </row>
    <row r="982" spans="1:4" x14ac:dyDescent="0.25">
      <c r="A982" t="str">
        <f t="shared" si="60"/>
        <v>S981</v>
      </c>
      <c r="B982" t="str">
        <f t="shared" ca="1" si="61"/>
        <v>M073</v>
      </c>
      <c r="C982">
        <f t="shared" ca="1" si="62"/>
        <v>14</v>
      </c>
      <c r="D982" s="1">
        <f t="shared" ca="1" si="63"/>
        <v>46063</v>
      </c>
    </row>
    <row r="983" spans="1:4" x14ac:dyDescent="0.25">
      <c r="A983" t="str">
        <f t="shared" si="60"/>
        <v>S982</v>
      </c>
      <c r="B983" t="str">
        <f t="shared" ca="1" si="61"/>
        <v>M060</v>
      </c>
      <c r="C983">
        <f t="shared" ca="1" si="62"/>
        <v>13</v>
      </c>
      <c r="D983" s="1">
        <f t="shared" ca="1" si="63"/>
        <v>46044</v>
      </c>
    </row>
    <row r="984" spans="1:4" x14ac:dyDescent="0.25">
      <c r="A984" t="str">
        <f t="shared" si="60"/>
        <v>S983</v>
      </c>
      <c r="B984" t="str">
        <f t="shared" ca="1" si="61"/>
        <v>M091</v>
      </c>
      <c r="C984">
        <f t="shared" ca="1" si="62"/>
        <v>29</v>
      </c>
      <c r="D984" s="1">
        <f t="shared" ca="1" si="63"/>
        <v>46035</v>
      </c>
    </row>
    <row r="985" spans="1:4" x14ac:dyDescent="0.25">
      <c r="A985" t="str">
        <f t="shared" si="60"/>
        <v>S984</v>
      </c>
      <c r="B985" t="str">
        <f t="shared" ca="1" si="61"/>
        <v>M045</v>
      </c>
      <c r="C985">
        <f t="shared" ca="1" si="62"/>
        <v>29</v>
      </c>
      <c r="D985" s="1">
        <f t="shared" ca="1" si="63"/>
        <v>46038</v>
      </c>
    </row>
    <row r="986" spans="1:4" x14ac:dyDescent="0.25">
      <c r="A986" t="str">
        <f t="shared" si="60"/>
        <v>S985</v>
      </c>
      <c r="B986" t="str">
        <f t="shared" ca="1" si="61"/>
        <v>M047</v>
      </c>
      <c r="C986">
        <f t="shared" ca="1" si="62"/>
        <v>6</v>
      </c>
      <c r="D986" s="1">
        <f t="shared" ca="1" si="63"/>
        <v>46083</v>
      </c>
    </row>
    <row r="987" spans="1:4" x14ac:dyDescent="0.25">
      <c r="A987" t="str">
        <f t="shared" si="60"/>
        <v>S986</v>
      </c>
      <c r="B987" t="str">
        <f t="shared" ca="1" si="61"/>
        <v>M022</v>
      </c>
      <c r="C987">
        <f t="shared" ca="1" si="62"/>
        <v>13</v>
      </c>
      <c r="D987" s="1">
        <f t="shared" ca="1" si="63"/>
        <v>46106</v>
      </c>
    </row>
    <row r="988" spans="1:4" x14ac:dyDescent="0.25">
      <c r="A988" t="str">
        <f t="shared" si="60"/>
        <v>S987</v>
      </c>
      <c r="B988" t="str">
        <f t="shared" ca="1" si="61"/>
        <v>M077</v>
      </c>
      <c r="C988">
        <f t="shared" ca="1" si="62"/>
        <v>22</v>
      </c>
      <c r="D988" s="1">
        <f t="shared" ca="1" si="63"/>
        <v>46064</v>
      </c>
    </row>
    <row r="989" spans="1:4" x14ac:dyDescent="0.25">
      <c r="A989" t="str">
        <f t="shared" si="60"/>
        <v>S988</v>
      </c>
      <c r="B989" t="str">
        <f t="shared" ca="1" si="61"/>
        <v>M067</v>
      </c>
      <c r="C989">
        <f t="shared" ca="1" si="62"/>
        <v>21</v>
      </c>
      <c r="D989" s="1">
        <f t="shared" ca="1" si="63"/>
        <v>46081</v>
      </c>
    </row>
    <row r="990" spans="1:4" x14ac:dyDescent="0.25">
      <c r="A990" t="str">
        <f t="shared" si="60"/>
        <v>S989</v>
      </c>
      <c r="B990" t="str">
        <f t="shared" ca="1" si="61"/>
        <v>M066</v>
      </c>
      <c r="C990">
        <f t="shared" ca="1" si="62"/>
        <v>8</v>
      </c>
      <c r="D990" s="1">
        <f t="shared" ca="1" si="63"/>
        <v>46079</v>
      </c>
    </row>
    <row r="991" spans="1:4" x14ac:dyDescent="0.25">
      <c r="A991" t="str">
        <f t="shared" si="60"/>
        <v>S990</v>
      </c>
      <c r="B991" t="str">
        <f t="shared" ca="1" si="61"/>
        <v>M065</v>
      </c>
      <c r="C991">
        <f t="shared" ca="1" si="62"/>
        <v>11</v>
      </c>
      <c r="D991" s="1">
        <f t="shared" ca="1" si="63"/>
        <v>46058</v>
      </c>
    </row>
    <row r="992" spans="1:4" x14ac:dyDescent="0.25">
      <c r="A992" t="str">
        <f t="shared" si="60"/>
        <v>S991</v>
      </c>
      <c r="B992" t="str">
        <f t="shared" ca="1" si="61"/>
        <v>M032</v>
      </c>
      <c r="C992">
        <f t="shared" ca="1" si="62"/>
        <v>26</v>
      </c>
      <c r="D992" s="1">
        <f t="shared" ca="1" si="63"/>
        <v>46088</v>
      </c>
    </row>
    <row r="993" spans="1:4" x14ac:dyDescent="0.25">
      <c r="A993" t="str">
        <f t="shared" si="60"/>
        <v>S992</v>
      </c>
      <c r="B993" t="str">
        <f t="shared" ca="1" si="61"/>
        <v>M016</v>
      </c>
      <c r="C993">
        <f t="shared" ca="1" si="62"/>
        <v>10</v>
      </c>
      <c r="D993" s="1">
        <f t="shared" ca="1" si="63"/>
        <v>46068</v>
      </c>
    </row>
    <row r="994" spans="1:4" x14ac:dyDescent="0.25">
      <c r="A994" t="str">
        <f t="shared" si="60"/>
        <v>S993</v>
      </c>
      <c r="B994" t="str">
        <f t="shared" ca="1" si="61"/>
        <v>M077</v>
      </c>
      <c r="C994">
        <f t="shared" ca="1" si="62"/>
        <v>8</v>
      </c>
      <c r="D994" s="1">
        <f t="shared" ca="1" si="63"/>
        <v>46106</v>
      </c>
    </row>
    <row r="995" spans="1:4" x14ac:dyDescent="0.25">
      <c r="A995" t="str">
        <f t="shared" si="60"/>
        <v>S994</v>
      </c>
      <c r="B995" t="str">
        <f t="shared" ca="1" si="61"/>
        <v>M021</v>
      </c>
      <c r="C995">
        <f t="shared" ca="1" si="62"/>
        <v>1</v>
      </c>
      <c r="D995" s="1">
        <f t="shared" ca="1" si="63"/>
        <v>46077</v>
      </c>
    </row>
    <row r="996" spans="1:4" x14ac:dyDescent="0.25">
      <c r="A996" t="str">
        <f t="shared" si="60"/>
        <v>S995</v>
      </c>
      <c r="B996" t="str">
        <f t="shared" ca="1" si="61"/>
        <v>M020</v>
      </c>
      <c r="C996">
        <f t="shared" ca="1" si="62"/>
        <v>17</v>
      </c>
      <c r="D996" s="1">
        <f t="shared" ca="1" si="63"/>
        <v>46043</v>
      </c>
    </row>
    <row r="997" spans="1:4" x14ac:dyDescent="0.25">
      <c r="A997" t="str">
        <f t="shared" si="60"/>
        <v>S996</v>
      </c>
      <c r="B997" t="str">
        <f t="shared" ca="1" si="61"/>
        <v>M066</v>
      </c>
      <c r="C997">
        <f t="shared" ca="1" si="62"/>
        <v>28</v>
      </c>
      <c r="D997" s="1">
        <f t="shared" ca="1" si="63"/>
        <v>46078</v>
      </c>
    </row>
    <row r="998" spans="1:4" x14ac:dyDescent="0.25">
      <c r="A998" t="str">
        <f t="shared" si="60"/>
        <v>S997</v>
      </c>
      <c r="B998" t="str">
        <f t="shared" ca="1" si="61"/>
        <v>M099</v>
      </c>
      <c r="C998">
        <f t="shared" ca="1" si="62"/>
        <v>19</v>
      </c>
      <c r="D998" s="1">
        <f t="shared" ca="1" si="63"/>
        <v>46053</v>
      </c>
    </row>
    <row r="999" spans="1:4" x14ac:dyDescent="0.25">
      <c r="A999" t="str">
        <f t="shared" si="60"/>
        <v>S998</v>
      </c>
      <c r="B999" t="str">
        <f t="shared" ca="1" si="61"/>
        <v>M029</v>
      </c>
      <c r="C999">
        <f t="shared" ca="1" si="62"/>
        <v>21</v>
      </c>
      <c r="D999" s="1">
        <f t="shared" ca="1" si="63"/>
        <v>46097</v>
      </c>
    </row>
    <row r="1000" spans="1:4" x14ac:dyDescent="0.25">
      <c r="A1000" t="str">
        <f t="shared" si="60"/>
        <v>S999</v>
      </c>
      <c r="B1000" t="str">
        <f t="shared" ca="1" si="61"/>
        <v>M053</v>
      </c>
      <c r="C1000">
        <f t="shared" ca="1" si="62"/>
        <v>5</v>
      </c>
      <c r="D1000" s="1">
        <f t="shared" ca="1" si="63"/>
        <v>46094</v>
      </c>
    </row>
    <row r="1001" spans="1:4" x14ac:dyDescent="0.25">
      <c r="A1001" t="str">
        <f t="shared" si="60"/>
        <v>S1000</v>
      </c>
      <c r="B1001" t="str">
        <f t="shared" ca="1" si="61"/>
        <v>M064</v>
      </c>
      <c r="C1001">
        <f t="shared" ca="1" si="62"/>
        <v>3</v>
      </c>
      <c r="D1001" s="1">
        <f t="shared" ca="1" si="63"/>
        <v>46107</v>
      </c>
    </row>
    <row r="1002" spans="1:4" x14ac:dyDescent="0.25">
      <c r="A1002" t="str">
        <f t="shared" si="60"/>
        <v>S1001</v>
      </c>
      <c r="B1002" t="str">
        <f t="shared" ca="1" si="61"/>
        <v>M059</v>
      </c>
      <c r="C1002">
        <f t="shared" ca="1" si="62"/>
        <v>3</v>
      </c>
      <c r="D1002" s="1">
        <f t="shared" ca="1" si="63"/>
        <v>46115</v>
      </c>
    </row>
    <row r="1003" spans="1:4" x14ac:dyDescent="0.25">
      <c r="A1003" t="str">
        <f t="shared" si="60"/>
        <v>S1002</v>
      </c>
      <c r="B1003" t="str">
        <f t="shared" ca="1" si="61"/>
        <v>M051</v>
      </c>
      <c r="C1003">
        <f t="shared" ca="1" si="62"/>
        <v>10</v>
      </c>
      <c r="D1003" s="1">
        <f t="shared" ca="1" si="63"/>
        <v>46095</v>
      </c>
    </row>
    <row r="1004" spans="1:4" x14ac:dyDescent="0.25">
      <c r="A1004" t="str">
        <f t="shared" si="60"/>
        <v>S1003</v>
      </c>
      <c r="B1004" t="str">
        <f t="shared" ca="1" si="61"/>
        <v>M005</v>
      </c>
      <c r="C1004">
        <f t="shared" ca="1" si="62"/>
        <v>18</v>
      </c>
      <c r="D1004" s="1">
        <f t="shared" ca="1" si="63"/>
        <v>46089</v>
      </c>
    </row>
    <row r="1005" spans="1:4" x14ac:dyDescent="0.25">
      <c r="A1005" t="str">
        <f t="shared" si="60"/>
        <v>S1004</v>
      </c>
      <c r="B1005" t="str">
        <f t="shared" ca="1" si="61"/>
        <v>M091</v>
      </c>
      <c r="C1005">
        <f t="shared" ca="1" si="62"/>
        <v>14</v>
      </c>
      <c r="D1005" s="1">
        <f t="shared" ca="1" si="63"/>
        <v>46078</v>
      </c>
    </row>
    <row r="1006" spans="1:4" x14ac:dyDescent="0.25">
      <c r="A1006" t="str">
        <f t="shared" si="60"/>
        <v>S1005</v>
      </c>
      <c r="B1006" t="str">
        <f t="shared" ca="1" si="61"/>
        <v>M069</v>
      </c>
      <c r="C1006">
        <f t="shared" ca="1" si="62"/>
        <v>6</v>
      </c>
      <c r="D1006" s="1">
        <f t="shared" ca="1" si="63"/>
        <v>46033</v>
      </c>
    </row>
    <row r="1007" spans="1:4" x14ac:dyDescent="0.25">
      <c r="A1007" t="str">
        <f t="shared" si="60"/>
        <v>S1006</v>
      </c>
      <c r="B1007" t="str">
        <f t="shared" ca="1" si="61"/>
        <v>M075</v>
      </c>
      <c r="C1007">
        <f t="shared" ca="1" si="62"/>
        <v>10</v>
      </c>
      <c r="D1007" s="1">
        <f t="shared" ca="1" si="63"/>
        <v>46109</v>
      </c>
    </row>
    <row r="1008" spans="1:4" x14ac:dyDescent="0.25">
      <c r="A1008" t="str">
        <f t="shared" si="60"/>
        <v>S1007</v>
      </c>
      <c r="B1008" t="str">
        <f t="shared" ca="1" si="61"/>
        <v>M017</v>
      </c>
      <c r="C1008">
        <f t="shared" ca="1" si="62"/>
        <v>8</v>
      </c>
      <c r="D1008" s="1">
        <f t="shared" ca="1" si="63"/>
        <v>46105</v>
      </c>
    </row>
    <row r="1009" spans="1:4" x14ac:dyDescent="0.25">
      <c r="A1009" t="str">
        <f t="shared" si="60"/>
        <v>S1008</v>
      </c>
      <c r="B1009" t="str">
        <f t="shared" ca="1" si="61"/>
        <v>M018</v>
      </c>
      <c r="C1009">
        <f t="shared" ca="1" si="62"/>
        <v>1</v>
      </c>
      <c r="D1009" s="1">
        <f t="shared" ca="1" si="63"/>
        <v>46100</v>
      </c>
    </row>
    <row r="1010" spans="1:4" x14ac:dyDescent="0.25">
      <c r="A1010" t="str">
        <f t="shared" si="60"/>
        <v>S1009</v>
      </c>
      <c r="B1010" t="str">
        <f t="shared" ca="1" si="61"/>
        <v>M017</v>
      </c>
      <c r="C1010">
        <f t="shared" ca="1" si="62"/>
        <v>24</v>
      </c>
      <c r="D1010" s="1">
        <f t="shared" ca="1" si="63"/>
        <v>46087</v>
      </c>
    </row>
    <row r="1011" spans="1:4" x14ac:dyDescent="0.25">
      <c r="A1011" t="str">
        <f t="shared" si="60"/>
        <v>S1010</v>
      </c>
      <c r="B1011" t="str">
        <f t="shared" ca="1" si="61"/>
        <v>M052</v>
      </c>
      <c r="C1011">
        <f t="shared" ca="1" si="62"/>
        <v>8</v>
      </c>
      <c r="D1011" s="1">
        <f t="shared" ca="1" si="63"/>
        <v>46032</v>
      </c>
    </row>
    <row r="1012" spans="1:4" x14ac:dyDescent="0.25">
      <c r="A1012" t="str">
        <f t="shared" si="60"/>
        <v>S1011</v>
      </c>
      <c r="B1012" t="str">
        <f t="shared" ca="1" si="61"/>
        <v>M100</v>
      </c>
      <c r="C1012">
        <f t="shared" ca="1" si="62"/>
        <v>5</v>
      </c>
      <c r="D1012" s="1">
        <f t="shared" ca="1" si="63"/>
        <v>46033</v>
      </c>
    </row>
    <row r="1013" spans="1:4" x14ac:dyDescent="0.25">
      <c r="A1013" t="str">
        <f t="shared" si="60"/>
        <v>S1012</v>
      </c>
      <c r="B1013" t="str">
        <f t="shared" ca="1" si="61"/>
        <v>M008</v>
      </c>
      <c r="C1013">
        <f t="shared" ca="1" si="62"/>
        <v>27</v>
      </c>
      <c r="D1013" s="1">
        <f t="shared" ca="1" si="63"/>
        <v>46089</v>
      </c>
    </row>
    <row r="1014" spans="1:4" x14ac:dyDescent="0.25">
      <c r="A1014" t="str">
        <f t="shared" si="60"/>
        <v>S1013</v>
      </c>
      <c r="B1014" t="str">
        <f t="shared" ca="1" si="61"/>
        <v>M092</v>
      </c>
      <c r="C1014">
        <f t="shared" ca="1" si="62"/>
        <v>2</v>
      </c>
      <c r="D1014" s="1">
        <f t="shared" ca="1" si="63"/>
        <v>46107</v>
      </c>
    </row>
    <row r="1015" spans="1:4" x14ac:dyDescent="0.25">
      <c r="A1015" t="str">
        <f t="shared" si="60"/>
        <v>S1014</v>
      </c>
      <c r="B1015" t="str">
        <f t="shared" ca="1" si="61"/>
        <v>M063</v>
      </c>
      <c r="C1015">
        <f t="shared" ca="1" si="62"/>
        <v>23</v>
      </c>
      <c r="D1015" s="1">
        <f t="shared" ca="1" si="63"/>
        <v>46052</v>
      </c>
    </row>
    <row r="1016" spans="1:4" x14ac:dyDescent="0.25">
      <c r="A1016" t="str">
        <f t="shared" si="60"/>
        <v>S1015</v>
      </c>
      <c r="B1016" t="str">
        <f t="shared" ca="1" si="61"/>
        <v>M098</v>
      </c>
      <c r="C1016">
        <f t="shared" ca="1" si="62"/>
        <v>25</v>
      </c>
      <c r="D1016" s="1">
        <f t="shared" ca="1" si="63"/>
        <v>46079</v>
      </c>
    </row>
    <row r="1017" spans="1:4" x14ac:dyDescent="0.25">
      <c r="A1017" t="str">
        <f t="shared" si="60"/>
        <v>S1016</v>
      </c>
      <c r="B1017" t="str">
        <f t="shared" ca="1" si="61"/>
        <v>M074</v>
      </c>
      <c r="C1017">
        <f t="shared" ca="1" si="62"/>
        <v>21</v>
      </c>
      <c r="D1017" s="1">
        <f t="shared" ca="1" si="63"/>
        <v>46064</v>
      </c>
    </row>
    <row r="1018" spans="1:4" x14ac:dyDescent="0.25">
      <c r="A1018" t="str">
        <f t="shared" si="60"/>
        <v>S1017</v>
      </c>
      <c r="B1018" t="str">
        <f t="shared" ca="1" si="61"/>
        <v>M061</v>
      </c>
      <c r="C1018">
        <f t="shared" ca="1" si="62"/>
        <v>30</v>
      </c>
      <c r="D1018" s="1">
        <f t="shared" ca="1" si="63"/>
        <v>46087</v>
      </c>
    </row>
    <row r="1019" spans="1:4" x14ac:dyDescent="0.25">
      <c r="A1019" t="str">
        <f t="shared" si="60"/>
        <v>S1018</v>
      </c>
      <c r="B1019" t="str">
        <f t="shared" ca="1" si="61"/>
        <v>M081</v>
      </c>
      <c r="C1019">
        <f t="shared" ca="1" si="62"/>
        <v>29</v>
      </c>
      <c r="D1019" s="1">
        <f t="shared" ca="1" si="63"/>
        <v>46086</v>
      </c>
    </row>
    <row r="1020" spans="1:4" x14ac:dyDescent="0.25">
      <c r="A1020" t="str">
        <f t="shared" si="60"/>
        <v>S1019</v>
      </c>
      <c r="B1020" t="str">
        <f t="shared" ca="1" si="61"/>
        <v>M003</v>
      </c>
      <c r="C1020">
        <f t="shared" ca="1" si="62"/>
        <v>26</v>
      </c>
      <c r="D1020" s="1">
        <f t="shared" ca="1" si="63"/>
        <v>46098</v>
      </c>
    </row>
    <row r="1021" spans="1:4" x14ac:dyDescent="0.25">
      <c r="A1021" t="str">
        <f t="shared" si="60"/>
        <v>S1020</v>
      </c>
      <c r="B1021" t="str">
        <f t="shared" ca="1" si="61"/>
        <v>M063</v>
      </c>
      <c r="C1021">
        <f t="shared" ca="1" si="62"/>
        <v>3</v>
      </c>
      <c r="D1021" s="1">
        <f t="shared" ca="1" si="63"/>
        <v>46060</v>
      </c>
    </row>
    <row r="1022" spans="1:4" x14ac:dyDescent="0.25">
      <c r="A1022" t="str">
        <f t="shared" si="60"/>
        <v>S1021</v>
      </c>
      <c r="B1022" t="str">
        <f t="shared" ca="1" si="61"/>
        <v>M069</v>
      </c>
      <c r="C1022">
        <f t="shared" ca="1" si="62"/>
        <v>22</v>
      </c>
      <c r="D1022" s="1">
        <f t="shared" ca="1" si="63"/>
        <v>46089</v>
      </c>
    </row>
    <row r="1023" spans="1:4" x14ac:dyDescent="0.25">
      <c r="A1023" t="str">
        <f t="shared" si="60"/>
        <v>S1022</v>
      </c>
      <c r="B1023" t="str">
        <f t="shared" ca="1" si="61"/>
        <v>M015</v>
      </c>
      <c r="C1023">
        <f t="shared" ca="1" si="62"/>
        <v>30</v>
      </c>
      <c r="D1023" s="1">
        <f t="shared" ca="1" si="63"/>
        <v>46081</v>
      </c>
    </row>
    <row r="1024" spans="1:4" x14ac:dyDescent="0.25">
      <c r="A1024" t="str">
        <f t="shared" si="60"/>
        <v>S1023</v>
      </c>
      <c r="B1024" t="str">
        <f t="shared" ca="1" si="61"/>
        <v>M090</v>
      </c>
      <c r="C1024">
        <f t="shared" ca="1" si="62"/>
        <v>7</v>
      </c>
      <c r="D1024" s="1">
        <f t="shared" ca="1" si="63"/>
        <v>46090</v>
      </c>
    </row>
    <row r="1025" spans="1:4" x14ac:dyDescent="0.25">
      <c r="A1025" t="str">
        <f t="shared" si="60"/>
        <v>S1024</v>
      </c>
      <c r="B1025" t="str">
        <f t="shared" ca="1" si="61"/>
        <v>M013</v>
      </c>
      <c r="C1025">
        <f t="shared" ca="1" si="62"/>
        <v>21</v>
      </c>
      <c r="D1025" s="1">
        <f t="shared" ca="1" si="63"/>
        <v>46083</v>
      </c>
    </row>
    <row r="1026" spans="1:4" x14ac:dyDescent="0.25">
      <c r="A1026" t="str">
        <f t="shared" si="60"/>
        <v>S1025</v>
      </c>
      <c r="B1026" t="str">
        <f t="shared" ca="1" si="61"/>
        <v>M054</v>
      </c>
      <c r="C1026">
        <f t="shared" ca="1" si="62"/>
        <v>13</v>
      </c>
      <c r="D1026" s="1">
        <f t="shared" ca="1" si="63"/>
        <v>46104</v>
      </c>
    </row>
    <row r="1027" spans="1:4" x14ac:dyDescent="0.25">
      <c r="A1027" t="str">
        <f t="shared" ref="A1027:A1090" si="64">"S"&amp;TEXT(ROW(A1026),"000")</f>
        <v>S1026</v>
      </c>
      <c r="B1027" t="str">
        <f t="shared" ref="B1027:B1090" ca="1" si="65">"M"&amp;TEXT(RANDBETWEEN(1,100),"000")</f>
        <v>M035</v>
      </c>
      <c r="C1027">
        <f t="shared" ref="C1027:C1090" ca="1" si="66">RANDBETWEEN(1,30)</f>
        <v>29</v>
      </c>
      <c r="D1027" s="1">
        <f t="shared" ref="D1027:D1090" ca="1" si="67">TODAY()-RANDBETWEEN(1,90)</f>
        <v>46082</v>
      </c>
    </row>
    <row r="1028" spans="1:4" x14ac:dyDescent="0.25">
      <c r="A1028" t="str">
        <f t="shared" si="64"/>
        <v>S1027</v>
      </c>
      <c r="B1028" t="str">
        <f t="shared" ca="1" si="65"/>
        <v>M077</v>
      </c>
      <c r="C1028">
        <f t="shared" ca="1" si="66"/>
        <v>15</v>
      </c>
      <c r="D1028" s="1">
        <f t="shared" ca="1" si="67"/>
        <v>46100</v>
      </c>
    </row>
    <row r="1029" spans="1:4" x14ac:dyDescent="0.25">
      <c r="A1029" t="str">
        <f t="shared" si="64"/>
        <v>S1028</v>
      </c>
      <c r="B1029" t="str">
        <f t="shared" ca="1" si="65"/>
        <v>M055</v>
      </c>
      <c r="C1029">
        <f t="shared" ca="1" si="66"/>
        <v>27</v>
      </c>
      <c r="D1029" s="1">
        <f t="shared" ca="1" si="67"/>
        <v>46045</v>
      </c>
    </row>
    <row r="1030" spans="1:4" x14ac:dyDescent="0.25">
      <c r="A1030" t="str">
        <f t="shared" si="64"/>
        <v>S1029</v>
      </c>
      <c r="B1030" t="str">
        <f t="shared" ca="1" si="65"/>
        <v>M035</v>
      </c>
      <c r="C1030">
        <f t="shared" ca="1" si="66"/>
        <v>17</v>
      </c>
      <c r="D1030" s="1">
        <f t="shared" ca="1" si="67"/>
        <v>46072</v>
      </c>
    </row>
    <row r="1031" spans="1:4" x14ac:dyDescent="0.25">
      <c r="A1031" t="str">
        <f t="shared" si="64"/>
        <v>S1030</v>
      </c>
      <c r="B1031" t="str">
        <f t="shared" ca="1" si="65"/>
        <v>M084</v>
      </c>
      <c r="C1031">
        <f t="shared" ca="1" si="66"/>
        <v>9</v>
      </c>
      <c r="D1031" s="1">
        <f t="shared" ca="1" si="67"/>
        <v>46111</v>
      </c>
    </row>
    <row r="1032" spans="1:4" x14ac:dyDescent="0.25">
      <c r="A1032" t="str">
        <f t="shared" si="64"/>
        <v>S1031</v>
      </c>
      <c r="B1032" t="str">
        <f t="shared" ca="1" si="65"/>
        <v>M082</v>
      </c>
      <c r="C1032">
        <f t="shared" ca="1" si="66"/>
        <v>19</v>
      </c>
      <c r="D1032" s="1">
        <f t="shared" ca="1" si="67"/>
        <v>46059</v>
      </c>
    </row>
    <row r="1033" spans="1:4" x14ac:dyDescent="0.25">
      <c r="A1033" t="str">
        <f t="shared" si="64"/>
        <v>S1032</v>
      </c>
      <c r="B1033" t="str">
        <f t="shared" ca="1" si="65"/>
        <v>M003</v>
      </c>
      <c r="C1033">
        <f t="shared" ca="1" si="66"/>
        <v>14</v>
      </c>
      <c r="D1033" s="1">
        <f t="shared" ca="1" si="67"/>
        <v>46071</v>
      </c>
    </row>
    <row r="1034" spans="1:4" x14ac:dyDescent="0.25">
      <c r="A1034" t="str">
        <f t="shared" si="64"/>
        <v>S1033</v>
      </c>
      <c r="B1034" t="str">
        <f t="shared" ca="1" si="65"/>
        <v>M081</v>
      </c>
      <c r="C1034">
        <f t="shared" ca="1" si="66"/>
        <v>4</v>
      </c>
      <c r="D1034" s="1">
        <f t="shared" ca="1" si="67"/>
        <v>46057</v>
      </c>
    </row>
    <row r="1035" spans="1:4" x14ac:dyDescent="0.25">
      <c r="A1035" t="str">
        <f t="shared" si="64"/>
        <v>S1034</v>
      </c>
      <c r="B1035" t="str">
        <f t="shared" ca="1" si="65"/>
        <v>M053</v>
      </c>
      <c r="C1035">
        <f t="shared" ca="1" si="66"/>
        <v>10</v>
      </c>
      <c r="D1035" s="1">
        <f t="shared" ca="1" si="67"/>
        <v>46044</v>
      </c>
    </row>
    <row r="1036" spans="1:4" x14ac:dyDescent="0.25">
      <c r="A1036" t="str">
        <f t="shared" si="64"/>
        <v>S1035</v>
      </c>
      <c r="B1036" t="str">
        <f t="shared" ca="1" si="65"/>
        <v>M005</v>
      </c>
      <c r="C1036">
        <f t="shared" ca="1" si="66"/>
        <v>27</v>
      </c>
      <c r="D1036" s="1">
        <f t="shared" ca="1" si="67"/>
        <v>46114</v>
      </c>
    </row>
    <row r="1037" spans="1:4" x14ac:dyDescent="0.25">
      <c r="A1037" t="str">
        <f t="shared" si="64"/>
        <v>S1036</v>
      </c>
      <c r="B1037" t="str">
        <f t="shared" ca="1" si="65"/>
        <v>M059</v>
      </c>
      <c r="C1037">
        <f t="shared" ca="1" si="66"/>
        <v>5</v>
      </c>
      <c r="D1037" s="1">
        <f t="shared" ca="1" si="67"/>
        <v>46061</v>
      </c>
    </row>
    <row r="1038" spans="1:4" x14ac:dyDescent="0.25">
      <c r="A1038" t="str">
        <f t="shared" si="64"/>
        <v>S1037</v>
      </c>
      <c r="B1038" t="str">
        <f t="shared" ca="1" si="65"/>
        <v>M057</v>
      </c>
      <c r="C1038">
        <f t="shared" ca="1" si="66"/>
        <v>10</v>
      </c>
      <c r="D1038" s="1">
        <f t="shared" ca="1" si="67"/>
        <v>46051</v>
      </c>
    </row>
    <row r="1039" spans="1:4" x14ac:dyDescent="0.25">
      <c r="A1039" t="str">
        <f t="shared" si="64"/>
        <v>S1038</v>
      </c>
      <c r="B1039" t="str">
        <f t="shared" ca="1" si="65"/>
        <v>M027</v>
      </c>
      <c r="C1039">
        <f t="shared" ca="1" si="66"/>
        <v>18</v>
      </c>
      <c r="D1039" s="1">
        <f t="shared" ca="1" si="67"/>
        <v>46105</v>
      </c>
    </row>
    <row r="1040" spans="1:4" x14ac:dyDescent="0.25">
      <c r="A1040" t="str">
        <f t="shared" si="64"/>
        <v>S1039</v>
      </c>
      <c r="B1040" t="str">
        <f t="shared" ca="1" si="65"/>
        <v>M055</v>
      </c>
      <c r="C1040">
        <f t="shared" ca="1" si="66"/>
        <v>7</v>
      </c>
      <c r="D1040" s="1">
        <f t="shared" ca="1" si="67"/>
        <v>46093</v>
      </c>
    </row>
    <row r="1041" spans="1:4" x14ac:dyDescent="0.25">
      <c r="A1041" t="str">
        <f t="shared" si="64"/>
        <v>S1040</v>
      </c>
      <c r="B1041" t="str">
        <f t="shared" ca="1" si="65"/>
        <v>M063</v>
      </c>
      <c r="C1041">
        <f t="shared" ca="1" si="66"/>
        <v>29</v>
      </c>
      <c r="D1041" s="1">
        <f t="shared" ca="1" si="67"/>
        <v>46029</v>
      </c>
    </row>
    <row r="1042" spans="1:4" x14ac:dyDescent="0.25">
      <c r="A1042" t="str">
        <f t="shared" si="64"/>
        <v>S1041</v>
      </c>
      <c r="B1042" t="str">
        <f t="shared" ca="1" si="65"/>
        <v>M083</v>
      </c>
      <c r="C1042">
        <f t="shared" ca="1" si="66"/>
        <v>7</v>
      </c>
      <c r="D1042" s="1">
        <f t="shared" ca="1" si="67"/>
        <v>46032</v>
      </c>
    </row>
    <row r="1043" spans="1:4" x14ac:dyDescent="0.25">
      <c r="A1043" t="str">
        <f t="shared" si="64"/>
        <v>S1042</v>
      </c>
      <c r="B1043" t="str">
        <f t="shared" ca="1" si="65"/>
        <v>M020</v>
      </c>
      <c r="C1043">
        <f t="shared" ca="1" si="66"/>
        <v>12</v>
      </c>
      <c r="D1043" s="1">
        <f t="shared" ca="1" si="67"/>
        <v>46093</v>
      </c>
    </row>
    <row r="1044" spans="1:4" x14ac:dyDescent="0.25">
      <c r="A1044" t="str">
        <f t="shared" si="64"/>
        <v>S1043</v>
      </c>
      <c r="B1044" t="str">
        <f t="shared" ca="1" si="65"/>
        <v>M024</v>
      </c>
      <c r="C1044">
        <f t="shared" ca="1" si="66"/>
        <v>4</v>
      </c>
      <c r="D1044" s="1">
        <f t="shared" ca="1" si="67"/>
        <v>46037</v>
      </c>
    </row>
    <row r="1045" spans="1:4" x14ac:dyDescent="0.25">
      <c r="A1045" t="str">
        <f t="shared" si="64"/>
        <v>S1044</v>
      </c>
      <c r="B1045" t="str">
        <f t="shared" ca="1" si="65"/>
        <v>M039</v>
      </c>
      <c r="C1045">
        <f t="shared" ca="1" si="66"/>
        <v>23</v>
      </c>
      <c r="D1045" s="1">
        <f t="shared" ca="1" si="67"/>
        <v>46114</v>
      </c>
    </row>
    <row r="1046" spans="1:4" x14ac:dyDescent="0.25">
      <c r="A1046" t="str">
        <f t="shared" si="64"/>
        <v>S1045</v>
      </c>
      <c r="B1046" t="str">
        <f t="shared" ca="1" si="65"/>
        <v>M015</v>
      </c>
      <c r="C1046">
        <f t="shared" ca="1" si="66"/>
        <v>19</v>
      </c>
      <c r="D1046" s="1">
        <f t="shared" ca="1" si="67"/>
        <v>46111</v>
      </c>
    </row>
    <row r="1047" spans="1:4" x14ac:dyDescent="0.25">
      <c r="A1047" t="str">
        <f t="shared" si="64"/>
        <v>S1046</v>
      </c>
      <c r="B1047" t="str">
        <f t="shared" ca="1" si="65"/>
        <v>M091</v>
      </c>
      <c r="C1047">
        <f t="shared" ca="1" si="66"/>
        <v>5</v>
      </c>
      <c r="D1047" s="1">
        <f t="shared" ca="1" si="67"/>
        <v>46103</v>
      </c>
    </row>
    <row r="1048" spans="1:4" x14ac:dyDescent="0.25">
      <c r="A1048" t="str">
        <f t="shared" si="64"/>
        <v>S1047</v>
      </c>
      <c r="B1048" t="str">
        <f t="shared" ca="1" si="65"/>
        <v>M043</v>
      </c>
      <c r="C1048">
        <f t="shared" ca="1" si="66"/>
        <v>28</v>
      </c>
      <c r="D1048" s="1">
        <f t="shared" ca="1" si="67"/>
        <v>46104</v>
      </c>
    </row>
    <row r="1049" spans="1:4" x14ac:dyDescent="0.25">
      <c r="A1049" t="str">
        <f t="shared" si="64"/>
        <v>S1048</v>
      </c>
      <c r="B1049" t="str">
        <f t="shared" ca="1" si="65"/>
        <v>M028</v>
      </c>
      <c r="C1049">
        <f t="shared" ca="1" si="66"/>
        <v>23</v>
      </c>
      <c r="D1049" s="1">
        <f t="shared" ca="1" si="67"/>
        <v>46093</v>
      </c>
    </row>
    <row r="1050" spans="1:4" x14ac:dyDescent="0.25">
      <c r="A1050" t="str">
        <f t="shared" si="64"/>
        <v>S1049</v>
      </c>
      <c r="B1050" t="str">
        <f t="shared" ca="1" si="65"/>
        <v>M098</v>
      </c>
      <c r="C1050">
        <f t="shared" ca="1" si="66"/>
        <v>1</v>
      </c>
      <c r="D1050" s="1">
        <f t="shared" ca="1" si="67"/>
        <v>46039</v>
      </c>
    </row>
    <row r="1051" spans="1:4" x14ac:dyDescent="0.25">
      <c r="A1051" t="str">
        <f t="shared" si="64"/>
        <v>S1050</v>
      </c>
      <c r="B1051" t="str">
        <f t="shared" ca="1" si="65"/>
        <v>M008</v>
      </c>
      <c r="C1051">
        <f t="shared" ca="1" si="66"/>
        <v>12</v>
      </c>
      <c r="D1051" s="1">
        <f t="shared" ca="1" si="67"/>
        <v>46063</v>
      </c>
    </row>
    <row r="1052" spans="1:4" x14ac:dyDescent="0.25">
      <c r="A1052" t="str">
        <f t="shared" si="64"/>
        <v>S1051</v>
      </c>
      <c r="B1052" t="str">
        <f t="shared" ca="1" si="65"/>
        <v>M054</v>
      </c>
      <c r="C1052">
        <f t="shared" ca="1" si="66"/>
        <v>19</v>
      </c>
      <c r="D1052" s="1">
        <f t="shared" ca="1" si="67"/>
        <v>46046</v>
      </c>
    </row>
    <row r="1053" spans="1:4" x14ac:dyDescent="0.25">
      <c r="A1053" t="str">
        <f t="shared" si="64"/>
        <v>S1052</v>
      </c>
      <c r="B1053" t="str">
        <f t="shared" ca="1" si="65"/>
        <v>M017</v>
      </c>
      <c r="C1053">
        <f t="shared" ca="1" si="66"/>
        <v>11</v>
      </c>
      <c r="D1053" s="1">
        <f t="shared" ca="1" si="67"/>
        <v>46036</v>
      </c>
    </row>
    <row r="1054" spans="1:4" x14ac:dyDescent="0.25">
      <c r="A1054" t="str">
        <f t="shared" si="64"/>
        <v>S1053</v>
      </c>
      <c r="B1054" t="str">
        <f t="shared" ca="1" si="65"/>
        <v>M067</v>
      </c>
      <c r="C1054">
        <f t="shared" ca="1" si="66"/>
        <v>15</v>
      </c>
      <c r="D1054" s="1">
        <f t="shared" ca="1" si="67"/>
        <v>46117</v>
      </c>
    </row>
    <row r="1055" spans="1:4" x14ac:dyDescent="0.25">
      <c r="A1055" t="str">
        <f t="shared" si="64"/>
        <v>S1054</v>
      </c>
      <c r="B1055" t="str">
        <f t="shared" ca="1" si="65"/>
        <v>M084</v>
      </c>
      <c r="C1055">
        <f t="shared" ca="1" si="66"/>
        <v>4</v>
      </c>
      <c r="D1055" s="1">
        <f t="shared" ca="1" si="67"/>
        <v>46086</v>
      </c>
    </row>
    <row r="1056" spans="1:4" x14ac:dyDescent="0.25">
      <c r="A1056" t="str">
        <f t="shared" si="64"/>
        <v>S1055</v>
      </c>
      <c r="B1056" t="str">
        <f t="shared" ca="1" si="65"/>
        <v>M093</v>
      </c>
      <c r="C1056">
        <f t="shared" ca="1" si="66"/>
        <v>13</v>
      </c>
      <c r="D1056" s="1">
        <f t="shared" ca="1" si="67"/>
        <v>46056</v>
      </c>
    </row>
    <row r="1057" spans="1:4" x14ac:dyDescent="0.25">
      <c r="A1057" t="str">
        <f t="shared" si="64"/>
        <v>S1056</v>
      </c>
      <c r="B1057" t="str">
        <f t="shared" ca="1" si="65"/>
        <v>M019</v>
      </c>
      <c r="C1057">
        <f t="shared" ca="1" si="66"/>
        <v>20</v>
      </c>
      <c r="D1057" s="1">
        <f t="shared" ca="1" si="67"/>
        <v>46067</v>
      </c>
    </row>
    <row r="1058" spans="1:4" x14ac:dyDescent="0.25">
      <c r="A1058" t="str">
        <f t="shared" si="64"/>
        <v>S1057</v>
      </c>
      <c r="B1058" t="str">
        <f t="shared" ca="1" si="65"/>
        <v>M028</v>
      </c>
      <c r="C1058">
        <f t="shared" ca="1" si="66"/>
        <v>19</v>
      </c>
      <c r="D1058" s="1">
        <f t="shared" ca="1" si="67"/>
        <v>46105</v>
      </c>
    </row>
    <row r="1059" spans="1:4" x14ac:dyDescent="0.25">
      <c r="A1059" t="str">
        <f t="shared" si="64"/>
        <v>S1058</v>
      </c>
      <c r="B1059" t="str">
        <f t="shared" ca="1" si="65"/>
        <v>M096</v>
      </c>
      <c r="C1059">
        <f t="shared" ca="1" si="66"/>
        <v>10</v>
      </c>
      <c r="D1059" s="1">
        <f t="shared" ca="1" si="67"/>
        <v>46096</v>
      </c>
    </row>
    <row r="1060" spans="1:4" x14ac:dyDescent="0.25">
      <c r="A1060" t="str">
        <f t="shared" si="64"/>
        <v>S1059</v>
      </c>
      <c r="B1060" t="str">
        <f t="shared" ca="1" si="65"/>
        <v>M030</v>
      </c>
      <c r="C1060">
        <f t="shared" ca="1" si="66"/>
        <v>11</v>
      </c>
      <c r="D1060" s="1">
        <f t="shared" ca="1" si="67"/>
        <v>46040</v>
      </c>
    </row>
    <row r="1061" spans="1:4" x14ac:dyDescent="0.25">
      <c r="A1061" t="str">
        <f t="shared" si="64"/>
        <v>S1060</v>
      </c>
      <c r="B1061" t="str">
        <f t="shared" ca="1" si="65"/>
        <v>M095</v>
      </c>
      <c r="C1061">
        <f t="shared" ca="1" si="66"/>
        <v>20</v>
      </c>
      <c r="D1061" s="1">
        <f t="shared" ca="1" si="67"/>
        <v>46071</v>
      </c>
    </row>
    <row r="1062" spans="1:4" x14ac:dyDescent="0.25">
      <c r="A1062" t="str">
        <f t="shared" si="64"/>
        <v>S1061</v>
      </c>
      <c r="B1062" t="str">
        <f t="shared" ca="1" si="65"/>
        <v>M055</v>
      </c>
      <c r="C1062">
        <f t="shared" ca="1" si="66"/>
        <v>17</v>
      </c>
      <c r="D1062" s="1">
        <f t="shared" ca="1" si="67"/>
        <v>46081</v>
      </c>
    </row>
    <row r="1063" spans="1:4" x14ac:dyDescent="0.25">
      <c r="A1063" t="str">
        <f t="shared" si="64"/>
        <v>S1062</v>
      </c>
      <c r="B1063" t="str">
        <f t="shared" ca="1" si="65"/>
        <v>M053</v>
      </c>
      <c r="C1063">
        <f t="shared" ca="1" si="66"/>
        <v>30</v>
      </c>
      <c r="D1063" s="1">
        <f t="shared" ca="1" si="67"/>
        <v>46081</v>
      </c>
    </row>
    <row r="1064" spans="1:4" x14ac:dyDescent="0.25">
      <c r="A1064" t="str">
        <f t="shared" si="64"/>
        <v>S1063</v>
      </c>
      <c r="B1064" t="str">
        <f t="shared" ca="1" si="65"/>
        <v>M060</v>
      </c>
      <c r="C1064">
        <f t="shared" ca="1" si="66"/>
        <v>18</v>
      </c>
      <c r="D1064" s="1">
        <f t="shared" ca="1" si="67"/>
        <v>46069</v>
      </c>
    </row>
    <row r="1065" spans="1:4" x14ac:dyDescent="0.25">
      <c r="A1065" t="str">
        <f t="shared" si="64"/>
        <v>S1064</v>
      </c>
      <c r="B1065" t="str">
        <f t="shared" ca="1" si="65"/>
        <v>M042</v>
      </c>
      <c r="C1065">
        <f t="shared" ca="1" si="66"/>
        <v>29</v>
      </c>
      <c r="D1065" s="1">
        <f t="shared" ca="1" si="67"/>
        <v>46035</v>
      </c>
    </row>
    <row r="1066" spans="1:4" x14ac:dyDescent="0.25">
      <c r="A1066" t="str">
        <f t="shared" si="64"/>
        <v>S1065</v>
      </c>
      <c r="B1066" t="str">
        <f t="shared" ca="1" si="65"/>
        <v>M034</v>
      </c>
      <c r="C1066">
        <f t="shared" ca="1" si="66"/>
        <v>16</v>
      </c>
      <c r="D1066" s="1">
        <f t="shared" ca="1" si="67"/>
        <v>46069</v>
      </c>
    </row>
    <row r="1067" spans="1:4" x14ac:dyDescent="0.25">
      <c r="A1067" t="str">
        <f t="shared" si="64"/>
        <v>S1066</v>
      </c>
      <c r="B1067" t="str">
        <f t="shared" ca="1" si="65"/>
        <v>M058</v>
      </c>
      <c r="C1067">
        <f t="shared" ca="1" si="66"/>
        <v>26</v>
      </c>
      <c r="D1067" s="1">
        <f t="shared" ca="1" si="67"/>
        <v>46063</v>
      </c>
    </row>
    <row r="1068" spans="1:4" x14ac:dyDescent="0.25">
      <c r="A1068" t="str">
        <f t="shared" si="64"/>
        <v>S1067</v>
      </c>
      <c r="B1068" t="str">
        <f t="shared" ca="1" si="65"/>
        <v>M021</v>
      </c>
      <c r="C1068">
        <f t="shared" ca="1" si="66"/>
        <v>22</v>
      </c>
      <c r="D1068" s="1">
        <f t="shared" ca="1" si="67"/>
        <v>46069</v>
      </c>
    </row>
    <row r="1069" spans="1:4" x14ac:dyDescent="0.25">
      <c r="A1069" t="str">
        <f t="shared" si="64"/>
        <v>S1068</v>
      </c>
      <c r="B1069" t="str">
        <f t="shared" ca="1" si="65"/>
        <v>M044</v>
      </c>
      <c r="C1069">
        <f t="shared" ca="1" si="66"/>
        <v>29</v>
      </c>
      <c r="D1069" s="1">
        <f t="shared" ca="1" si="67"/>
        <v>46053</v>
      </c>
    </row>
    <row r="1070" spans="1:4" x14ac:dyDescent="0.25">
      <c r="A1070" t="str">
        <f t="shared" si="64"/>
        <v>S1069</v>
      </c>
      <c r="B1070" t="str">
        <f t="shared" ca="1" si="65"/>
        <v>M056</v>
      </c>
      <c r="C1070">
        <f t="shared" ca="1" si="66"/>
        <v>5</v>
      </c>
      <c r="D1070" s="1">
        <f t="shared" ca="1" si="67"/>
        <v>46082</v>
      </c>
    </row>
    <row r="1071" spans="1:4" x14ac:dyDescent="0.25">
      <c r="A1071" t="str">
        <f t="shared" si="64"/>
        <v>S1070</v>
      </c>
      <c r="B1071" t="str">
        <f t="shared" ca="1" si="65"/>
        <v>M038</v>
      </c>
      <c r="C1071">
        <f t="shared" ca="1" si="66"/>
        <v>28</v>
      </c>
      <c r="D1071" s="1">
        <f t="shared" ca="1" si="67"/>
        <v>46067</v>
      </c>
    </row>
    <row r="1072" spans="1:4" x14ac:dyDescent="0.25">
      <c r="A1072" t="str">
        <f t="shared" si="64"/>
        <v>S1071</v>
      </c>
      <c r="B1072" t="str">
        <f t="shared" ca="1" si="65"/>
        <v>M066</v>
      </c>
      <c r="C1072">
        <f t="shared" ca="1" si="66"/>
        <v>13</v>
      </c>
      <c r="D1072" s="1">
        <f t="shared" ca="1" si="67"/>
        <v>46101</v>
      </c>
    </row>
    <row r="1073" spans="1:4" x14ac:dyDescent="0.25">
      <c r="A1073" t="str">
        <f t="shared" si="64"/>
        <v>S1072</v>
      </c>
      <c r="B1073" t="str">
        <f t="shared" ca="1" si="65"/>
        <v>M006</v>
      </c>
      <c r="C1073">
        <f t="shared" ca="1" si="66"/>
        <v>28</v>
      </c>
      <c r="D1073" s="1">
        <f t="shared" ca="1" si="67"/>
        <v>46090</v>
      </c>
    </row>
    <row r="1074" spans="1:4" x14ac:dyDescent="0.25">
      <c r="A1074" t="str">
        <f t="shared" si="64"/>
        <v>S1073</v>
      </c>
      <c r="B1074" t="str">
        <f t="shared" ca="1" si="65"/>
        <v>M059</v>
      </c>
      <c r="C1074">
        <f t="shared" ca="1" si="66"/>
        <v>17</v>
      </c>
      <c r="D1074" s="1">
        <f t="shared" ca="1" si="67"/>
        <v>46068</v>
      </c>
    </row>
    <row r="1075" spans="1:4" x14ac:dyDescent="0.25">
      <c r="A1075" t="str">
        <f t="shared" si="64"/>
        <v>S1074</v>
      </c>
      <c r="B1075" t="str">
        <f t="shared" ca="1" si="65"/>
        <v>M006</v>
      </c>
      <c r="C1075">
        <f t="shared" ca="1" si="66"/>
        <v>10</v>
      </c>
      <c r="D1075" s="1">
        <f t="shared" ca="1" si="67"/>
        <v>46107</v>
      </c>
    </row>
    <row r="1076" spans="1:4" x14ac:dyDescent="0.25">
      <c r="A1076" t="str">
        <f t="shared" si="64"/>
        <v>S1075</v>
      </c>
      <c r="B1076" t="str">
        <f t="shared" ca="1" si="65"/>
        <v>M061</v>
      </c>
      <c r="C1076">
        <f t="shared" ca="1" si="66"/>
        <v>10</v>
      </c>
      <c r="D1076" s="1">
        <f t="shared" ca="1" si="67"/>
        <v>46033</v>
      </c>
    </row>
    <row r="1077" spans="1:4" x14ac:dyDescent="0.25">
      <c r="A1077" t="str">
        <f t="shared" si="64"/>
        <v>S1076</v>
      </c>
      <c r="B1077" t="str">
        <f t="shared" ca="1" si="65"/>
        <v>M046</v>
      </c>
      <c r="C1077">
        <f t="shared" ca="1" si="66"/>
        <v>1</v>
      </c>
      <c r="D1077" s="1">
        <f t="shared" ca="1" si="67"/>
        <v>46060</v>
      </c>
    </row>
    <row r="1078" spans="1:4" x14ac:dyDescent="0.25">
      <c r="A1078" t="str">
        <f t="shared" si="64"/>
        <v>S1077</v>
      </c>
      <c r="B1078" t="str">
        <f t="shared" ca="1" si="65"/>
        <v>M027</v>
      </c>
      <c r="C1078">
        <f t="shared" ca="1" si="66"/>
        <v>28</v>
      </c>
      <c r="D1078" s="1">
        <f t="shared" ca="1" si="67"/>
        <v>46057</v>
      </c>
    </row>
    <row r="1079" spans="1:4" x14ac:dyDescent="0.25">
      <c r="A1079" t="str">
        <f t="shared" si="64"/>
        <v>S1078</v>
      </c>
      <c r="B1079" t="str">
        <f t="shared" ca="1" si="65"/>
        <v>M010</v>
      </c>
      <c r="C1079">
        <f t="shared" ca="1" si="66"/>
        <v>13</v>
      </c>
      <c r="D1079" s="1">
        <f t="shared" ca="1" si="67"/>
        <v>46084</v>
      </c>
    </row>
    <row r="1080" spans="1:4" x14ac:dyDescent="0.25">
      <c r="A1080" t="str">
        <f t="shared" si="64"/>
        <v>S1079</v>
      </c>
      <c r="B1080" t="str">
        <f t="shared" ca="1" si="65"/>
        <v>M054</v>
      </c>
      <c r="C1080">
        <f t="shared" ca="1" si="66"/>
        <v>5</v>
      </c>
      <c r="D1080" s="1">
        <f t="shared" ca="1" si="67"/>
        <v>46073</v>
      </c>
    </row>
    <row r="1081" spans="1:4" x14ac:dyDescent="0.25">
      <c r="A1081" t="str">
        <f t="shared" si="64"/>
        <v>S1080</v>
      </c>
      <c r="B1081" t="str">
        <f t="shared" ca="1" si="65"/>
        <v>M027</v>
      </c>
      <c r="C1081">
        <f t="shared" ca="1" si="66"/>
        <v>2</v>
      </c>
      <c r="D1081" s="1">
        <f t="shared" ca="1" si="67"/>
        <v>46049</v>
      </c>
    </row>
    <row r="1082" spans="1:4" x14ac:dyDescent="0.25">
      <c r="A1082" t="str">
        <f t="shared" si="64"/>
        <v>S1081</v>
      </c>
      <c r="B1082" t="str">
        <f t="shared" ca="1" si="65"/>
        <v>M062</v>
      </c>
      <c r="C1082">
        <f t="shared" ca="1" si="66"/>
        <v>28</v>
      </c>
      <c r="D1082" s="1">
        <f t="shared" ca="1" si="67"/>
        <v>46089</v>
      </c>
    </row>
    <row r="1083" spans="1:4" x14ac:dyDescent="0.25">
      <c r="A1083" t="str">
        <f t="shared" si="64"/>
        <v>S1082</v>
      </c>
      <c r="B1083" t="str">
        <f t="shared" ca="1" si="65"/>
        <v>M051</v>
      </c>
      <c r="C1083">
        <f t="shared" ca="1" si="66"/>
        <v>5</v>
      </c>
      <c r="D1083" s="1">
        <f t="shared" ca="1" si="67"/>
        <v>46057</v>
      </c>
    </row>
    <row r="1084" spans="1:4" x14ac:dyDescent="0.25">
      <c r="A1084" t="str">
        <f t="shared" si="64"/>
        <v>S1083</v>
      </c>
      <c r="B1084" t="str">
        <f t="shared" ca="1" si="65"/>
        <v>M094</v>
      </c>
      <c r="C1084">
        <f t="shared" ca="1" si="66"/>
        <v>28</v>
      </c>
      <c r="D1084" s="1">
        <f t="shared" ca="1" si="67"/>
        <v>46061</v>
      </c>
    </row>
    <row r="1085" spans="1:4" x14ac:dyDescent="0.25">
      <c r="A1085" t="str">
        <f t="shared" si="64"/>
        <v>S1084</v>
      </c>
      <c r="B1085" t="str">
        <f t="shared" ca="1" si="65"/>
        <v>M090</v>
      </c>
      <c r="C1085">
        <f t="shared" ca="1" si="66"/>
        <v>16</v>
      </c>
      <c r="D1085" s="1">
        <f t="shared" ca="1" si="67"/>
        <v>46086</v>
      </c>
    </row>
    <row r="1086" spans="1:4" x14ac:dyDescent="0.25">
      <c r="A1086" t="str">
        <f t="shared" si="64"/>
        <v>S1085</v>
      </c>
      <c r="B1086" t="str">
        <f t="shared" ca="1" si="65"/>
        <v>M068</v>
      </c>
      <c r="C1086">
        <f t="shared" ca="1" si="66"/>
        <v>22</v>
      </c>
      <c r="D1086" s="1">
        <f t="shared" ca="1" si="67"/>
        <v>46081</v>
      </c>
    </row>
    <row r="1087" spans="1:4" x14ac:dyDescent="0.25">
      <c r="A1087" t="str">
        <f t="shared" si="64"/>
        <v>S1086</v>
      </c>
      <c r="B1087" t="str">
        <f t="shared" ca="1" si="65"/>
        <v>M089</v>
      </c>
      <c r="C1087">
        <f t="shared" ca="1" si="66"/>
        <v>21</v>
      </c>
      <c r="D1087" s="1">
        <f t="shared" ca="1" si="67"/>
        <v>46035</v>
      </c>
    </row>
    <row r="1088" spans="1:4" x14ac:dyDescent="0.25">
      <c r="A1088" t="str">
        <f t="shared" si="64"/>
        <v>S1087</v>
      </c>
      <c r="B1088" t="str">
        <f t="shared" ca="1" si="65"/>
        <v>M029</v>
      </c>
      <c r="C1088">
        <f t="shared" ca="1" si="66"/>
        <v>23</v>
      </c>
      <c r="D1088" s="1">
        <f t="shared" ca="1" si="67"/>
        <v>46054</v>
      </c>
    </row>
    <row r="1089" spans="1:4" x14ac:dyDescent="0.25">
      <c r="A1089" t="str">
        <f t="shared" si="64"/>
        <v>S1088</v>
      </c>
      <c r="B1089" t="str">
        <f t="shared" ca="1" si="65"/>
        <v>M083</v>
      </c>
      <c r="C1089">
        <f t="shared" ca="1" si="66"/>
        <v>13</v>
      </c>
      <c r="D1089" s="1">
        <f t="shared" ca="1" si="67"/>
        <v>46046</v>
      </c>
    </row>
    <row r="1090" spans="1:4" x14ac:dyDescent="0.25">
      <c r="A1090" t="str">
        <f t="shared" si="64"/>
        <v>S1089</v>
      </c>
      <c r="B1090" t="str">
        <f t="shared" ca="1" si="65"/>
        <v>M081</v>
      </c>
      <c r="C1090">
        <f t="shared" ca="1" si="66"/>
        <v>29</v>
      </c>
      <c r="D1090" s="1">
        <f t="shared" ca="1" si="67"/>
        <v>46037</v>
      </c>
    </row>
    <row r="1091" spans="1:4" x14ac:dyDescent="0.25">
      <c r="A1091" t="str">
        <f t="shared" ref="A1091:A1154" si="68">"S"&amp;TEXT(ROW(A1090),"000")</f>
        <v>S1090</v>
      </c>
      <c r="B1091" t="str">
        <f t="shared" ref="B1091:B1154" ca="1" si="69">"M"&amp;TEXT(RANDBETWEEN(1,100),"000")</f>
        <v>M017</v>
      </c>
      <c r="C1091">
        <f t="shared" ref="C1091:C1154" ca="1" si="70">RANDBETWEEN(1,30)</f>
        <v>3</v>
      </c>
      <c r="D1091" s="1">
        <f t="shared" ref="D1091:D1154" ca="1" si="71">TODAY()-RANDBETWEEN(1,90)</f>
        <v>46054</v>
      </c>
    </row>
    <row r="1092" spans="1:4" x14ac:dyDescent="0.25">
      <c r="A1092" t="str">
        <f t="shared" si="68"/>
        <v>S1091</v>
      </c>
      <c r="B1092" t="str">
        <f t="shared" ca="1" si="69"/>
        <v>M046</v>
      </c>
      <c r="C1092">
        <f t="shared" ca="1" si="70"/>
        <v>6</v>
      </c>
      <c r="D1092" s="1">
        <f t="shared" ca="1" si="71"/>
        <v>46097</v>
      </c>
    </row>
    <row r="1093" spans="1:4" x14ac:dyDescent="0.25">
      <c r="A1093" t="str">
        <f t="shared" si="68"/>
        <v>S1092</v>
      </c>
      <c r="B1093" t="str">
        <f t="shared" ca="1" si="69"/>
        <v>M030</v>
      </c>
      <c r="C1093">
        <f t="shared" ca="1" si="70"/>
        <v>17</v>
      </c>
      <c r="D1093" s="1">
        <f t="shared" ca="1" si="71"/>
        <v>46066</v>
      </c>
    </row>
    <row r="1094" spans="1:4" x14ac:dyDescent="0.25">
      <c r="A1094" t="str">
        <f t="shared" si="68"/>
        <v>S1093</v>
      </c>
      <c r="B1094" t="str">
        <f t="shared" ca="1" si="69"/>
        <v>M088</v>
      </c>
      <c r="C1094">
        <f t="shared" ca="1" si="70"/>
        <v>26</v>
      </c>
      <c r="D1094" s="1">
        <f t="shared" ca="1" si="71"/>
        <v>46105</v>
      </c>
    </row>
    <row r="1095" spans="1:4" x14ac:dyDescent="0.25">
      <c r="A1095" t="str">
        <f t="shared" si="68"/>
        <v>S1094</v>
      </c>
      <c r="B1095" t="str">
        <f t="shared" ca="1" si="69"/>
        <v>M015</v>
      </c>
      <c r="C1095">
        <f t="shared" ca="1" si="70"/>
        <v>22</v>
      </c>
      <c r="D1095" s="1">
        <f t="shared" ca="1" si="71"/>
        <v>46035</v>
      </c>
    </row>
    <row r="1096" spans="1:4" x14ac:dyDescent="0.25">
      <c r="A1096" t="str">
        <f t="shared" si="68"/>
        <v>S1095</v>
      </c>
      <c r="B1096" t="str">
        <f t="shared" ca="1" si="69"/>
        <v>M091</v>
      </c>
      <c r="C1096">
        <f t="shared" ca="1" si="70"/>
        <v>13</v>
      </c>
      <c r="D1096" s="1">
        <f t="shared" ca="1" si="71"/>
        <v>46066</v>
      </c>
    </row>
    <row r="1097" spans="1:4" x14ac:dyDescent="0.25">
      <c r="A1097" t="str">
        <f t="shared" si="68"/>
        <v>S1096</v>
      </c>
      <c r="B1097" t="str">
        <f t="shared" ca="1" si="69"/>
        <v>M090</v>
      </c>
      <c r="C1097">
        <f t="shared" ca="1" si="70"/>
        <v>21</v>
      </c>
      <c r="D1097" s="1">
        <f t="shared" ca="1" si="71"/>
        <v>46113</v>
      </c>
    </row>
    <row r="1098" spans="1:4" x14ac:dyDescent="0.25">
      <c r="A1098" t="str">
        <f t="shared" si="68"/>
        <v>S1097</v>
      </c>
      <c r="B1098" t="str">
        <f t="shared" ca="1" si="69"/>
        <v>M017</v>
      </c>
      <c r="C1098">
        <f t="shared" ca="1" si="70"/>
        <v>13</v>
      </c>
      <c r="D1098" s="1">
        <f t="shared" ca="1" si="71"/>
        <v>46076</v>
      </c>
    </row>
    <row r="1099" spans="1:4" x14ac:dyDescent="0.25">
      <c r="A1099" t="str">
        <f t="shared" si="68"/>
        <v>S1098</v>
      </c>
      <c r="B1099" t="str">
        <f t="shared" ca="1" si="69"/>
        <v>M029</v>
      </c>
      <c r="C1099">
        <f t="shared" ca="1" si="70"/>
        <v>20</v>
      </c>
      <c r="D1099" s="1">
        <f t="shared" ca="1" si="71"/>
        <v>46103</v>
      </c>
    </row>
    <row r="1100" spans="1:4" x14ac:dyDescent="0.25">
      <c r="A1100" t="str">
        <f t="shared" si="68"/>
        <v>S1099</v>
      </c>
      <c r="B1100" t="str">
        <f t="shared" ca="1" si="69"/>
        <v>M078</v>
      </c>
      <c r="C1100">
        <f t="shared" ca="1" si="70"/>
        <v>21</v>
      </c>
      <c r="D1100" s="1">
        <f t="shared" ca="1" si="71"/>
        <v>46098</v>
      </c>
    </row>
    <row r="1101" spans="1:4" x14ac:dyDescent="0.25">
      <c r="A1101" t="str">
        <f t="shared" si="68"/>
        <v>S1100</v>
      </c>
      <c r="B1101" t="str">
        <f t="shared" ca="1" si="69"/>
        <v>M078</v>
      </c>
      <c r="C1101">
        <f t="shared" ca="1" si="70"/>
        <v>8</v>
      </c>
      <c r="D1101" s="1">
        <f t="shared" ca="1" si="71"/>
        <v>46115</v>
      </c>
    </row>
    <row r="1102" spans="1:4" x14ac:dyDescent="0.25">
      <c r="A1102" t="str">
        <f t="shared" si="68"/>
        <v>S1101</v>
      </c>
      <c r="B1102" t="str">
        <f t="shared" ca="1" si="69"/>
        <v>M077</v>
      </c>
      <c r="C1102">
        <f t="shared" ca="1" si="70"/>
        <v>29</v>
      </c>
      <c r="D1102" s="1">
        <f t="shared" ca="1" si="71"/>
        <v>46104</v>
      </c>
    </row>
    <row r="1103" spans="1:4" x14ac:dyDescent="0.25">
      <c r="A1103" t="str">
        <f t="shared" si="68"/>
        <v>S1102</v>
      </c>
      <c r="B1103" t="str">
        <f t="shared" ca="1" si="69"/>
        <v>M044</v>
      </c>
      <c r="C1103">
        <f t="shared" ca="1" si="70"/>
        <v>9</v>
      </c>
      <c r="D1103" s="1">
        <f t="shared" ca="1" si="71"/>
        <v>46087</v>
      </c>
    </row>
    <row r="1104" spans="1:4" x14ac:dyDescent="0.25">
      <c r="A1104" t="str">
        <f t="shared" si="68"/>
        <v>S1103</v>
      </c>
      <c r="B1104" t="str">
        <f t="shared" ca="1" si="69"/>
        <v>M026</v>
      </c>
      <c r="C1104">
        <f t="shared" ca="1" si="70"/>
        <v>1</v>
      </c>
      <c r="D1104" s="1">
        <f t="shared" ca="1" si="71"/>
        <v>46030</v>
      </c>
    </row>
    <row r="1105" spans="1:4" x14ac:dyDescent="0.25">
      <c r="A1105" t="str">
        <f t="shared" si="68"/>
        <v>S1104</v>
      </c>
      <c r="B1105" t="str">
        <f t="shared" ca="1" si="69"/>
        <v>M097</v>
      </c>
      <c r="C1105">
        <f t="shared" ca="1" si="70"/>
        <v>6</v>
      </c>
      <c r="D1105" s="1">
        <f t="shared" ca="1" si="71"/>
        <v>46046</v>
      </c>
    </row>
    <row r="1106" spans="1:4" x14ac:dyDescent="0.25">
      <c r="A1106" t="str">
        <f t="shared" si="68"/>
        <v>S1105</v>
      </c>
      <c r="B1106" t="str">
        <f t="shared" ca="1" si="69"/>
        <v>M058</v>
      </c>
      <c r="C1106">
        <f t="shared" ca="1" si="70"/>
        <v>4</v>
      </c>
      <c r="D1106" s="1">
        <f t="shared" ca="1" si="71"/>
        <v>46111</v>
      </c>
    </row>
    <row r="1107" spans="1:4" x14ac:dyDescent="0.25">
      <c r="A1107" t="str">
        <f t="shared" si="68"/>
        <v>S1106</v>
      </c>
      <c r="B1107" t="str">
        <f t="shared" ca="1" si="69"/>
        <v>M013</v>
      </c>
      <c r="C1107">
        <f t="shared" ca="1" si="70"/>
        <v>10</v>
      </c>
      <c r="D1107" s="1">
        <f t="shared" ca="1" si="71"/>
        <v>46071</v>
      </c>
    </row>
    <row r="1108" spans="1:4" x14ac:dyDescent="0.25">
      <c r="A1108" t="str">
        <f t="shared" si="68"/>
        <v>S1107</v>
      </c>
      <c r="B1108" t="str">
        <f t="shared" ca="1" si="69"/>
        <v>M006</v>
      </c>
      <c r="C1108">
        <f t="shared" ca="1" si="70"/>
        <v>8</v>
      </c>
      <c r="D1108" s="1">
        <f t="shared" ca="1" si="71"/>
        <v>46033</v>
      </c>
    </row>
    <row r="1109" spans="1:4" x14ac:dyDescent="0.25">
      <c r="A1109" t="str">
        <f t="shared" si="68"/>
        <v>S1108</v>
      </c>
      <c r="B1109" t="str">
        <f t="shared" ca="1" si="69"/>
        <v>M036</v>
      </c>
      <c r="C1109">
        <f t="shared" ca="1" si="70"/>
        <v>25</v>
      </c>
      <c r="D1109" s="1">
        <f t="shared" ca="1" si="71"/>
        <v>46030</v>
      </c>
    </row>
    <row r="1110" spans="1:4" x14ac:dyDescent="0.25">
      <c r="A1110" t="str">
        <f t="shared" si="68"/>
        <v>S1109</v>
      </c>
      <c r="B1110" t="str">
        <f t="shared" ca="1" si="69"/>
        <v>M030</v>
      </c>
      <c r="C1110">
        <f t="shared" ca="1" si="70"/>
        <v>25</v>
      </c>
      <c r="D1110" s="1">
        <f t="shared" ca="1" si="71"/>
        <v>46089</v>
      </c>
    </row>
    <row r="1111" spans="1:4" x14ac:dyDescent="0.25">
      <c r="A1111" t="str">
        <f t="shared" si="68"/>
        <v>S1110</v>
      </c>
      <c r="B1111" t="str">
        <f t="shared" ca="1" si="69"/>
        <v>M054</v>
      </c>
      <c r="C1111">
        <f t="shared" ca="1" si="70"/>
        <v>17</v>
      </c>
      <c r="D1111" s="1">
        <f t="shared" ca="1" si="71"/>
        <v>46110</v>
      </c>
    </row>
    <row r="1112" spans="1:4" x14ac:dyDescent="0.25">
      <c r="A1112" t="str">
        <f t="shared" si="68"/>
        <v>S1111</v>
      </c>
      <c r="B1112" t="str">
        <f t="shared" ca="1" si="69"/>
        <v>M051</v>
      </c>
      <c r="C1112">
        <f t="shared" ca="1" si="70"/>
        <v>25</v>
      </c>
      <c r="D1112" s="1">
        <f t="shared" ca="1" si="71"/>
        <v>46040</v>
      </c>
    </row>
    <row r="1113" spans="1:4" x14ac:dyDescent="0.25">
      <c r="A1113" t="str">
        <f t="shared" si="68"/>
        <v>S1112</v>
      </c>
      <c r="B1113" t="str">
        <f t="shared" ca="1" si="69"/>
        <v>M091</v>
      </c>
      <c r="C1113">
        <f t="shared" ca="1" si="70"/>
        <v>18</v>
      </c>
      <c r="D1113" s="1">
        <f t="shared" ca="1" si="71"/>
        <v>46105</v>
      </c>
    </row>
    <row r="1114" spans="1:4" x14ac:dyDescent="0.25">
      <c r="A1114" t="str">
        <f t="shared" si="68"/>
        <v>S1113</v>
      </c>
      <c r="B1114" t="str">
        <f t="shared" ca="1" si="69"/>
        <v>M039</v>
      </c>
      <c r="C1114">
        <f t="shared" ca="1" si="70"/>
        <v>19</v>
      </c>
      <c r="D1114" s="1">
        <f t="shared" ca="1" si="71"/>
        <v>46072</v>
      </c>
    </row>
    <row r="1115" spans="1:4" x14ac:dyDescent="0.25">
      <c r="A1115" t="str">
        <f t="shared" si="68"/>
        <v>S1114</v>
      </c>
      <c r="B1115" t="str">
        <f t="shared" ca="1" si="69"/>
        <v>M037</v>
      </c>
      <c r="C1115">
        <f t="shared" ca="1" si="70"/>
        <v>29</v>
      </c>
      <c r="D1115" s="1">
        <f t="shared" ca="1" si="71"/>
        <v>46077</v>
      </c>
    </row>
    <row r="1116" spans="1:4" x14ac:dyDescent="0.25">
      <c r="A1116" t="str">
        <f t="shared" si="68"/>
        <v>S1115</v>
      </c>
      <c r="B1116" t="str">
        <f t="shared" ca="1" si="69"/>
        <v>M039</v>
      </c>
      <c r="C1116">
        <f t="shared" ca="1" si="70"/>
        <v>20</v>
      </c>
      <c r="D1116" s="1">
        <f t="shared" ca="1" si="71"/>
        <v>46032</v>
      </c>
    </row>
    <row r="1117" spans="1:4" x14ac:dyDescent="0.25">
      <c r="A1117" t="str">
        <f t="shared" si="68"/>
        <v>S1116</v>
      </c>
      <c r="B1117" t="str">
        <f t="shared" ca="1" si="69"/>
        <v>M089</v>
      </c>
      <c r="C1117">
        <f t="shared" ca="1" si="70"/>
        <v>26</v>
      </c>
      <c r="D1117" s="1">
        <f t="shared" ca="1" si="71"/>
        <v>46092</v>
      </c>
    </row>
    <row r="1118" spans="1:4" x14ac:dyDescent="0.25">
      <c r="A1118" t="str">
        <f t="shared" si="68"/>
        <v>S1117</v>
      </c>
      <c r="B1118" t="str">
        <f t="shared" ca="1" si="69"/>
        <v>M022</v>
      </c>
      <c r="C1118">
        <f t="shared" ca="1" si="70"/>
        <v>13</v>
      </c>
      <c r="D1118" s="1">
        <f t="shared" ca="1" si="71"/>
        <v>46091</v>
      </c>
    </row>
    <row r="1119" spans="1:4" x14ac:dyDescent="0.25">
      <c r="A1119" t="str">
        <f t="shared" si="68"/>
        <v>S1118</v>
      </c>
      <c r="B1119" t="str">
        <f t="shared" ca="1" si="69"/>
        <v>M085</v>
      </c>
      <c r="C1119">
        <f t="shared" ca="1" si="70"/>
        <v>13</v>
      </c>
      <c r="D1119" s="1">
        <f t="shared" ca="1" si="71"/>
        <v>46081</v>
      </c>
    </row>
    <row r="1120" spans="1:4" x14ac:dyDescent="0.25">
      <c r="A1120" t="str">
        <f t="shared" si="68"/>
        <v>S1119</v>
      </c>
      <c r="B1120" t="str">
        <f t="shared" ca="1" si="69"/>
        <v>M065</v>
      </c>
      <c r="C1120">
        <f t="shared" ca="1" si="70"/>
        <v>8</v>
      </c>
      <c r="D1120" s="1">
        <f t="shared" ca="1" si="71"/>
        <v>46097</v>
      </c>
    </row>
    <row r="1121" spans="1:4" x14ac:dyDescent="0.25">
      <c r="A1121" t="str">
        <f t="shared" si="68"/>
        <v>S1120</v>
      </c>
      <c r="B1121" t="str">
        <f t="shared" ca="1" si="69"/>
        <v>M044</v>
      </c>
      <c r="C1121">
        <f t="shared" ca="1" si="70"/>
        <v>14</v>
      </c>
      <c r="D1121" s="1">
        <f t="shared" ca="1" si="71"/>
        <v>46104</v>
      </c>
    </row>
    <row r="1122" spans="1:4" x14ac:dyDescent="0.25">
      <c r="A1122" t="str">
        <f t="shared" si="68"/>
        <v>S1121</v>
      </c>
      <c r="B1122" t="str">
        <f t="shared" ca="1" si="69"/>
        <v>M065</v>
      </c>
      <c r="C1122">
        <f t="shared" ca="1" si="70"/>
        <v>22</v>
      </c>
      <c r="D1122" s="1">
        <f t="shared" ca="1" si="71"/>
        <v>46040</v>
      </c>
    </row>
    <row r="1123" spans="1:4" x14ac:dyDescent="0.25">
      <c r="A1123" t="str">
        <f t="shared" si="68"/>
        <v>S1122</v>
      </c>
      <c r="B1123" t="str">
        <f t="shared" ca="1" si="69"/>
        <v>M072</v>
      </c>
      <c r="C1123">
        <f t="shared" ca="1" si="70"/>
        <v>7</v>
      </c>
      <c r="D1123" s="1">
        <f t="shared" ca="1" si="71"/>
        <v>46088</v>
      </c>
    </row>
    <row r="1124" spans="1:4" x14ac:dyDescent="0.25">
      <c r="A1124" t="str">
        <f t="shared" si="68"/>
        <v>S1123</v>
      </c>
      <c r="B1124" t="str">
        <f t="shared" ca="1" si="69"/>
        <v>M097</v>
      </c>
      <c r="C1124">
        <f t="shared" ca="1" si="70"/>
        <v>20</v>
      </c>
      <c r="D1124" s="1">
        <f t="shared" ca="1" si="71"/>
        <v>46072</v>
      </c>
    </row>
    <row r="1125" spans="1:4" x14ac:dyDescent="0.25">
      <c r="A1125" t="str">
        <f t="shared" si="68"/>
        <v>S1124</v>
      </c>
      <c r="B1125" t="str">
        <f t="shared" ca="1" si="69"/>
        <v>M009</v>
      </c>
      <c r="C1125">
        <f t="shared" ca="1" si="70"/>
        <v>24</v>
      </c>
      <c r="D1125" s="1">
        <f t="shared" ca="1" si="71"/>
        <v>46097</v>
      </c>
    </row>
    <row r="1126" spans="1:4" x14ac:dyDescent="0.25">
      <c r="A1126" t="str">
        <f t="shared" si="68"/>
        <v>S1125</v>
      </c>
      <c r="B1126" t="str">
        <f t="shared" ca="1" si="69"/>
        <v>M059</v>
      </c>
      <c r="C1126">
        <f t="shared" ca="1" si="70"/>
        <v>10</v>
      </c>
      <c r="D1126" s="1">
        <f t="shared" ca="1" si="71"/>
        <v>46108</v>
      </c>
    </row>
    <row r="1127" spans="1:4" x14ac:dyDescent="0.25">
      <c r="A1127" t="str">
        <f t="shared" si="68"/>
        <v>S1126</v>
      </c>
      <c r="B1127" t="str">
        <f t="shared" ca="1" si="69"/>
        <v>M093</v>
      </c>
      <c r="C1127">
        <f t="shared" ca="1" si="70"/>
        <v>27</v>
      </c>
      <c r="D1127" s="1">
        <f t="shared" ca="1" si="71"/>
        <v>46115</v>
      </c>
    </row>
    <row r="1128" spans="1:4" x14ac:dyDescent="0.25">
      <c r="A1128" t="str">
        <f t="shared" si="68"/>
        <v>S1127</v>
      </c>
      <c r="B1128" t="str">
        <f t="shared" ca="1" si="69"/>
        <v>M056</v>
      </c>
      <c r="C1128">
        <f t="shared" ca="1" si="70"/>
        <v>12</v>
      </c>
      <c r="D1128" s="1">
        <f t="shared" ca="1" si="71"/>
        <v>46034</v>
      </c>
    </row>
    <row r="1129" spans="1:4" x14ac:dyDescent="0.25">
      <c r="A1129" t="str">
        <f t="shared" si="68"/>
        <v>S1128</v>
      </c>
      <c r="B1129" t="str">
        <f t="shared" ca="1" si="69"/>
        <v>M052</v>
      </c>
      <c r="C1129">
        <f t="shared" ca="1" si="70"/>
        <v>6</v>
      </c>
      <c r="D1129" s="1">
        <f t="shared" ca="1" si="71"/>
        <v>46115</v>
      </c>
    </row>
    <row r="1130" spans="1:4" x14ac:dyDescent="0.25">
      <c r="A1130" t="str">
        <f t="shared" si="68"/>
        <v>S1129</v>
      </c>
      <c r="B1130" t="str">
        <f t="shared" ca="1" si="69"/>
        <v>M020</v>
      </c>
      <c r="C1130">
        <f t="shared" ca="1" si="70"/>
        <v>5</v>
      </c>
      <c r="D1130" s="1">
        <f t="shared" ca="1" si="71"/>
        <v>46101</v>
      </c>
    </row>
    <row r="1131" spans="1:4" x14ac:dyDescent="0.25">
      <c r="A1131" t="str">
        <f t="shared" si="68"/>
        <v>S1130</v>
      </c>
      <c r="B1131" t="str">
        <f t="shared" ca="1" si="69"/>
        <v>M005</v>
      </c>
      <c r="C1131">
        <f t="shared" ca="1" si="70"/>
        <v>26</v>
      </c>
      <c r="D1131" s="1">
        <f t="shared" ca="1" si="71"/>
        <v>46116</v>
      </c>
    </row>
    <row r="1132" spans="1:4" x14ac:dyDescent="0.25">
      <c r="A1132" t="str">
        <f t="shared" si="68"/>
        <v>S1131</v>
      </c>
      <c r="B1132" t="str">
        <f t="shared" ca="1" si="69"/>
        <v>M024</v>
      </c>
      <c r="C1132">
        <f t="shared" ca="1" si="70"/>
        <v>24</v>
      </c>
      <c r="D1132" s="1">
        <f t="shared" ca="1" si="71"/>
        <v>46069</v>
      </c>
    </row>
    <row r="1133" spans="1:4" x14ac:dyDescent="0.25">
      <c r="A1133" t="str">
        <f t="shared" si="68"/>
        <v>S1132</v>
      </c>
      <c r="B1133" t="str">
        <f t="shared" ca="1" si="69"/>
        <v>M068</v>
      </c>
      <c r="C1133">
        <f t="shared" ca="1" si="70"/>
        <v>19</v>
      </c>
      <c r="D1133" s="1">
        <f t="shared" ca="1" si="71"/>
        <v>46066</v>
      </c>
    </row>
    <row r="1134" spans="1:4" x14ac:dyDescent="0.25">
      <c r="A1134" t="str">
        <f t="shared" si="68"/>
        <v>S1133</v>
      </c>
      <c r="B1134" t="str">
        <f t="shared" ca="1" si="69"/>
        <v>M074</v>
      </c>
      <c r="C1134">
        <f t="shared" ca="1" si="70"/>
        <v>20</v>
      </c>
      <c r="D1134" s="1">
        <f t="shared" ca="1" si="71"/>
        <v>46031</v>
      </c>
    </row>
    <row r="1135" spans="1:4" x14ac:dyDescent="0.25">
      <c r="A1135" t="str">
        <f t="shared" si="68"/>
        <v>S1134</v>
      </c>
      <c r="B1135" t="str">
        <f t="shared" ca="1" si="69"/>
        <v>M056</v>
      </c>
      <c r="C1135">
        <f t="shared" ca="1" si="70"/>
        <v>25</v>
      </c>
      <c r="D1135" s="1">
        <f t="shared" ca="1" si="71"/>
        <v>46042</v>
      </c>
    </row>
    <row r="1136" spans="1:4" x14ac:dyDescent="0.25">
      <c r="A1136" t="str">
        <f t="shared" si="68"/>
        <v>S1135</v>
      </c>
      <c r="B1136" t="str">
        <f t="shared" ca="1" si="69"/>
        <v>M072</v>
      </c>
      <c r="C1136">
        <f t="shared" ca="1" si="70"/>
        <v>8</v>
      </c>
      <c r="D1136" s="1">
        <f t="shared" ca="1" si="71"/>
        <v>46090</v>
      </c>
    </row>
    <row r="1137" spans="1:4" x14ac:dyDescent="0.25">
      <c r="A1137" t="str">
        <f t="shared" si="68"/>
        <v>S1136</v>
      </c>
      <c r="B1137" t="str">
        <f t="shared" ca="1" si="69"/>
        <v>M016</v>
      </c>
      <c r="C1137">
        <f t="shared" ca="1" si="70"/>
        <v>5</v>
      </c>
      <c r="D1137" s="1">
        <f t="shared" ca="1" si="71"/>
        <v>46047</v>
      </c>
    </row>
    <row r="1138" spans="1:4" x14ac:dyDescent="0.25">
      <c r="A1138" t="str">
        <f t="shared" si="68"/>
        <v>S1137</v>
      </c>
      <c r="B1138" t="str">
        <f t="shared" ca="1" si="69"/>
        <v>M069</v>
      </c>
      <c r="C1138">
        <f t="shared" ca="1" si="70"/>
        <v>11</v>
      </c>
      <c r="D1138" s="1">
        <f t="shared" ca="1" si="71"/>
        <v>46035</v>
      </c>
    </row>
    <row r="1139" spans="1:4" x14ac:dyDescent="0.25">
      <c r="A1139" t="str">
        <f t="shared" si="68"/>
        <v>S1138</v>
      </c>
      <c r="B1139" t="str">
        <f t="shared" ca="1" si="69"/>
        <v>M059</v>
      </c>
      <c r="C1139">
        <f t="shared" ca="1" si="70"/>
        <v>17</v>
      </c>
      <c r="D1139" s="1">
        <f t="shared" ca="1" si="71"/>
        <v>46114</v>
      </c>
    </row>
    <row r="1140" spans="1:4" x14ac:dyDescent="0.25">
      <c r="A1140" t="str">
        <f t="shared" si="68"/>
        <v>S1139</v>
      </c>
      <c r="B1140" t="str">
        <f t="shared" ca="1" si="69"/>
        <v>M096</v>
      </c>
      <c r="C1140">
        <f t="shared" ca="1" si="70"/>
        <v>9</v>
      </c>
      <c r="D1140" s="1">
        <f t="shared" ca="1" si="71"/>
        <v>46096</v>
      </c>
    </row>
    <row r="1141" spans="1:4" x14ac:dyDescent="0.25">
      <c r="A1141" t="str">
        <f t="shared" si="68"/>
        <v>S1140</v>
      </c>
      <c r="B1141" t="str">
        <f t="shared" ca="1" si="69"/>
        <v>M094</v>
      </c>
      <c r="C1141">
        <f t="shared" ca="1" si="70"/>
        <v>8</v>
      </c>
      <c r="D1141" s="1">
        <f t="shared" ca="1" si="71"/>
        <v>46074</v>
      </c>
    </row>
    <row r="1142" spans="1:4" x14ac:dyDescent="0.25">
      <c r="A1142" t="str">
        <f t="shared" si="68"/>
        <v>S1141</v>
      </c>
      <c r="B1142" t="str">
        <f t="shared" ca="1" si="69"/>
        <v>M030</v>
      </c>
      <c r="C1142">
        <f t="shared" ca="1" si="70"/>
        <v>6</v>
      </c>
      <c r="D1142" s="1">
        <f t="shared" ca="1" si="71"/>
        <v>46086</v>
      </c>
    </row>
    <row r="1143" spans="1:4" x14ac:dyDescent="0.25">
      <c r="A1143" t="str">
        <f t="shared" si="68"/>
        <v>S1142</v>
      </c>
      <c r="B1143" t="str">
        <f t="shared" ca="1" si="69"/>
        <v>M076</v>
      </c>
      <c r="C1143">
        <f t="shared" ca="1" si="70"/>
        <v>3</v>
      </c>
      <c r="D1143" s="1">
        <f t="shared" ca="1" si="71"/>
        <v>46113</v>
      </c>
    </row>
    <row r="1144" spans="1:4" x14ac:dyDescent="0.25">
      <c r="A1144" t="str">
        <f t="shared" si="68"/>
        <v>S1143</v>
      </c>
      <c r="B1144" t="str">
        <f t="shared" ca="1" si="69"/>
        <v>M087</v>
      </c>
      <c r="C1144">
        <f t="shared" ca="1" si="70"/>
        <v>5</v>
      </c>
      <c r="D1144" s="1">
        <f t="shared" ca="1" si="71"/>
        <v>46035</v>
      </c>
    </row>
    <row r="1145" spans="1:4" x14ac:dyDescent="0.25">
      <c r="A1145" t="str">
        <f t="shared" si="68"/>
        <v>S1144</v>
      </c>
      <c r="B1145" t="str">
        <f t="shared" ca="1" si="69"/>
        <v>M065</v>
      </c>
      <c r="C1145">
        <f t="shared" ca="1" si="70"/>
        <v>7</v>
      </c>
      <c r="D1145" s="1">
        <f t="shared" ca="1" si="71"/>
        <v>46083</v>
      </c>
    </row>
    <row r="1146" spans="1:4" x14ac:dyDescent="0.25">
      <c r="A1146" t="str">
        <f t="shared" si="68"/>
        <v>S1145</v>
      </c>
      <c r="B1146" t="str">
        <f t="shared" ca="1" si="69"/>
        <v>M085</v>
      </c>
      <c r="C1146">
        <f t="shared" ca="1" si="70"/>
        <v>5</v>
      </c>
      <c r="D1146" s="1">
        <f t="shared" ca="1" si="71"/>
        <v>46112</v>
      </c>
    </row>
    <row r="1147" spans="1:4" x14ac:dyDescent="0.25">
      <c r="A1147" t="str">
        <f t="shared" si="68"/>
        <v>S1146</v>
      </c>
      <c r="B1147" t="str">
        <f t="shared" ca="1" si="69"/>
        <v>M012</v>
      </c>
      <c r="C1147">
        <f t="shared" ca="1" si="70"/>
        <v>8</v>
      </c>
      <c r="D1147" s="1">
        <f t="shared" ca="1" si="71"/>
        <v>46049</v>
      </c>
    </row>
    <row r="1148" spans="1:4" x14ac:dyDescent="0.25">
      <c r="A1148" t="str">
        <f t="shared" si="68"/>
        <v>S1147</v>
      </c>
      <c r="B1148" t="str">
        <f t="shared" ca="1" si="69"/>
        <v>M092</v>
      </c>
      <c r="C1148">
        <f t="shared" ca="1" si="70"/>
        <v>15</v>
      </c>
      <c r="D1148" s="1">
        <f t="shared" ca="1" si="71"/>
        <v>46091</v>
      </c>
    </row>
    <row r="1149" spans="1:4" x14ac:dyDescent="0.25">
      <c r="A1149" t="str">
        <f t="shared" si="68"/>
        <v>S1148</v>
      </c>
      <c r="B1149" t="str">
        <f t="shared" ca="1" si="69"/>
        <v>M004</v>
      </c>
      <c r="C1149">
        <f t="shared" ca="1" si="70"/>
        <v>16</v>
      </c>
      <c r="D1149" s="1">
        <f t="shared" ca="1" si="71"/>
        <v>46091</v>
      </c>
    </row>
    <row r="1150" spans="1:4" x14ac:dyDescent="0.25">
      <c r="A1150" t="str">
        <f t="shared" si="68"/>
        <v>S1149</v>
      </c>
      <c r="B1150" t="str">
        <f t="shared" ca="1" si="69"/>
        <v>M007</v>
      </c>
      <c r="C1150">
        <f t="shared" ca="1" si="70"/>
        <v>20</v>
      </c>
      <c r="D1150" s="1">
        <f t="shared" ca="1" si="71"/>
        <v>46074</v>
      </c>
    </row>
    <row r="1151" spans="1:4" x14ac:dyDescent="0.25">
      <c r="A1151" t="str">
        <f t="shared" si="68"/>
        <v>S1150</v>
      </c>
      <c r="B1151" t="str">
        <f t="shared" ca="1" si="69"/>
        <v>M022</v>
      </c>
      <c r="C1151">
        <f t="shared" ca="1" si="70"/>
        <v>4</v>
      </c>
      <c r="D1151" s="1">
        <f t="shared" ca="1" si="71"/>
        <v>46067</v>
      </c>
    </row>
    <row r="1152" spans="1:4" x14ac:dyDescent="0.25">
      <c r="A1152" t="str">
        <f t="shared" si="68"/>
        <v>S1151</v>
      </c>
      <c r="B1152" t="str">
        <f t="shared" ca="1" si="69"/>
        <v>M010</v>
      </c>
      <c r="C1152">
        <f t="shared" ca="1" si="70"/>
        <v>2</v>
      </c>
      <c r="D1152" s="1">
        <f t="shared" ca="1" si="71"/>
        <v>46083</v>
      </c>
    </row>
    <row r="1153" spans="1:4" x14ac:dyDescent="0.25">
      <c r="A1153" t="str">
        <f t="shared" si="68"/>
        <v>S1152</v>
      </c>
      <c r="B1153" t="str">
        <f t="shared" ca="1" si="69"/>
        <v>M034</v>
      </c>
      <c r="C1153">
        <f t="shared" ca="1" si="70"/>
        <v>6</v>
      </c>
      <c r="D1153" s="1">
        <f t="shared" ca="1" si="71"/>
        <v>46106</v>
      </c>
    </row>
    <row r="1154" spans="1:4" x14ac:dyDescent="0.25">
      <c r="A1154" t="str">
        <f t="shared" si="68"/>
        <v>S1153</v>
      </c>
      <c r="B1154" t="str">
        <f t="shared" ca="1" si="69"/>
        <v>M078</v>
      </c>
      <c r="C1154">
        <f t="shared" ca="1" si="70"/>
        <v>6</v>
      </c>
      <c r="D1154" s="1">
        <f t="shared" ca="1" si="71"/>
        <v>46043</v>
      </c>
    </row>
    <row r="1155" spans="1:4" x14ac:dyDescent="0.25">
      <c r="A1155" t="str">
        <f t="shared" ref="A1155:A1218" si="72">"S"&amp;TEXT(ROW(A1154),"000")</f>
        <v>S1154</v>
      </c>
      <c r="B1155" t="str">
        <f t="shared" ref="B1155:B1218" ca="1" si="73">"M"&amp;TEXT(RANDBETWEEN(1,100),"000")</f>
        <v>M015</v>
      </c>
      <c r="C1155">
        <f t="shared" ref="C1155:C1218" ca="1" si="74">RANDBETWEEN(1,30)</f>
        <v>10</v>
      </c>
      <c r="D1155" s="1">
        <f t="shared" ref="D1155:D1218" ca="1" si="75">TODAY()-RANDBETWEEN(1,90)</f>
        <v>46118</v>
      </c>
    </row>
    <row r="1156" spans="1:4" x14ac:dyDescent="0.25">
      <c r="A1156" t="str">
        <f t="shared" si="72"/>
        <v>S1155</v>
      </c>
      <c r="B1156" t="str">
        <f t="shared" ca="1" si="73"/>
        <v>M075</v>
      </c>
      <c r="C1156">
        <f t="shared" ca="1" si="74"/>
        <v>10</v>
      </c>
      <c r="D1156" s="1">
        <f t="shared" ca="1" si="75"/>
        <v>46083</v>
      </c>
    </row>
    <row r="1157" spans="1:4" x14ac:dyDescent="0.25">
      <c r="A1157" t="str">
        <f t="shared" si="72"/>
        <v>S1156</v>
      </c>
      <c r="B1157" t="str">
        <f t="shared" ca="1" si="73"/>
        <v>M072</v>
      </c>
      <c r="C1157">
        <f t="shared" ca="1" si="74"/>
        <v>14</v>
      </c>
      <c r="D1157" s="1">
        <f t="shared" ca="1" si="75"/>
        <v>46077</v>
      </c>
    </row>
    <row r="1158" spans="1:4" x14ac:dyDescent="0.25">
      <c r="A1158" t="str">
        <f t="shared" si="72"/>
        <v>S1157</v>
      </c>
      <c r="B1158" t="str">
        <f t="shared" ca="1" si="73"/>
        <v>M067</v>
      </c>
      <c r="C1158">
        <f t="shared" ca="1" si="74"/>
        <v>18</v>
      </c>
      <c r="D1158" s="1">
        <f t="shared" ca="1" si="75"/>
        <v>46046</v>
      </c>
    </row>
    <row r="1159" spans="1:4" x14ac:dyDescent="0.25">
      <c r="A1159" t="str">
        <f t="shared" si="72"/>
        <v>S1158</v>
      </c>
      <c r="B1159" t="str">
        <f t="shared" ca="1" si="73"/>
        <v>M096</v>
      </c>
      <c r="C1159">
        <f t="shared" ca="1" si="74"/>
        <v>9</v>
      </c>
      <c r="D1159" s="1">
        <f t="shared" ca="1" si="75"/>
        <v>46105</v>
      </c>
    </row>
    <row r="1160" spans="1:4" x14ac:dyDescent="0.25">
      <c r="A1160" t="str">
        <f t="shared" si="72"/>
        <v>S1159</v>
      </c>
      <c r="B1160" t="str">
        <f t="shared" ca="1" si="73"/>
        <v>M080</v>
      </c>
      <c r="C1160">
        <f t="shared" ca="1" si="74"/>
        <v>7</v>
      </c>
      <c r="D1160" s="1">
        <f t="shared" ca="1" si="75"/>
        <v>46113</v>
      </c>
    </row>
    <row r="1161" spans="1:4" x14ac:dyDescent="0.25">
      <c r="A1161" t="str">
        <f t="shared" si="72"/>
        <v>S1160</v>
      </c>
      <c r="B1161" t="str">
        <f t="shared" ca="1" si="73"/>
        <v>M094</v>
      </c>
      <c r="C1161">
        <f t="shared" ca="1" si="74"/>
        <v>26</v>
      </c>
      <c r="D1161" s="1">
        <f t="shared" ca="1" si="75"/>
        <v>46102</v>
      </c>
    </row>
    <row r="1162" spans="1:4" x14ac:dyDescent="0.25">
      <c r="A1162" t="str">
        <f t="shared" si="72"/>
        <v>S1161</v>
      </c>
      <c r="B1162" t="str">
        <f t="shared" ca="1" si="73"/>
        <v>M047</v>
      </c>
      <c r="C1162">
        <f t="shared" ca="1" si="74"/>
        <v>26</v>
      </c>
      <c r="D1162" s="1">
        <f t="shared" ca="1" si="75"/>
        <v>46044</v>
      </c>
    </row>
    <row r="1163" spans="1:4" x14ac:dyDescent="0.25">
      <c r="A1163" t="str">
        <f t="shared" si="72"/>
        <v>S1162</v>
      </c>
      <c r="B1163" t="str">
        <f t="shared" ca="1" si="73"/>
        <v>M078</v>
      </c>
      <c r="C1163">
        <f t="shared" ca="1" si="74"/>
        <v>3</v>
      </c>
      <c r="D1163" s="1">
        <f t="shared" ca="1" si="75"/>
        <v>46112</v>
      </c>
    </row>
    <row r="1164" spans="1:4" x14ac:dyDescent="0.25">
      <c r="A1164" t="str">
        <f t="shared" si="72"/>
        <v>S1163</v>
      </c>
      <c r="B1164" t="str">
        <f t="shared" ca="1" si="73"/>
        <v>M019</v>
      </c>
      <c r="C1164">
        <f t="shared" ca="1" si="74"/>
        <v>16</v>
      </c>
      <c r="D1164" s="1">
        <f t="shared" ca="1" si="75"/>
        <v>46066</v>
      </c>
    </row>
    <row r="1165" spans="1:4" x14ac:dyDescent="0.25">
      <c r="A1165" t="str">
        <f t="shared" si="72"/>
        <v>S1164</v>
      </c>
      <c r="B1165" t="str">
        <f t="shared" ca="1" si="73"/>
        <v>M083</v>
      </c>
      <c r="C1165">
        <f t="shared" ca="1" si="74"/>
        <v>3</v>
      </c>
      <c r="D1165" s="1">
        <f t="shared" ca="1" si="75"/>
        <v>46041</v>
      </c>
    </row>
    <row r="1166" spans="1:4" x14ac:dyDescent="0.25">
      <c r="A1166" t="str">
        <f t="shared" si="72"/>
        <v>S1165</v>
      </c>
      <c r="B1166" t="str">
        <f t="shared" ca="1" si="73"/>
        <v>M035</v>
      </c>
      <c r="C1166">
        <f t="shared" ca="1" si="74"/>
        <v>8</v>
      </c>
      <c r="D1166" s="1">
        <f t="shared" ca="1" si="75"/>
        <v>46034</v>
      </c>
    </row>
    <row r="1167" spans="1:4" x14ac:dyDescent="0.25">
      <c r="A1167" t="str">
        <f t="shared" si="72"/>
        <v>S1166</v>
      </c>
      <c r="B1167" t="str">
        <f t="shared" ca="1" si="73"/>
        <v>M095</v>
      </c>
      <c r="C1167">
        <f t="shared" ca="1" si="74"/>
        <v>21</v>
      </c>
      <c r="D1167" s="1">
        <f t="shared" ca="1" si="75"/>
        <v>46035</v>
      </c>
    </row>
    <row r="1168" spans="1:4" x14ac:dyDescent="0.25">
      <c r="A1168" t="str">
        <f t="shared" si="72"/>
        <v>S1167</v>
      </c>
      <c r="B1168" t="str">
        <f t="shared" ca="1" si="73"/>
        <v>M014</v>
      </c>
      <c r="C1168">
        <f t="shared" ca="1" si="74"/>
        <v>15</v>
      </c>
      <c r="D1168" s="1">
        <f t="shared" ca="1" si="75"/>
        <v>46099</v>
      </c>
    </row>
    <row r="1169" spans="1:4" x14ac:dyDescent="0.25">
      <c r="A1169" t="str">
        <f t="shared" si="72"/>
        <v>S1168</v>
      </c>
      <c r="B1169" t="str">
        <f t="shared" ca="1" si="73"/>
        <v>M075</v>
      </c>
      <c r="C1169">
        <f t="shared" ca="1" si="74"/>
        <v>8</v>
      </c>
      <c r="D1169" s="1">
        <f t="shared" ca="1" si="75"/>
        <v>46045</v>
      </c>
    </row>
    <row r="1170" spans="1:4" x14ac:dyDescent="0.25">
      <c r="A1170" t="str">
        <f t="shared" si="72"/>
        <v>S1169</v>
      </c>
      <c r="B1170" t="str">
        <f t="shared" ca="1" si="73"/>
        <v>M056</v>
      </c>
      <c r="C1170">
        <f t="shared" ca="1" si="74"/>
        <v>7</v>
      </c>
      <c r="D1170" s="1">
        <f t="shared" ca="1" si="75"/>
        <v>46064</v>
      </c>
    </row>
    <row r="1171" spans="1:4" x14ac:dyDescent="0.25">
      <c r="A1171" t="str">
        <f t="shared" si="72"/>
        <v>S1170</v>
      </c>
      <c r="B1171" t="str">
        <f t="shared" ca="1" si="73"/>
        <v>M022</v>
      </c>
      <c r="C1171">
        <f t="shared" ca="1" si="74"/>
        <v>11</v>
      </c>
      <c r="D1171" s="1">
        <f t="shared" ca="1" si="75"/>
        <v>46070</v>
      </c>
    </row>
    <row r="1172" spans="1:4" x14ac:dyDescent="0.25">
      <c r="A1172" t="str">
        <f t="shared" si="72"/>
        <v>S1171</v>
      </c>
      <c r="B1172" t="str">
        <f t="shared" ca="1" si="73"/>
        <v>M037</v>
      </c>
      <c r="C1172">
        <f t="shared" ca="1" si="74"/>
        <v>17</v>
      </c>
      <c r="D1172" s="1">
        <f t="shared" ca="1" si="75"/>
        <v>46042</v>
      </c>
    </row>
    <row r="1173" spans="1:4" x14ac:dyDescent="0.25">
      <c r="A1173" t="str">
        <f t="shared" si="72"/>
        <v>S1172</v>
      </c>
      <c r="B1173" t="str">
        <f t="shared" ca="1" si="73"/>
        <v>M053</v>
      </c>
      <c r="C1173">
        <f t="shared" ca="1" si="74"/>
        <v>1</v>
      </c>
      <c r="D1173" s="1">
        <f t="shared" ca="1" si="75"/>
        <v>46030</v>
      </c>
    </row>
    <row r="1174" spans="1:4" x14ac:dyDescent="0.25">
      <c r="A1174" t="str">
        <f t="shared" si="72"/>
        <v>S1173</v>
      </c>
      <c r="B1174" t="str">
        <f t="shared" ca="1" si="73"/>
        <v>M045</v>
      </c>
      <c r="C1174">
        <f t="shared" ca="1" si="74"/>
        <v>9</v>
      </c>
      <c r="D1174" s="1">
        <f t="shared" ca="1" si="75"/>
        <v>46082</v>
      </c>
    </row>
    <row r="1175" spans="1:4" x14ac:dyDescent="0.25">
      <c r="A1175" t="str">
        <f t="shared" si="72"/>
        <v>S1174</v>
      </c>
      <c r="B1175" t="str">
        <f t="shared" ca="1" si="73"/>
        <v>M025</v>
      </c>
      <c r="C1175">
        <f t="shared" ca="1" si="74"/>
        <v>14</v>
      </c>
      <c r="D1175" s="1">
        <f t="shared" ca="1" si="75"/>
        <v>46062</v>
      </c>
    </row>
    <row r="1176" spans="1:4" x14ac:dyDescent="0.25">
      <c r="A1176" t="str">
        <f t="shared" si="72"/>
        <v>S1175</v>
      </c>
      <c r="B1176" t="str">
        <f t="shared" ca="1" si="73"/>
        <v>M074</v>
      </c>
      <c r="C1176">
        <f t="shared" ca="1" si="74"/>
        <v>27</v>
      </c>
      <c r="D1176" s="1">
        <f t="shared" ca="1" si="75"/>
        <v>46065</v>
      </c>
    </row>
    <row r="1177" spans="1:4" x14ac:dyDescent="0.25">
      <c r="A1177" t="str">
        <f t="shared" si="72"/>
        <v>S1176</v>
      </c>
      <c r="B1177" t="str">
        <f t="shared" ca="1" si="73"/>
        <v>M004</v>
      </c>
      <c r="C1177">
        <f t="shared" ca="1" si="74"/>
        <v>25</v>
      </c>
      <c r="D1177" s="1">
        <f t="shared" ca="1" si="75"/>
        <v>46115</v>
      </c>
    </row>
    <row r="1178" spans="1:4" x14ac:dyDescent="0.25">
      <c r="A1178" t="str">
        <f t="shared" si="72"/>
        <v>S1177</v>
      </c>
      <c r="B1178" t="str">
        <f t="shared" ca="1" si="73"/>
        <v>M092</v>
      </c>
      <c r="C1178">
        <f t="shared" ca="1" si="74"/>
        <v>27</v>
      </c>
      <c r="D1178" s="1">
        <f t="shared" ca="1" si="75"/>
        <v>46092</v>
      </c>
    </row>
    <row r="1179" spans="1:4" x14ac:dyDescent="0.25">
      <c r="A1179" t="str">
        <f t="shared" si="72"/>
        <v>S1178</v>
      </c>
      <c r="B1179" t="str">
        <f t="shared" ca="1" si="73"/>
        <v>M091</v>
      </c>
      <c r="C1179">
        <f t="shared" ca="1" si="74"/>
        <v>2</v>
      </c>
      <c r="D1179" s="1">
        <f t="shared" ca="1" si="75"/>
        <v>46113</v>
      </c>
    </row>
    <row r="1180" spans="1:4" x14ac:dyDescent="0.25">
      <c r="A1180" t="str">
        <f t="shared" si="72"/>
        <v>S1179</v>
      </c>
      <c r="B1180" t="str">
        <f t="shared" ca="1" si="73"/>
        <v>M054</v>
      </c>
      <c r="C1180">
        <f t="shared" ca="1" si="74"/>
        <v>15</v>
      </c>
      <c r="D1180" s="1">
        <f t="shared" ca="1" si="75"/>
        <v>46097</v>
      </c>
    </row>
    <row r="1181" spans="1:4" x14ac:dyDescent="0.25">
      <c r="A1181" t="str">
        <f t="shared" si="72"/>
        <v>S1180</v>
      </c>
      <c r="B1181" t="str">
        <f t="shared" ca="1" si="73"/>
        <v>M033</v>
      </c>
      <c r="C1181">
        <f t="shared" ca="1" si="74"/>
        <v>23</v>
      </c>
      <c r="D1181" s="1">
        <f t="shared" ca="1" si="75"/>
        <v>46085</v>
      </c>
    </row>
    <row r="1182" spans="1:4" x14ac:dyDescent="0.25">
      <c r="A1182" t="str">
        <f t="shared" si="72"/>
        <v>S1181</v>
      </c>
      <c r="B1182" t="str">
        <f t="shared" ca="1" si="73"/>
        <v>M013</v>
      </c>
      <c r="C1182">
        <f t="shared" ca="1" si="74"/>
        <v>1</v>
      </c>
      <c r="D1182" s="1">
        <f t="shared" ca="1" si="75"/>
        <v>46069</v>
      </c>
    </row>
    <row r="1183" spans="1:4" x14ac:dyDescent="0.25">
      <c r="A1183" t="str">
        <f t="shared" si="72"/>
        <v>S1182</v>
      </c>
      <c r="B1183" t="str">
        <f t="shared" ca="1" si="73"/>
        <v>M065</v>
      </c>
      <c r="C1183">
        <f t="shared" ca="1" si="74"/>
        <v>10</v>
      </c>
      <c r="D1183" s="1">
        <f t="shared" ca="1" si="75"/>
        <v>46091</v>
      </c>
    </row>
    <row r="1184" spans="1:4" x14ac:dyDescent="0.25">
      <c r="A1184" t="str">
        <f t="shared" si="72"/>
        <v>S1183</v>
      </c>
      <c r="B1184" t="str">
        <f t="shared" ca="1" si="73"/>
        <v>M063</v>
      </c>
      <c r="C1184">
        <f t="shared" ca="1" si="74"/>
        <v>4</v>
      </c>
      <c r="D1184" s="1">
        <f t="shared" ca="1" si="75"/>
        <v>46112</v>
      </c>
    </row>
    <row r="1185" spans="1:4" x14ac:dyDescent="0.25">
      <c r="A1185" t="str">
        <f t="shared" si="72"/>
        <v>S1184</v>
      </c>
      <c r="B1185" t="str">
        <f t="shared" ca="1" si="73"/>
        <v>M060</v>
      </c>
      <c r="C1185">
        <f t="shared" ca="1" si="74"/>
        <v>13</v>
      </c>
      <c r="D1185" s="1">
        <f t="shared" ca="1" si="75"/>
        <v>46064</v>
      </c>
    </row>
    <row r="1186" spans="1:4" x14ac:dyDescent="0.25">
      <c r="A1186" t="str">
        <f t="shared" si="72"/>
        <v>S1185</v>
      </c>
      <c r="B1186" t="str">
        <f t="shared" ca="1" si="73"/>
        <v>M086</v>
      </c>
      <c r="C1186">
        <f t="shared" ca="1" si="74"/>
        <v>5</v>
      </c>
      <c r="D1186" s="1">
        <f t="shared" ca="1" si="75"/>
        <v>46046</v>
      </c>
    </row>
    <row r="1187" spans="1:4" x14ac:dyDescent="0.25">
      <c r="A1187" t="str">
        <f t="shared" si="72"/>
        <v>S1186</v>
      </c>
      <c r="B1187" t="str">
        <f t="shared" ca="1" si="73"/>
        <v>M072</v>
      </c>
      <c r="C1187">
        <f t="shared" ca="1" si="74"/>
        <v>9</v>
      </c>
      <c r="D1187" s="1">
        <f t="shared" ca="1" si="75"/>
        <v>46081</v>
      </c>
    </row>
    <row r="1188" spans="1:4" x14ac:dyDescent="0.25">
      <c r="A1188" t="str">
        <f t="shared" si="72"/>
        <v>S1187</v>
      </c>
      <c r="B1188" t="str">
        <f t="shared" ca="1" si="73"/>
        <v>M054</v>
      </c>
      <c r="C1188">
        <f t="shared" ca="1" si="74"/>
        <v>17</v>
      </c>
      <c r="D1188" s="1">
        <f t="shared" ca="1" si="75"/>
        <v>46066</v>
      </c>
    </row>
    <row r="1189" spans="1:4" x14ac:dyDescent="0.25">
      <c r="A1189" t="str">
        <f t="shared" si="72"/>
        <v>S1188</v>
      </c>
      <c r="B1189" t="str">
        <f t="shared" ca="1" si="73"/>
        <v>M085</v>
      </c>
      <c r="C1189">
        <f t="shared" ca="1" si="74"/>
        <v>2</v>
      </c>
      <c r="D1189" s="1">
        <f t="shared" ca="1" si="75"/>
        <v>46038</v>
      </c>
    </row>
    <row r="1190" spans="1:4" x14ac:dyDescent="0.25">
      <c r="A1190" t="str">
        <f t="shared" si="72"/>
        <v>S1189</v>
      </c>
      <c r="B1190" t="str">
        <f t="shared" ca="1" si="73"/>
        <v>M009</v>
      </c>
      <c r="C1190">
        <f t="shared" ca="1" si="74"/>
        <v>12</v>
      </c>
      <c r="D1190" s="1">
        <f t="shared" ca="1" si="75"/>
        <v>46104</v>
      </c>
    </row>
    <row r="1191" spans="1:4" x14ac:dyDescent="0.25">
      <c r="A1191" t="str">
        <f t="shared" si="72"/>
        <v>S1190</v>
      </c>
      <c r="B1191" t="str">
        <f t="shared" ca="1" si="73"/>
        <v>M084</v>
      </c>
      <c r="C1191">
        <f t="shared" ca="1" si="74"/>
        <v>6</v>
      </c>
      <c r="D1191" s="1">
        <f t="shared" ca="1" si="75"/>
        <v>46049</v>
      </c>
    </row>
    <row r="1192" spans="1:4" x14ac:dyDescent="0.25">
      <c r="A1192" t="str">
        <f t="shared" si="72"/>
        <v>S1191</v>
      </c>
      <c r="B1192" t="str">
        <f t="shared" ca="1" si="73"/>
        <v>M018</v>
      </c>
      <c r="C1192">
        <f t="shared" ca="1" si="74"/>
        <v>22</v>
      </c>
      <c r="D1192" s="1">
        <f t="shared" ca="1" si="75"/>
        <v>46040</v>
      </c>
    </row>
    <row r="1193" spans="1:4" x14ac:dyDescent="0.25">
      <c r="A1193" t="str">
        <f t="shared" si="72"/>
        <v>S1192</v>
      </c>
      <c r="B1193" t="str">
        <f t="shared" ca="1" si="73"/>
        <v>M031</v>
      </c>
      <c r="C1193">
        <f t="shared" ca="1" si="74"/>
        <v>23</v>
      </c>
      <c r="D1193" s="1">
        <f t="shared" ca="1" si="75"/>
        <v>46051</v>
      </c>
    </row>
    <row r="1194" spans="1:4" x14ac:dyDescent="0.25">
      <c r="A1194" t="str">
        <f t="shared" si="72"/>
        <v>S1193</v>
      </c>
      <c r="B1194" t="str">
        <f t="shared" ca="1" si="73"/>
        <v>M095</v>
      </c>
      <c r="C1194">
        <f t="shared" ca="1" si="74"/>
        <v>12</v>
      </c>
      <c r="D1194" s="1">
        <f t="shared" ca="1" si="75"/>
        <v>46096</v>
      </c>
    </row>
    <row r="1195" spans="1:4" x14ac:dyDescent="0.25">
      <c r="A1195" t="str">
        <f t="shared" si="72"/>
        <v>S1194</v>
      </c>
      <c r="B1195" t="str">
        <f t="shared" ca="1" si="73"/>
        <v>M024</v>
      </c>
      <c r="C1195">
        <f t="shared" ca="1" si="74"/>
        <v>11</v>
      </c>
      <c r="D1195" s="1">
        <f t="shared" ca="1" si="75"/>
        <v>46090</v>
      </c>
    </row>
    <row r="1196" spans="1:4" x14ac:dyDescent="0.25">
      <c r="A1196" t="str">
        <f t="shared" si="72"/>
        <v>S1195</v>
      </c>
      <c r="B1196" t="str">
        <f t="shared" ca="1" si="73"/>
        <v>M002</v>
      </c>
      <c r="C1196">
        <f t="shared" ca="1" si="74"/>
        <v>14</v>
      </c>
      <c r="D1196" s="1">
        <f t="shared" ca="1" si="75"/>
        <v>46041</v>
      </c>
    </row>
    <row r="1197" spans="1:4" x14ac:dyDescent="0.25">
      <c r="A1197" t="str">
        <f t="shared" si="72"/>
        <v>S1196</v>
      </c>
      <c r="B1197" t="str">
        <f t="shared" ca="1" si="73"/>
        <v>M071</v>
      </c>
      <c r="C1197">
        <f t="shared" ca="1" si="74"/>
        <v>26</v>
      </c>
      <c r="D1197" s="1">
        <f t="shared" ca="1" si="75"/>
        <v>46058</v>
      </c>
    </row>
    <row r="1198" spans="1:4" x14ac:dyDescent="0.25">
      <c r="A1198" t="str">
        <f t="shared" si="72"/>
        <v>S1197</v>
      </c>
      <c r="B1198" t="str">
        <f t="shared" ca="1" si="73"/>
        <v>M034</v>
      </c>
      <c r="C1198">
        <f t="shared" ca="1" si="74"/>
        <v>25</v>
      </c>
      <c r="D1198" s="1">
        <f t="shared" ca="1" si="75"/>
        <v>46087</v>
      </c>
    </row>
    <row r="1199" spans="1:4" x14ac:dyDescent="0.25">
      <c r="A1199" t="str">
        <f t="shared" si="72"/>
        <v>S1198</v>
      </c>
      <c r="B1199" t="str">
        <f t="shared" ca="1" si="73"/>
        <v>M043</v>
      </c>
      <c r="C1199">
        <f t="shared" ca="1" si="74"/>
        <v>28</v>
      </c>
      <c r="D1199" s="1">
        <f t="shared" ca="1" si="75"/>
        <v>46108</v>
      </c>
    </row>
    <row r="1200" spans="1:4" x14ac:dyDescent="0.25">
      <c r="A1200" t="str">
        <f t="shared" si="72"/>
        <v>S1199</v>
      </c>
      <c r="B1200" t="str">
        <f t="shared" ca="1" si="73"/>
        <v>M075</v>
      </c>
      <c r="C1200">
        <f t="shared" ca="1" si="74"/>
        <v>9</v>
      </c>
      <c r="D1200" s="1">
        <f t="shared" ca="1" si="75"/>
        <v>46048</v>
      </c>
    </row>
    <row r="1201" spans="1:4" x14ac:dyDescent="0.25">
      <c r="A1201" t="str">
        <f t="shared" si="72"/>
        <v>S1200</v>
      </c>
      <c r="B1201" t="str">
        <f t="shared" ca="1" si="73"/>
        <v>M052</v>
      </c>
      <c r="C1201">
        <f t="shared" ca="1" si="74"/>
        <v>2</v>
      </c>
      <c r="D1201" s="1">
        <f t="shared" ca="1" si="75"/>
        <v>46058</v>
      </c>
    </row>
    <row r="1202" spans="1:4" x14ac:dyDescent="0.25">
      <c r="A1202" t="str">
        <f t="shared" si="72"/>
        <v>S1201</v>
      </c>
      <c r="B1202" t="str">
        <f t="shared" ca="1" si="73"/>
        <v>M094</v>
      </c>
      <c r="C1202">
        <f t="shared" ca="1" si="74"/>
        <v>14</v>
      </c>
      <c r="D1202" s="1">
        <f t="shared" ca="1" si="75"/>
        <v>46034</v>
      </c>
    </row>
    <row r="1203" spans="1:4" x14ac:dyDescent="0.25">
      <c r="A1203" t="str">
        <f t="shared" si="72"/>
        <v>S1202</v>
      </c>
      <c r="B1203" t="str">
        <f t="shared" ca="1" si="73"/>
        <v>M088</v>
      </c>
      <c r="C1203">
        <f t="shared" ca="1" si="74"/>
        <v>21</v>
      </c>
      <c r="D1203" s="1">
        <f t="shared" ca="1" si="75"/>
        <v>46036</v>
      </c>
    </row>
    <row r="1204" spans="1:4" x14ac:dyDescent="0.25">
      <c r="A1204" t="str">
        <f t="shared" si="72"/>
        <v>S1203</v>
      </c>
      <c r="B1204" t="str">
        <f t="shared" ca="1" si="73"/>
        <v>M084</v>
      </c>
      <c r="C1204">
        <f t="shared" ca="1" si="74"/>
        <v>17</v>
      </c>
      <c r="D1204" s="1">
        <f t="shared" ca="1" si="75"/>
        <v>46068</v>
      </c>
    </row>
    <row r="1205" spans="1:4" x14ac:dyDescent="0.25">
      <c r="A1205" t="str">
        <f t="shared" si="72"/>
        <v>S1204</v>
      </c>
      <c r="B1205" t="str">
        <f t="shared" ca="1" si="73"/>
        <v>M072</v>
      </c>
      <c r="C1205">
        <f t="shared" ca="1" si="74"/>
        <v>10</v>
      </c>
      <c r="D1205" s="1">
        <f t="shared" ca="1" si="75"/>
        <v>46075</v>
      </c>
    </row>
    <row r="1206" spans="1:4" x14ac:dyDescent="0.25">
      <c r="A1206" t="str">
        <f t="shared" si="72"/>
        <v>S1205</v>
      </c>
      <c r="B1206" t="str">
        <f t="shared" ca="1" si="73"/>
        <v>M011</v>
      </c>
      <c r="C1206">
        <f t="shared" ca="1" si="74"/>
        <v>11</v>
      </c>
      <c r="D1206" s="1">
        <f t="shared" ca="1" si="75"/>
        <v>46095</v>
      </c>
    </row>
    <row r="1207" spans="1:4" x14ac:dyDescent="0.25">
      <c r="A1207" t="str">
        <f t="shared" si="72"/>
        <v>S1206</v>
      </c>
      <c r="B1207" t="str">
        <f t="shared" ca="1" si="73"/>
        <v>M052</v>
      </c>
      <c r="C1207">
        <f t="shared" ca="1" si="74"/>
        <v>14</v>
      </c>
      <c r="D1207" s="1">
        <f t="shared" ca="1" si="75"/>
        <v>46084</v>
      </c>
    </row>
    <row r="1208" spans="1:4" x14ac:dyDescent="0.25">
      <c r="A1208" t="str">
        <f t="shared" si="72"/>
        <v>S1207</v>
      </c>
      <c r="B1208" t="str">
        <f t="shared" ca="1" si="73"/>
        <v>M053</v>
      </c>
      <c r="C1208">
        <f t="shared" ca="1" si="74"/>
        <v>17</v>
      </c>
      <c r="D1208" s="1">
        <f t="shared" ca="1" si="75"/>
        <v>46034</v>
      </c>
    </row>
    <row r="1209" spans="1:4" x14ac:dyDescent="0.25">
      <c r="A1209" t="str">
        <f t="shared" si="72"/>
        <v>S1208</v>
      </c>
      <c r="B1209" t="str">
        <f t="shared" ca="1" si="73"/>
        <v>M026</v>
      </c>
      <c r="C1209">
        <f t="shared" ca="1" si="74"/>
        <v>8</v>
      </c>
      <c r="D1209" s="1">
        <f t="shared" ca="1" si="75"/>
        <v>46039</v>
      </c>
    </row>
    <row r="1210" spans="1:4" x14ac:dyDescent="0.25">
      <c r="A1210" t="str">
        <f t="shared" si="72"/>
        <v>S1209</v>
      </c>
      <c r="B1210" t="str">
        <f t="shared" ca="1" si="73"/>
        <v>M030</v>
      </c>
      <c r="C1210">
        <f t="shared" ca="1" si="74"/>
        <v>3</v>
      </c>
      <c r="D1210" s="1">
        <f t="shared" ca="1" si="75"/>
        <v>46065</v>
      </c>
    </row>
    <row r="1211" spans="1:4" x14ac:dyDescent="0.25">
      <c r="A1211" t="str">
        <f t="shared" si="72"/>
        <v>S1210</v>
      </c>
      <c r="B1211" t="str">
        <f t="shared" ca="1" si="73"/>
        <v>M053</v>
      </c>
      <c r="C1211">
        <f t="shared" ca="1" si="74"/>
        <v>18</v>
      </c>
      <c r="D1211" s="1">
        <f t="shared" ca="1" si="75"/>
        <v>46043</v>
      </c>
    </row>
    <row r="1212" spans="1:4" x14ac:dyDescent="0.25">
      <c r="A1212" t="str">
        <f t="shared" si="72"/>
        <v>S1211</v>
      </c>
      <c r="B1212" t="str">
        <f t="shared" ca="1" si="73"/>
        <v>M060</v>
      </c>
      <c r="C1212">
        <f t="shared" ca="1" si="74"/>
        <v>16</v>
      </c>
      <c r="D1212" s="1">
        <f t="shared" ca="1" si="75"/>
        <v>46057</v>
      </c>
    </row>
    <row r="1213" spans="1:4" x14ac:dyDescent="0.25">
      <c r="A1213" t="str">
        <f t="shared" si="72"/>
        <v>S1212</v>
      </c>
      <c r="B1213" t="str">
        <f t="shared" ca="1" si="73"/>
        <v>M082</v>
      </c>
      <c r="C1213">
        <f t="shared" ca="1" si="74"/>
        <v>9</v>
      </c>
      <c r="D1213" s="1">
        <f t="shared" ca="1" si="75"/>
        <v>46045</v>
      </c>
    </row>
    <row r="1214" spans="1:4" x14ac:dyDescent="0.25">
      <c r="A1214" t="str">
        <f t="shared" si="72"/>
        <v>S1213</v>
      </c>
      <c r="B1214" t="str">
        <f t="shared" ca="1" si="73"/>
        <v>M067</v>
      </c>
      <c r="C1214">
        <f t="shared" ca="1" si="74"/>
        <v>30</v>
      </c>
      <c r="D1214" s="1">
        <f t="shared" ca="1" si="75"/>
        <v>46103</v>
      </c>
    </row>
    <row r="1215" spans="1:4" x14ac:dyDescent="0.25">
      <c r="A1215" t="str">
        <f t="shared" si="72"/>
        <v>S1214</v>
      </c>
      <c r="B1215" t="str">
        <f t="shared" ca="1" si="73"/>
        <v>M006</v>
      </c>
      <c r="C1215">
        <f t="shared" ca="1" si="74"/>
        <v>15</v>
      </c>
      <c r="D1215" s="1">
        <f t="shared" ca="1" si="75"/>
        <v>46032</v>
      </c>
    </row>
    <row r="1216" spans="1:4" x14ac:dyDescent="0.25">
      <c r="A1216" t="str">
        <f t="shared" si="72"/>
        <v>S1215</v>
      </c>
      <c r="B1216" t="str">
        <f t="shared" ca="1" si="73"/>
        <v>M021</v>
      </c>
      <c r="C1216">
        <f t="shared" ca="1" si="74"/>
        <v>30</v>
      </c>
      <c r="D1216" s="1">
        <f t="shared" ca="1" si="75"/>
        <v>46070</v>
      </c>
    </row>
    <row r="1217" spans="1:4" x14ac:dyDescent="0.25">
      <c r="A1217" t="str">
        <f t="shared" si="72"/>
        <v>S1216</v>
      </c>
      <c r="B1217" t="str">
        <f t="shared" ca="1" si="73"/>
        <v>M033</v>
      </c>
      <c r="C1217">
        <f t="shared" ca="1" si="74"/>
        <v>19</v>
      </c>
      <c r="D1217" s="1">
        <f t="shared" ca="1" si="75"/>
        <v>46050</v>
      </c>
    </row>
    <row r="1218" spans="1:4" x14ac:dyDescent="0.25">
      <c r="A1218" t="str">
        <f t="shared" si="72"/>
        <v>S1217</v>
      </c>
      <c r="B1218" t="str">
        <f t="shared" ca="1" si="73"/>
        <v>M033</v>
      </c>
      <c r="C1218">
        <f t="shared" ca="1" si="74"/>
        <v>29</v>
      </c>
      <c r="D1218" s="1">
        <f t="shared" ca="1" si="75"/>
        <v>46065</v>
      </c>
    </row>
    <row r="1219" spans="1:4" x14ac:dyDescent="0.25">
      <c r="A1219" t="str">
        <f t="shared" ref="A1219:A1282" si="76">"S"&amp;TEXT(ROW(A1218),"000")</f>
        <v>S1218</v>
      </c>
      <c r="B1219" t="str">
        <f t="shared" ref="B1219:B1282" ca="1" si="77">"M"&amp;TEXT(RANDBETWEEN(1,100),"000")</f>
        <v>M087</v>
      </c>
      <c r="C1219">
        <f t="shared" ref="C1219:C1282" ca="1" si="78">RANDBETWEEN(1,30)</f>
        <v>24</v>
      </c>
      <c r="D1219" s="1">
        <f t="shared" ref="D1219:D1282" ca="1" si="79">TODAY()-RANDBETWEEN(1,90)</f>
        <v>46074</v>
      </c>
    </row>
    <row r="1220" spans="1:4" x14ac:dyDescent="0.25">
      <c r="A1220" t="str">
        <f t="shared" si="76"/>
        <v>S1219</v>
      </c>
      <c r="B1220" t="str">
        <f t="shared" ca="1" si="77"/>
        <v>M076</v>
      </c>
      <c r="C1220">
        <f t="shared" ca="1" si="78"/>
        <v>27</v>
      </c>
      <c r="D1220" s="1">
        <f t="shared" ca="1" si="79"/>
        <v>46060</v>
      </c>
    </row>
    <row r="1221" spans="1:4" x14ac:dyDescent="0.25">
      <c r="A1221" t="str">
        <f t="shared" si="76"/>
        <v>S1220</v>
      </c>
      <c r="B1221" t="str">
        <f t="shared" ca="1" si="77"/>
        <v>M034</v>
      </c>
      <c r="C1221">
        <f t="shared" ca="1" si="78"/>
        <v>2</v>
      </c>
      <c r="D1221" s="1">
        <f t="shared" ca="1" si="79"/>
        <v>46049</v>
      </c>
    </row>
    <row r="1222" spans="1:4" x14ac:dyDescent="0.25">
      <c r="A1222" t="str">
        <f t="shared" si="76"/>
        <v>S1221</v>
      </c>
      <c r="B1222" t="str">
        <f t="shared" ca="1" si="77"/>
        <v>M057</v>
      </c>
      <c r="C1222">
        <f t="shared" ca="1" si="78"/>
        <v>18</v>
      </c>
      <c r="D1222" s="1">
        <f t="shared" ca="1" si="79"/>
        <v>46042</v>
      </c>
    </row>
    <row r="1223" spans="1:4" x14ac:dyDescent="0.25">
      <c r="A1223" t="str">
        <f t="shared" si="76"/>
        <v>S1222</v>
      </c>
      <c r="B1223" t="str">
        <f t="shared" ca="1" si="77"/>
        <v>M051</v>
      </c>
      <c r="C1223">
        <f t="shared" ca="1" si="78"/>
        <v>8</v>
      </c>
      <c r="D1223" s="1">
        <f t="shared" ca="1" si="79"/>
        <v>46052</v>
      </c>
    </row>
    <row r="1224" spans="1:4" x14ac:dyDescent="0.25">
      <c r="A1224" t="str">
        <f t="shared" si="76"/>
        <v>S1223</v>
      </c>
      <c r="B1224" t="str">
        <f t="shared" ca="1" si="77"/>
        <v>M035</v>
      </c>
      <c r="C1224">
        <f t="shared" ca="1" si="78"/>
        <v>30</v>
      </c>
      <c r="D1224" s="1">
        <f t="shared" ca="1" si="79"/>
        <v>46050</v>
      </c>
    </row>
    <row r="1225" spans="1:4" x14ac:dyDescent="0.25">
      <c r="A1225" t="str">
        <f t="shared" si="76"/>
        <v>S1224</v>
      </c>
      <c r="B1225" t="str">
        <f t="shared" ca="1" si="77"/>
        <v>M090</v>
      </c>
      <c r="C1225">
        <f t="shared" ca="1" si="78"/>
        <v>21</v>
      </c>
      <c r="D1225" s="1">
        <f t="shared" ca="1" si="79"/>
        <v>46113</v>
      </c>
    </row>
    <row r="1226" spans="1:4" x14ac:dyDescent="0.25">
      <c r="A1226" t="str">
        <f t="shared" si="76"/>
        <v>S1225</v>
      </c>
      <c r="B1226" t="str">
        <f t="shared" ca="1" si="77"/>
        <v>M039</v>
      </c>
      <c r="C1226">
        <f t="shared" ca="1" si="78"/>
        <v>10</v>
      </c>
      <c r="D1226" s="1">
        <f t="shared" ca="1" si="79"/>
        <v>46104</v>
      </c>
    </row>
    <row r="1227" spans="1:4" x14ac:dyDescent="0.25">
      <c r="A1227" t="str">
        <f t="shared" si="76"/>
        <v>S1226</v>
      </c>
      <c r="B1227" t="str">
        <f t="shared" ca="1" si="77"/>
        <v>M027</v>
      </c>
      <c r="C1227">
        <f t="shared" ca="1" si="78"/>
        <v>22</v>
      </c>
      <c r="D1227" s="1">
        <f t="shared" ca="1" si="79"/>
        <v>46112</v>
      </c>
    </row>
    <row r="1228" spans="1:4" x14ac:dyDescent="0.25">
      <c r="A1228" t="str">
        <f t="shared" si="76"/>
        <v>S1227</v>
      </c>
      <c r="B1228" t="str">
        <f t="shared" ca="1" si="77"/>
        <v>M010</v>
      </c>
      <c r="C1228">
        <f t="shared" ca="1" si="78"/>
        <v>14</v>
      </c>
      <c r="D1228" s="1">
        <f t="shared" ca="1" si="79"/>
        <v>46035</v>
      </c>
    </row>
    <row r="1229" spans="1:4" x14ac:dyDescent="0.25">
      <c r="A1229" t="str">
        <f t="shared" si="76"/>
        <v>S1228</v>
      </c>
      <c r="B1229" t="str">
        <f t="shared" ca="1" si="77"/>
        <v>M051</v>
      </c>
      <c r="C1229">
        <f t="shared" ca="1" si="78"/>
        <v>11</v>
      </c>
      <c r="D1229" s="1">
        <f t="shared" ca="1" si="79"/>
        <v>46078</v>
      </c>
    </row>
    <row r="1230" spans="1:4" x14ac:dyDescent="0.25">
      <c r="A1230" t="str">
        <f t="shared" si="76"/>
        <v>S1229</v>
      </c>
      <c r="B1230" t="str">
        <f t="shared" ca="1" si="77"/>
        <v>M088</v>
      </c>
      <c r="C1230">
        <f t="shared" ca="1" si="78"/>
        <v>11</v>
      </c>
      <c r="D1230" s="1">
        <f t="shared" ca="1" si="79"/>
        <v>46062</v>
      </c>
    </row>
    <row r="1231" spans="1:4" x14ac:dyDescent="0.25">
      <c r="A1231" t="str">
        <f t="shared" si="76"/>
        <v>S1230</v>
      </c>
      <c r="B1231" t="str">
        <f t="shared" ca="1" si="77"/>
        <v>M031</v>
      </c>
      <c r="C1231">
        <f t="shared" ca="1" si="78"/>
        <v>3</v>
      </c>
      <c r="D1231" s="1">
        <f t="shared" ca="1" si="79"/>
        <v>46052</v>
      </c>
    </row>
    <row r="1232" spans="1:4" x14ac:dyDescent="0.25">
      <c r="A1232" t="str">
        <f t="shared" si="76"/>
        <v>S1231</v>
      </c>
      <c r="B1232" t="str">
        <f t="shared" ca="1" si="77"/>
        <v>M049</v>
      </c>
      <c r="C1232">
        <f t="shared" ca="1" si="78"/>
        <v>6</v>
      </c>
      <c r="D1232" s="1">
        <f t="shared" ca="1" si="79"/>
        <v>46035</v>
      </c>
    </row>
    <row r="1233" spans="1:4" x14ac:dyDescent="0.25">
      <c r="A1233" t="str">
        <f t="shared" si="76"/>
        <v>S1232</v>
      </c>
      <c r="B1233" t="str">
        <f t="shared" ca="1" si="77"/>
        <v>M021</v>
      </c>
      <c r="C1233">
        <f t="shared" ca="1" si="78"/>
        <v>9</v>
      </c>
      <c r="D1233" s="1">
        <f t="shared" ca="1" si="79"/>
        <v>46096</v>
      </c>
    </row>
    <row r="1234" spans="1:4" x14ac:dyDescent="0.25">
      <c r="A1234" t="str">
        <f t="shared" si="76"/>
        <v>S1233</v>
      </c>
      <c r="B1234" t="str">
        <f t="shared" ca="1" si="77"/>
        <v>M080</v>
      </c>
      <c r="C1234">
        <f t="shared" ca="1" si="78"/>
        <v>27</v>
      </c>
      <c r="D1234" s="1">
        <f t="shared" ca="1" si="79"/>
        <v>46062</v>
      </c>
    </row>
    <row r="1235" spans="1:4" x14ac:dyDescent="0.25">
      <c r="A1235" t="str">
        <f t="shared" si="76"/>
        <v>S1234</v>
      </c>
      <c r="B1235" t="str">
        <f t="shared" ca="1" si="77"/>
        <v>M096</v>
      </c>
      <c r="C1235">
        <f t="shared" ca="1" si="78"/>
        <v>16</v>
      </c>
      <c r="D1235" s="1">
        <f t="shared" ca="1" si="79"/>
        <v>46084</v>
      </c>
    </row>
    <row r="1236" spans="1:4" x14ac:dyDescent="0.25">
      <c r="A1236" t="str">
        <f t="shared" si="76"/>
        <v>S1235</v>
      </c>
      <c r="B1236" t="str">
        <f t="shared" ca="1" si="77"/>
        <v>M045</v>
      </c>
      <c r="C1236">
        <f t="shared" ca="1" si="78"/>
        <v>30</v>
      </c>
      <c r="D1236" s="1">
        <f t="shared" ca="1" si="79"/>
        <v>46106</v>
      </c>
    </row>
    <row r="1237" spans="1:4" x14ac:dyDescent="0.25">
      <c r="A1237" t="str">
        <f t="shared" si="76"/>
        <v>S1236</v>
      </c>
      <c r="B1237" t="str">
        <f t="shared" ca="1" si="77"/>
        <v>M045</v>
      </c>
      <c r="C1237">
        <f t="shared" ca="1" si="78"/>
        <v>23</v>
      </c>
      <c r="D1237" s="1">
        <f t="shared" ca="1" si="79"/>
        <v>46057</v>
      </c>
    </row>
    <row r="1238" spans="1:4" x14ac:dyDescent="0.25">
      <c r="A1238" t="str">
        <f t="shared" si="76"/>
        <v>S1237</v>
      </c>
      <c r="B1238" t="str">
        <f t="shared" ca="1" si="77"/>
        <v>M020</v>
      </c>
      <c r="C1238">
        <f t="shared" ca="1" si="78"/>
        <v>20</v>
      </c>
      <c r="D1238" s="1">
        <f t="shared" ca="1" si="79"/>
        <v>46059</v>
      </c>
    </row>
    <row r="1239" spans="1:4" x14ac:dyDescent="0.25">
      <c r="A1239" t="str">
        <f t="shared" si="76"/>
        <v>S1238</v>
      </c>
      <c r="B1239" t="str">
        <f t="shared" ca="1" si="77"/>
        <v>M098</v>
      </c>
      <c r="C1239">
        <f t="shared" ca="1" si="78"/>
        <v>12</v>
      </c>
      <c r="D1239" s="1">
        <f t="shared" ca="1" si="79"/>
        <v>46105</v>
      </c>
    </row>
    <row r="1240" spans="1:4" x14ac:dyDescent="0.25">
      <c r="A1240" t="str">
        <f t="shared" si="76"/>
        <v>S1239</v>
      </c>
      <c r="B1240" t="str">
        <f t="shared" ca="1" si="77"/>
        <v>M050</v>
      </c>
      <c r="C1240">
        <f t="shared" ca="1" si="78"/>
        <v>5</v>
      </c>
      <c r="D1240" s="1">
        <f t="shared" ca="1" si="79"/>
        <v>46030</v>
      </c>
    </row>
    <row r="1241" spans="1:4" x14ac:dyDescent="0.25">
      <c r="A1241" t="str">
        <f t="shared" si="76"/>
        <v>S1240</v>
      </c>
      <c r="B1241" t="str">
        <f t="shared" ca="1" si="77"/>
        <v>M020</v>
      </c>
      <c r="C1241">
        <f t="shared" ca="1" si="78"/>
        <v>24</v>
      </c>
      <c r="D1241" s="1">
        <f t="shared" ca="1" si="79"/>
        <v>46047</v>
      </c>
    </row>
    <row r="1242" spans="1:4" x14ac:dyDescent="0.25">
      <c r="A1242" t="str">
        <f t="shared" si="76"/>
        <v>S1241</v>
      </c>
      <c r="B1242" t="str">
        <f t="shared" ca="1" si="77"/>
        <v>M070</v>
      </c>
      <c r="C1242">
        <f t="shared" ca="1" si="78"/>
        <v>2</v>
      </c>
      <c r="D1242" s="1">
        <f t="shared" ca="1" si="79"/>
        <v>46089</v>
      </c>
    </row>
    <row r="1243" spans="1:4" x14ac:dyDescent="0.25">
      <c r="A1243" t="str">
        <f t="shared" si="76"/>
        <v>S1242</v>
      </c>
      <c r="B1243" t="str">
        <f t="shared" ca="1" si="77"/>
        <v>M055</v>
      </c>
      <c r="C1243">
        <f t="shared" ca="1" si="78"/>
        <v>15</v>
      </c>
      <c r="D1243" s="1">
        <f t="shared" ca="1" si="79"/>
        <v>46030</v>
      </c>
    </row>
    <row r="1244" spans="1:4" x14ac:dyDescent="0.25">
      <c r="A1244" t="str">
        <f t="shared" si="76"/>
        <v>S1243</v>
      </c>
      <c r="B1244" t="str">
        <f t="shared" ca="1" si="77"/>
        <v>M038</v>
      </c>
      <c r="C1244">
        <f t="shared" ca="1" si="78"/>
        <v>1</v>
      </c>
      <c r="D1244" s="1">
        <f t="shared" ca="1" si="79"/>
        <v>46070</v>
      </c>
    </row>
    <row r="1245" spans="1:4" x14ac:dyDescent="0.25">
      <c r="A1245" t="str">
        <f t="shared" si="76"/>
        <v>S1244</v>
      </c>
      <c r="B1245" t="str">
        <f t="shared" ca="1" si="77"/>
        <v>M061</v>
      </c>
      <c r="C1245">
        <f t="shared" ca="1" si="78"/>
        <v>10</v>
      </c>
      <c r="D1245" s="1">
        <f t="shared" ca="1" si="79"/>
        <v>46029</v>
      </c>
    </row>
    <row r="1246" spans="1:4" x14ac:dyDescent="0.25">
      <c r="A1246" t="str">
        <f t="shared" si="76"/>
        <v>S1245</v>
      </c>
      <c r="B1246" t="str">
        <f t="shared" ca="1" si="77"/>
        <v>M011</v>
      </c>
      <c r="C1246">
        <f t="shared" ca="1" si="78"/>
        <v>16</v>
      </c>
      <c r="D1246" s="1">
        <f t="shared" ca="1" si="79"/>
        <v>46045</v>
      </c>
    </row>
    <row r="1247" spans="1:4" x14ac:dyDescent="0.25">
      <c r="A1247" t="str">
        <f t="shared" si="76"/>
        <v>S1246</v>
      </c>
      <c r="B1247" t="str">
        <f t="shared" ca="1" si="77"/>
        <v>M039</v>
      </c>
      <c r="C1247">
        <f t="shared" ca="1" si="78"/>
        <v>30</v>
      </c>
      <c r="D1247" s="1">
        <f t="shared" ca="1" si="79"/>
        <v>46106</v>
      </c>
    </row>
    <row r="1248" spans="1:4" x14ac:dyDescent="0.25">
      <c r="A1248" t="str">
        <f t="shared" si="76"/>
        <v>S1247</v>
      </c>
      <c r="B1248" t="str">
        <f t="shared" ca="1" si="77"/>
        <v>M021</v>
      </c>
      <c r="C1248">
        <f t="shared" ca="1" si="78"/>
        <v>12</v>
      </c>
      <c r="D1248" s="1">
        <f t="shared" ca="1" si="79"/>
        <v>46032</v>
      </c>
    </row>
    <row r="1249" spans="1:4" x14ac:dyDescent="0.25">
      <c r="A1249" t="str">
        <f t="shared" si="76"/>
        <v>S1248</v>
      </c>
      <c r="B1249" t="str">
        <f t="shared" ca="1" si="77"/>
        <v>M094</v>
      </c>
      <c r="C1249">
        <f t="shared" ca="1" si="78"/>
        <v>10</v>
      </c>
      <c r="D1249" s="1">
        <f t="shared" ca="1" si="79"/>
        <v>46061</v>
      </c>
    </row>
    <row r="1250" spans="1:4" x14ac:dyDescent="0.25">
      <c r="A1250" t="str">
        <f t="shared" si="76"/>
        <v>S1249</v>
      </c>
      <c r="B1250" t="str">
        <f t="shared" ca="1" si="77"/>
        <v>M014</v>
      </c>
      <c r="C1250">
        <f t="shared" ca="1" si="78"/>
        <v>18</v>
      </c>
      <c r="D1250" s="1">
        <f t="shared" ca="1" si="79"/>
        <v>46103</v>
      </c>
    </row>
    <row r="1251" spans="1:4" x14ac:dyDescent="0.25">
      <c r="A1251" t="str">
        <f t="shared" si="76"/>
        <v>S1250</v>
      </c>
      <c r="B1251" t="str">
        <f t="shared" ca="1" si="77"/>
        <v>M076</v>
      </c>
      <c r="C1251">
        <f t="shared" ca="1" si="78"/>
        <v>28</v>
      </c>
      <c r="D1251" s="1">
        <f t="shared" ca="1" si="79"/>
        <v>46053</v>
      </c>
    </row>
    <row r="1252" spans="1:4" x14ac:dyDescent="0.25">
      <c r="A1252" t="str">
        <f t="shared" si="76"/>
        <v>S1251</v>
      </c>
      <c r="B1252" t="str">
        <f t="shared" ca="1" si="77"/>
        <v>M095</v>
      </c>
      <c r="C1252">
        <f t="shared" ca="1" si="78"/>
        <v>17</v>
      </c>
      <c r="D1252" s="1">
        <f t="shared" ca="1" si="79"/>
        <v>46037</v>
      </c>
    </row>
    <row r="1253" spans="1:4" x14ac:dyDescent="0.25">
      <c r="A1253" t="str">
        <f t="shared" si="76"/>
        <v>S1252</v>
      </c>
      <c r="B1253" t="str">
        <f t="shared" ca="1" si="77"/>
        <v>M047</v>
      </c>
      <c r="C1253">
        <f t="shared" ca="1" si="78"/>
        <v>4</v>
      </c>
      <c r="D1253" s="1">
        <f t="shared" ca="1" si="79"/>
        <v>46068</v>
      </c>
    </row>
    <row r="1254" spans="1:4" x14ac:dyDescent="0.25">
      <c r="A1254" t="str">
        <f t="shared" si="76"/>
        <v>S1253</v>
      </c>
      <c r="B1254" t="str">
        <f t="shared" ca="1" si="77"/>
        <v>M028</v>
      </c>
      <c r="C1254">
        <f t="shared" ca="1" si="78"/>
        <v>24</v>
      </c>
      <c r="D1254" s="1">
        <f t="shared" ca="1" si="79"/>
        <v>46082</v>
      </c>
    </row>
    <row r="1255" spans="1:4" x14ac:dyDescent="0.25">
      <c r="A1255" t="str">
        <f t="shared" si="76"/>
        <v>S1254</v>
      </c>
      <c r="B1255" t="str">
        <f t="shared" ca="1" si="77"/>
        <v>M061</v>
      </c>
      <c r="C1255">
        <f t="shared" ca="1" si="78"/>
        <v>24</v>
      </c>
      <c r="D1255" s="1">
        <f t="shared" ca="1" si="79"/>
        <v>46095</v>
      </c>
    </row>
    <row r="1256" spans="1:4" x14ac:dyDescent="0.25">
      <c r="A1256" t="str">
        <f t="shared" si="76"/>
        <v>S1255</v>
      </c>
      <c r="B1256" t="str">
        <f t="shared" ca="1" si="77"/>
        <v>M036</v>
      </c>
      <c r="C1256">
        <f t="shared" ca="1" si="78"/>
        <v>22</v>
      </c>
      <c r="D1256" s="1">
        <f t="shared" ca="1" si="79"/>
        <v>46071</v>
      </c>
    </row>
    <row r="1257" spans="1:4" x14ac:dyDescent="0.25">
      <c r="A1257" t="str">
        <f t="shared" si="76"/>
        <v>S1256</v>
      </c>
      <c r="B1257" t="str">
        <f t="shared" ca="1" si="77"/>
        <v>M013</v>
      </c>
      <c r="C1257">
        <f t="shared" ca="1" si="78"/>
        <v>22</v>
      </c>
      <c r="D1257" s="1">
        <f t="shared" ca="1" si="79"/>
        <v>46050</v>
      </c>
    </row>
    <row r="1258" spans="1:4" x14ac:dyDescent="0.25">
      <c r="A1258" t="str">
        <f t="shared" si="76"/>
        <v>S1257</v>
      </c>
      <c r="B1258" t="str">
        <f t="shared" ca="1" si="77"/>
        <v>M028</v>
      </c>
      <c r="C1258">
        <f t="shared" ca="1" si="78"/>
        <v>2</v>
      </c>
      <c r="D1258" s="1">
        <f t="shared" ca="1" si="79"/>
        <v>46090</v>
      </c>
    </row>
    <row r="1259" spans="1:4" x14ac:dyDescent="0.25">
      <c r="A1259" t="str">
        <f t="shared" si="76"/>
        <v>S1258</v>
      </c>
      <c r="B1259" t="str">
        <f t="shared" ca="1" si="77"/>
        <v>M013</v>
      </c>
      <c r="C1259">
        <f t="shared" ca="1" si="78"/>
        <v>16</v>
      </c>
      <c r="D1259" s="1">
        <f t="shared" ca="1" si="79"/>
        <v>46032</v>
      </c>
    </row>
    <row r="1260" spans="1:4" x14ac:dyDescent="0.25">
      <c r="A1260" t="str">
        <f t="shared" si="76"/>
        <v>S1259</v>
      </c>
      <c r="B1260" t="str">
        <f t="shared" ca="1" si="77"/>
        <v>M012</v>
      </c>
      <c r="C1260">
        <f t="shared" ca="1" si="78"/>
        <v>11</v>
      </c>
      <c r="D1260" s="1">
        <f t="shared" ca="1" si="79"/>
        <v>46092</v>
      </c>
    </row>
    <row r="1261" spans="1:4" x14ac:dyDescent="0.25">
      <c r="A1261" t="str">
        <f t="shared" si="76"/>
        <v>S1260</v>
      </c>
      <c r="B1261" t="str">
        <f t="shared" ca="1" si="77"/>
        <v>M040</v>
      </c>
      <c r="C1261">
        <f t="shared" ca="1" si="78"/>
        <v>10</v>
      </c>
      <c r="D1261" s="1">
        <f t="shared" ca="1" si="79"/>
        <v>46081</v>
      </c>
    </row>
    <row r="1262" spans="1:4" x14ac:dyDescent="0.25">
      <c r="A1262" t="str">
        <f t="shared" si="76"/>
        <v>S1261</v>
      </c>
      <c r="B1262" t="str">
        <f t="shared" ca="1" si="77"/>
        <v>M064</v>
      </c>
      <c r="C1262">
        <f t="shared" ca="1" si="78"/>
        <v>1</v>
      </c>
      <c r="D1262" s="1">
        <f t="shared" ca="1" si="79"/>
        <v>46084</v>
      </c>
    </row>
    <row r="1263" spans="1:4" x14ac:dyDescent="0.25">
      <c r="A1263" t="str">
        <f t="shared" si="76"/>
        <v>S1262</v>
      </c>
      <c r="B1263" t="str">
        <f t="shared" ca="1" si="77"/>
        <v>M036</v>
      </c>
      <c r="C1263">
        <f t="shared" ca="1" si="78"/>
        <v>12</v>
      </c>
      <c r="D1263" s="1">
        <f t="shared" ca="1" si="79"/>
        <v>46079</v>
      </c>
    </row>
    <row r="1264" spans="1:4" x14ac:dyDescent="0.25">
      <c r="A1264" t="str">
        <f t="shared" si="76"/>
        <v>S1263</v>
      </c>
      <c r="B1264" t="str">
        <f t="shared" ca="1" si="77"/>
        <v>M100</v>
      </c>
      <c r="C1264">
        <f t="shared" ca="1" si="78"/>
        <v>16</v>
      </c>
      <c r="D1264" s="1">
        <f t="shared" ca="1" si="79"/>
        <v>46082</v>
      </c>
    </row>
    <row r="1265" spans="1:4" x14ac:dyDescent="0.25">
      <c r="A1265" t="str">
        <f t="shared" si="76"/>
        <v>S1264</v>
      </c>
      <c r="B1265" t="str">
        <f t="shared" ca="1" si="77"/>
        <v>M054</v>
      </c>
      <c r="C1265">
        <f t="shared" ca="1" si="78"/>
        <v>15</v>
      </c>
      <c r="D1265" s="1">
        <f t="shared" ca="1" si="79"/>
        <v>46082</v>
      </c>
    </row>
    <row r="1266" spans="1:4" x14ac:dyDescent="0.25">
      <c r="A1266" t="str">
        <f t="shared" si="76"/>
        <v>S1265</v>
      </c>
      <c r="B1266" t="str">
        <f t="shared" ca="1" si="77"/>
        <v>M018</v>
      </c>
      <c r="C1266">
        <f t="shared" ca="1" si="78"/>
        <v>8</v>
      </c>
      <c r="D1266" s="1">
        <f t="shared" ca="1" si="79"/>
        <v>46095</v>
      </c>
    </row>
    <row r="1267" spans="1:4" x14ac:dyDescent="0.25">
      <c r="A1267" t="str">
        <f t="shared" si="76"/>
        <v>S1266</v>
      </c>
      <c r="B1267" t="str">
        <f t="shared" ca="1" si="77"/>
        <v>M092</v>
      </c>
      <c r="C1267">
        <f t="shared" ca="1" si="78"/>
        <v>27</v>
      </c>
      <c r="D1267" s="1">
        <f t="shared" ca="1" si="79"/>
        <v>46079</v>
      </c>
    </row>
    <row r="1268" spans="1:4" x14ac:dyDescent="0.25">
      <c r="A1268" t="str">
        <f t="shared" si="76"/>
        <v>S1267</v>
      </c>
      <c r="B1268" t="str">
        <f t="shared" ca="1" si="77"/>
        <v>M068</v>
      </c>
      <c r="C1268">
        <f t="shared" ca="1" si="78"/>
        <v>28</v>
      </c>
      <c r="D1268" s="1">
        <f t="shared" ca="1" si="79"/>
        <v>46065</v>
      </c>
    </row>
    <row r="1269" spans="1:4" x14ac:dyDescent="0.25">
      <c r="A1269" t="str">
        <f t="shared" si="76"/>
        <v>S1268</v>
      </c>
      <c r="B1269" t="str">
        <f t="shared" ca="1" si="77"/>
        <v>M074</v>
      </c>
      <c r="C1269">
        <f t="shared" ca="1" si="78"/>
        <v>18</v>
      </c>
      <c r="D1269" s="1">
        <f t="shared" ca="1" si="79"/>
        <v>46077</v>
      </c>
    </row>
    <row r="1270" spans="1:4" x14ac:dyDescent="0.25">
      <c r="A1270" t="str">
        <f t="shared" si="76"/>
        <v>S1269</v>
      </c>
      <c r="B1270" t="str">
        <f t="shared" ca="1" si="77"/>
        <v>M076</v>
      </c>
      <c r="C1270">
        <f t="shared" ca="1" si="78"/>
        <v>22</v>
      </c>
      <c r="D1270" s="1">
        <f t="shared" ca="1" si="79"/>
        <v>46098</v>
      </c>
    </row>
    <row r="1271" spans="1:4" x14ac:dyDescent="0.25">
      <c r="A1271" t="str">
        <f t="shared" si="76"/>
        <v>S1270</v>
      </c>
      <c r="B1271" t="str">
        <f t="shared" ca="1" si="77"/>
        <v>M075</v>
      </c>
      <c r="C1271">
        <f t="shared" ca="1" si="78"/>
        <v>7</v>
      </c>
      <c r="D1271" s="1">
        <f t="shared" ca="1" si="79"/>
        <v>46093</v>
      </c>
    </row>
    <row r="1272" spans="1:4" x14ac:dyDescent="0.25">
      <c r="A1272" t="str">
        <f t="shared" si="76"/>
        <v>S1271</v>
      </c>
      <c r="B1272" t="str">
        <f t="shared" ca="1" si="77"/>
        <v>M097</v>
      </c>
      <c r="C1272">
        <f t="shared" ca="1" si="78"/>
        <v>9</v>
      </c>
      <c r="D1272" s="1">
        <f t="shared" ca="1" si="79"/>
        <v>46083</v>
      </c>
    </row>
    <row r="1273" spans="1:4" x14ac:dyDescent="0.25">
      <c r="A1273" t="str">
        <f t="shared" si="76"/>
        <v>S1272</v>
      </c>
      <c r="B1273" t="str">
        <f t="shared" ca="1" si="77"/>
        <v>M052</v>
      </c>
      <c r="C1273">
        <f t="shared" ca="1" si="78"/>
        <v>26</v>
      </c>
      <c r="D1273" s="1">
        <f t="shared" ca="1" si="79"/>
        <v>46062</v>
      </c>
    </row>
    <row r="1274" spans="1:4" x14ac:dyDescent="0.25">
      <c r="A1274" t="str">
        <f t="shared" si="76"/>
        <v>S1273</v>
      </c>
      <c r="B1274" t="str">
        <f t="shared" ca="1" si="77"/>
        <v>M023</v>
      </c>
      <c r="C1274">
        <f t="shared" ca="1" si="78"/>
        <v>28</v>
      </c>
      <c r="D1274" s="1">
        <f t="shared" ca="1" si="79"/>
        <v>46096</v>
      </c>
    </row>
    <row r="1275" spans="1:4" x14ac:dyDescent="0.25">
      <c r="A1275" t="str">
        <f t="shared" si="76"/>
        <v>S1274</v>
      </c>
      <c r="B1275" t="str">
        <f t="shared" ca="1" si="77"/>
        <v>M022</v>
      </c>
      <c r="C1275">
        <f t="shared" ca="1" si="78"/>
        <v>27</v>
      </c>
      <c r="D1275" s="1">
        <f t="shared" ca="1" si="79"/>
        <v>46105</v>
      </c>
    </row>
    <row r="1276" spans="1:4" x14ac:dyDescent="0.25">
      <c r="A1276" t="str">
        <f t="shared" si="76"/>
        <v>S1275</v>
      </c>
      <c r="B1276" t="str">
        <f t="shared" ca="1" si="77"/>
        <v>M069</v>
      </c>
      <c r="C1276">
        <f t="shared" ca="1" si="78"/>
        <v>19</v>
      </c>
      <c r="D1276" s="1">
        <f t="shared" ca="1" si="79"/>
        <v>46105</v>
      </c>
    </row>
    <row r="1277" spans="1:4" x14ac:dyDescent="0.25">
      <c r="A1277" t="str">
        <f t="shared" si="76"/>
        <v>S1276</v>
      </c>
      <c r="B1277" t="str">
        <f t="shared" ca="1" si="77"/>
        <v>M059</v>
      </c>
      <c r="C1277">
        <f t="shared" ca="1" si="78"/>
        <v>21</v>
      </c>
      <c r="D1277" s="1">
        <f t="shared" ca="1" si="79"/>
        <v>46034</v>
      </c>
    </row>
    <row r="1278" spans="1:4" x14ac:dyDescent="0.25">
      <c r="A1278" t="str">
        <f t="shared" si="76"/>
        <v>S1277</v>
      </c>
      <c r="B1278" t="str">
        <f t="shared" ca="1" si="77"/>
        <v>M018</v>
      </c>
      <c r="C1278">
        <f t="shared" ca="1" si="78"/>
        <v>18</v>
      </c>
      <c r="D1278" s="1">
        <f t="shared" ca="1" si="79"/>
        <v>46116</v>
      </c>
    </row>
    <row r="1279" spans="1:4" x14ac:dyDescent="0.25">
      <c r="A1279" t="str">
        <f t="shared" si="76"/>
        <v>S1278</v>
      </c>
      <c r="B1279" t="str">
        <f t="shared" ca="1" si="77"/>
        <v>M061</v>
      </c>
      <c r="C1279">
        <f t="shared" ca="1" si="78"/>
        <v>15</v>
      </c>
      <c r="D1279" s="1">
        <f t="shared" ca="1" si="79"/>
        <v>46108</v>
      </c>
    </row>
    <row r="1280" spans="1:4" x14ac:dyDescent="0.25">
      <c r="A1280" t="str">
        <f t="shared" si="76"/>
        <v>S1279</v>
      </c>
      <c r="B1280" t="str">
        <f t="shared" ca="1" si="77"/>
        <v>M091</v>
      </c>
      <c r="C1280">
        <f t="shared" ca="1" si="78"/>
        <v>6</v>
      </c>
      <c r="D1280" s="1">
        <f t="shared" ca="1" si="79"/>
        <v>46034</v>
      </c>
    </row>
    <row r="1281" spans="1:4" x14ac:dyDescent="0.25">
      <c r="A1281" t="str">
        <f t="shared" si="76"/>
        <v>S1280</v>
      </c>
      <c r="B1281" t="str">
        <f t="shared" ca="1" si="77"/>
        <v>M080</v>
      </c>
      <c r="C1281">
        <f t="shared" ca="1" si="78"/>
        <v>5</v>
      </c>
      <c r="D1281" s="1">
        <f t="shared" ca="1" si="79"/>
        <v>46037</v>
      </c>
    </row>
    <row r="1282" spans="1:4" x14ac:dyDescent="0.25">
      <c r="A1282" t="str">
        <f t="shared" si="76"/>
        <v>S1281</v>
      </c>
      <c r="B1282" t="str">
        <f t="shared" ca="1" si="77"/>
        <v>M099</v>
      </c>
      <c r="C1282">
        <f t="shared" ca="1" si="78"/>
        <v>24</v>
      </c>
      <c r="D1282" s="1">
        <f t="shared" ca="1" si="79"/>
        <v>46032</v>
      </c>
    </row>
    <row r="1283" spans="1:4" x14ac:dyDescent="0.25">
      <c r="A1283" t="str">
        <f t="shared" ref="A1283:A1346" si="80">"S"&amp;TEXT(ROW(A1282),"000")</f>
        <v>S1282</v>
      </c>
      <c r="B1283" t="str">
        <f t="shared" ref="B1283:B1346" ca="1" si="81">"M"&amp;TEXT(RANDBETWEEN(1,100),"000")</f>
        <v>M043</v>
      </c>
      <c r="C1283">
        <f t="shared" ref="C1283:C1346" ca="1" si="82">RANDBETWEEN(1,30)</f>
        <v>14</v>
      </c>
      <c r="D1283" s="1">
        <f t="shared" ref="D1283:D1346" ca="1" si="83">TODAY()-RANDBETWEEN(1,90)</f>
        <v>46072</v>
      </c>
    </row>
    <row r="1284" spans="1:4" x14ac:dyDescent="0.25">
      <c r="A1284" t="str">
        <f t="shared" si="80"/>
        <v>S1283</v>
      </c>
      <c r="B1284" t="str">
        <f t="shared" ca="1" si="81"/>
        <v>M026</v>
      </c>
      <c r="C1284">
        <f t="shared" ca="1" si="82"/>
        <v>2</v>
      </c>
      <c r="D1284" s="1">
        <f t="shared" ca="1" si="83"/>
        <v>46115</v>
      </c>
    </row>
    <row r="1285" spans="1:4" x14ac:dyDescent="0.25">
      <c r="A1285" t="str">
        <f t="shared" si="80"/>
        <v>S1284</v>
      </c>
      <c r="B1285" t="str">
        <f t="shared" ca="1" si="81"/>
        <v>M085</v>
      </c>
      <c r="C1285">
        <f t="shared" ca="1" si="82"/>
        <v>11</v>
      </c>
      <c r="D1285" s="1">
        <f t="shared" ca="1" si="83"/>
        <v>46081</v>
      </c>
    </row>
    <row r="1286" spans="1:4" x14ac:dyDescent="0.25">
      <c r="A1286" t="str">
        <f t="shared" si="80"/>
        <v>S1285</v>
      </c>
      <c r="B1286" t="str">
        <f t="shared" ca="1" si="81"/>
        <v>M075</v>
      </c>
      <c r="C1286">
        <f t="shared" ca="1" si="82"/>
        <v>30</v>
      </c>
      <c r="D1286" s="1">
        <f t="shared" ca="1" si="83"/>
        <v>46087</v>
      </c>
    </row>
    <row r="1287" spans="1:4" x14ac:dyDescent="0.25">
      <c r="A1287" t="str">
        <f t="shared" si="80"/>
        <v>S1286</v>
      </c>
      <c r="B1287" t="str">
        <f t="shared" ca="1" si="81"/>
        <v>M041</v>
      </c>
      <c r="C1287">
        <f t="shared" ca="1" si="82"/>
        <v>2</v>
      </c>
      <c r="D1287" s="1">
        <f t="shared" ca="1" si="83"/>
        <v>46109</v>
      </c>
    </row>
    <row r="1288" spans="1:4" x14ac:dyDescent="0.25">
      <c r="A1288" t="str">
        <f t="shared" si="80"/>
        <v>S1287</v>
      </c>
      <c r="B1288" t="str">
        <f t="shared" ca="1" si="81"/>
        <v>M059</v>
      </c>
      <c r="C1288">
        <f t="shared" ca="1" si="82"/>
        <v>26</v>
      </c>
      <c r="D1288" s="1">
        <f t="shared" ca="1" si="83"/>
        <v>46064</v>
      </c>
    </row>
    <row r="1289" spans="1:4" x14ac:dyDescent="0.25">
      <c r="A1289" t="str">
        <f t="shared" si="80"/>
        <v>S1288</v>
      </c>
      <c r="B1289" t="str">
        <f t="shared" ca="1" si="81"/>
        <v>M023</v>
      </c>
      <c r="C1289">
        <f t="shared" ca="1" si="82"/>
        <v>17</v>
      </c>
      <c r="D1289" s="1">
        <f t="shared" ca="1" si="83"/>
        <v>46029</v>
      </c>
    </row>
    <row r="1290" spans="1:4" x14ac:dyDescent="0.25">
      <c r="A1290" t="str">
        <f t="shared" si="80"/>
        <v>S1289</v>
      </c>
      <c r="B1290" t="str">
        <f t="shared" ca="1" si="81"/>
        <v>M061</v>
      </c>
      <c r="C1290">
        <f t="shared" ca="1" si="82"/>
        <v>24</v>
      </c>
      <c r="D1290" s="1">
        <f t="shared" ca="1" si="83"/>
        <v>46069</v>
      </c>
    </row>
    <row r="1291" spans="1:4" x14ac:dyDescent="0.25">
      <c r="A1291" t="str">
        <f t="shared" si="80"/>
        <v>S1290</v>
      </c>
      <c r="B1291" t="str">
        <f t="shared" ca="1" si="81"/>
        <v>M065</v>
      </c>
      <c r="C1291">
        <f t="shared" ca="1" si="82"/>
        <v>29</v>
      </c>
      <c r="D1291" s="1">
        <f t="shared" ca="1" si="83"/>
        <v>46047</v>
      </c>
    </row>
    <row r="1292" spans="1:4" x14ac:dyDescent="0.25">
      <c r="A1292" t="str">
        <f t="shared" si="80"/>
        <v>S1291</v>
      </c>
      <c r="B1292" t="str">
        <f t="shared" ca="1" si="81"/>
        <v>M012</v>
      </c>
      <c r="C1292">
        <f t="shared" ca="1" si="82"/>
        <v>25</v>
      </c>
      <c r="D1292" s="1">
        <f t="shared" ca="1" si="83"/>
        <v>46107</v>
      </c>
    </row>
    <row r="1293" spans="1:4" x14ac:dyDescent="0.25">
      <c r="A1293" t="str">
        <f t="shared" si="80"/>
        <v>S1292</v>
      </c>
      <c r="B1293" t="str">
        <f t="shared" ca="1" si="81"/>
        <v>M065</v>
      </c>
      <c r="C1293">
        <f t="shared" ca="1" si="82"/>
        <v>16</v>
      </c>
      <c r="D1293" s="1">
        <f t="shared" ca="1" si="83"/>
        <v>46041</v>
      </c>
    </row>
    <row r="1294" spans="1:4" x14ac:dyDescent="0.25">
      <c r="A1294" t="str">
        <f t="shared" si="80"/>
        <v>S1293</v>
      </c>
      <c r="B1294" t="str">
        <f t="shared" ca="1" si="81"/>
        <v>M008</v>
      </c>
      <c r="C1294">
        <f t="shared" ca="1" si="82"/>
        <v>7</v>
      </c>
      <c r="D1294" s="1">
        <f t="shared" ca="1" si="83"/>
        <v>46030</v>
      </c>
    </row>
    <row r="1295" spans="1:4" x14ac:dyDescent="0.25">
      <c r="A1295" t="str">
        <f t="shared" si="80"/>
        <v>S1294</v>
      </c>
      <c r="B1295" t="str">
        <f t="shared" ca="1" si="81"/>
        <v>M069</v>
      </c>
      <c r="C1295">
        <f t="shared" ca="1" si="82"/>
        <v>18</v>
      </c>
      <c r="D1295" s="1">
        <f t="shared" ca="1" si="83"/>
        <v>46049</v>
      </c>
    </row>
    <row r="1296" spans="1:4" x14ac:dyDescent="0.25">
      <c r="A1296" t="str">
        <f t="shared" si="80"/>
        <v>S1295</v>
      </c>
      <c r="B1296" t="str">
        <f t="shared" ca="1" si="81"/>
        <v>M013</v>
      </c>
      <c r="C1296">
        <f t="shared" ca="1" si="82"/>
        <v>21</v>
      </c>
      <c r="D1296" s="1">
        <f t="shared" ca="1" si="83"/>
        <v>46101</v>
      </c>
    </row>
    <row r="1297" spans="1:4" x14ac:dyDescent="0.25">
      <c r="A1297" t="str">
        <f t="shared" si="80"/>
        <v>S1296</v>
      </c>
      <c r="B1297" t="str">
        <f t="shared" ca="1" si="81"/>
        <v>M085</v>
      </c>
      <c r="C1297">
        <f t="shared" ca="1" si="82"/>
        <v>29</v>
      </c>
      <c r="D1297" s="1">
        <f t="shared" ca="1" si="83"/>
        <v>46036</v>
      </c>
    </row>
    <row r="1298" spans="1:4" x14ac:dyDescent="0.25">
      <c r="A1298" t="str">
        <f t="shared" si="80"/>
        <v>S1297</v>
      </c>
      <c r="B1298" t="str">
        <f t="shared" ca="1" si="81"/>
        <v>M073</v>
      </c>
      <c r="C1298">
        <f t="shared" ca="1" si="82"/>
        <v>27</v>
      </c>
      <c r="D1298" s="1">
        <f t="shared" ca="1" si="83"/>
        <v>46110</v>
      </c>
    </row>
    <row r="1299" spans="1:4" x14ac:dyDescent="0.25">
      <c r="A1299" t="str">
        <f t="shared" si="80"/>
        <v>S1298</v>
      </c>
      <c r="B1299" t="str">
        <f t="shared" ca="1" si="81"/>
        <v>M094</v>
      </c>
      <c r="C1299">
        <f t="shared" ca="1" si="82"/>
        <v>7</v>
      </c>
      <c r="D1299" s="1">
        <f t="shared" ca="1" si="83"/>
        <v>46065</v>
      </c>
    </row>
    <row r="1300" spans="1:4" x14ac:dyDescent="0.25">
      <c r="A1300" t="str">
        <f t="shared" si="80"/>
        <v>S1299</v>
      </c>
      <c r="B1300" t="str">
        <f t="shared" ca="1" si="81"/>
        <v>M079</v>
      </c>
      <c r="C1300">
        <f t="shared" ca="1" si="82"/>
        <v>2</v>
      </c>
      <c r="D1300" s="1">
        <f t="shared" ca="1" si="83"/>
        <v>46118</v>
      </c>
    </row>
    <row r="1301" spans="1:4" x14ac:dyDescent="0.25">
      <c r="A1301" t="str">
        <f t="shared" si="80"/>
        <v>S1300</v>
      </c>
      <c r="B1301" t="str">
        <f t="shared" ca="1" si="81"/>
        <v>M081</v>
      </c>
      <c r="C1301">
        <f t="shared" ca="1" si="82"/>
        <v>21</v>
      </c>
      <c r="D1301" s="1">
        <f t="shared" ca="1" si="83"/>
        <v>46105</v>
      </c>
    </row>
    <row r="1302" spans="1:4" x14ac:dyDescent="0.25">
      <c r="A1302" t="str">
        <f t="shared" si="80"/>
        <v>S1301</v>
      </c>
      <c r="B1302" t="str">
        <f t="shared" ca="1" si="81"/>
        <v>M046</v>
      </c>
      <c r="C1302">
        <f t="shared" ca="1" si="82"/>
        <v>13</v>
      </c>
      <c r="D1302" s="1">
        <f t="shared" ca="1" si="83"/>
        <v>46087</v>
      </c>
    </row>
    <row r="1303" spans="1:4" x14ac:dyDescent="0.25">
      <c r="A1303" t="str">
        <f t="shared" si="80"/>
        <v>S1302</v>
      </c>
      <c r="B1303" t="str">
        <f t="shared" ca="1" si="81"/>
        <v>M061</v>
      </c>
      <c r="C1303">
        <f t="shared" ca="1" si="82"/>
        <v>29</v>
      </c>
      <c r="D1303" s="1">
        <f t="shared" ca="1" si="83"/>
        <v>46116</v>
      </c>
    </row>
    <row r="1304" spans="1:4" x14ac:dyDescent="0.25">
      <c r="A1304" t="str">
        <f t="shared" si="80"/>
        <v>S1303</v>
      </c>
      <c r="B1304" t="str">
        <f t="shared" ca="1" si="81"/>
        <v>M070</v>
      </c>
      <c r="C1304">
        <f t="shared" ca="1" si="82"/>
        <v>3</v>
      </c>
      <c r="D1304" s="1">
        <f t="shared" ca="1" si="83"/>
        <v>46112</v>
      </c>
    </row>
    <row r="1305" spans="1:4" x14ac:dyDescent="0.25">
      <c r="A1305" t="str">
        <f t="shared" si="80"/>
        <v>S1304</v>
      </c>
      <c r="B1305" t="str">
        <f t="shared" ca="1" si="81"/>
        <v>M021</v>
      </c>
      <c r="C1305">
        <f t="shared" ca="1" si="82"/>
        <v>8</v>
      </c>
      <c r="D1305" s="1">
        <f t="shared" ca="1" si="83"/>
        <v>46076</v>
      </c>
    </row>
    <row r="1306" spans="1:4" x14ac:dyDescent="0.25">
      <c r="A1306" t="str">
        <f t="shared" si="80"/>
        <v>S1305</v>
      </c>
      <c r="B1306" t="str">
        <f t="shared" ca="1" si="81"/>
        <v>M043</v>
      </c>
      <c r="C1306">
        <f t="shared" ca="1" si="82"/>
        <v>30</v>
      </c>
      <c r="D1306" s="1">
        <f t="shared" ca="1" si="83"/>
        <v>46105</v>
      </c>
    </row>
    <row r="1307" spans="1:4" x14ac:dyDescent="0.25">
      <c r="A1307" t="str">
        <f t="shared" si="80"/>
        <v>S1306</v>
      </c>
      <c r="B1307" t="str">
        <f t="shared" ca="1" si="81"/>
        <v>M056</v>
      </c>
      <c r="C1307">
        <f t="shared" ca="1" si="82"/>
        <v>26</v>
      </c>
      <c r="D1307" s="1">
        <f t="shared" ca="1" si="83"/>
        <v>46031</v>
      </c>
    </row>
    <row r="1308" spans="1:4" x14ac:dyDescent="0.25">
      <c r="A1308" t="str">
        <f t="shared" si="80"/>
        <v>S1307</v>
      </c>
      <c r="B1308" t="str">
        <f t="shared" ca="1" si="81"/>
        <v>M062</v>
      </c>
      <c r="C1308">
        <f t="shared" ca="1" si="82"/>
        <v>17</v>
      </c>
      <c r="D1308" s="1">
        <f t="shared" ca="1" si="83"/>
        <v>46118</v>
      </c>
    </row>
    <row r="1309" spans="1:4" x14ac:dyDescent="0.25">
      <c r="A1309" t="str">
        <f t="shared" si="80"/>
        <v>S1308</v>
      </c>
      <c r="B1309" t="str">
        <f t="shared" ca="1" si="81"/>
        <v>M044</v>
      </c>
      <c r="C1309">
        <f t="shared" ca="1" si="82"/>
        <v>22</v>
      </c>
      <c r="D1309" s="1">
        <f t="shared" ca="1" si="83"/>
        <v>46096</v>
      </c>
    </row>
    <row r="1310" spans="1:4" x14ac:dyDescent="0.25">
      <c r="A1310" t="str">
        <f t="shared" si="80"/>
        <v>S1309</v>
      </c>
      <c r="B1310" t="str">
        <f t="shared" ca="1" si="81"/>
        <v>M007</v>
      </c>
      <c r="C1310">
        <f t="shared" ca="1" si="82"/>
        <v>13</v>
      </c>
      <c r="D1310" s="1">
        <f t="shared" ca="1" si="83"/>
        <v>46088</v>
      </c>
    </row>
    <row r="1311" spans="1:4" x14ac:dyDescent="0.25">
      <c r="A1311" t="str">
        <f t="shared" si="80"/>
        <v>S1310</v>
      </c>
      <c r="B1311" t="str">
        <f t="shared" ca="1" si="81"/>
        <v>M058</v>
      </c>
      <c r="C1311">
        <f t="shared" ca="1" si="82"/>
        <v>27</v>
      </c>
      <c r="D1311" s="1">
        <f t="shared" ca="1" si="83"/>
        <v>46108</v>
      </c>
    </row>
    <row r="1312" spans="1:4" x14ac:dyDescent="0.25">
      <c r="A1312" t="str">
        <f t="shared" si="80"/>
        <v>S1311</v>
      </c>
      <c r="B1312" t="str">
        <f t="shared" ca="1" si="81"/>
        <v>M063</v>
      </c>
      <c r="C1312">
        <f t="shared" ca="1" si="82"/>
        <v>17</v>
      </c>
      <c r="D1312" s="1">
        <f t="shared" ca="1" si="83"/>
        <v>46067</v>
      </c>
    </row>
    <row r="1313" spans="1:4" x14ac:dyDescent="0.25">
      <c r="A1313" t="str">
        <f t="shared" si="80"/>
        <v>S1312</v>
      </c>
      <c r="B1313" t="str">
        <f t="shared" ca="1" si="81"/>
        <v>M089</v>
      </c>
      <c r="C1313">
        <f t="shared" ca="1" si="82"/>
        <v>24</v>
      </c>
      <c r="D1313" s="1">
        <f t="shared" ca="1" si="83"/>
        <v>46115</v>
      </c>
    </row>
    <row r="1314" spans="1:4" x14ac:dyDescent="0.25">
      <c r="A1314" t="str">
        <f t="shared" si="80"/>
        <v>S1313</v>
      </c>
      <c r="B1314" t="str">
        <f t="shared" ca="1" si="81"/>
        <v>M087</v>
      </c>
      <c r="C1314">
        <f t="shared" ca="1" si="82"/>
        <v>13</v>
      </c>
      <c r="D1314" s="1">
        <f t="shared" ca="1" si="83"/>
        <v>46099</v>
      </c>
    </row>
    <row r="1315" spans="1:4" x14ac:dyDescent="0.25">
      <c r="A1315" t="str">
        <f t="shared" si="80"/>
        <v>S1314</v>
      </c>
      <c r="B1315" t="str">
        <f t="shared" ca="1" si="81"/>
        <v>M100</v>
      </c>
      <c r="C1315">
        <f t="shared" ca="1" si="82"/>
        <v>9</v>
      </c>
      <c r="D1315" s="1">
        <f t="shared" ca="1" si="83"/>
        <v>46061</v>
      </c>
    </row>
    <row r="1316" spans="1:4" x14ac:dyDescent="0.25">
      <c r="A1316" t="str">
        <f t="shared" si="80"/>
        <v>S1315</v>
      </c>
      <c r="B1316" t="str">
        <f t="shared" ca="1" si="81"/>
        <v>M062</v>
      </c>
      <c r="C1316">
        <f t="shared" ca="1" si="82"/>
        <v>21</v>
      </c>
      <c r="D1316" s="1">
        <f t="shared" ca="1" si="83"/>
        <v>46047</v>
      </c>
    </row>
    <row r="1317" spans="1:4" x14ac:dyDescent="0.25">
      <c r="A1317" t="str">
        <f t="shared" si="80"/>
        <v>S1316</v>
      </c>
      <c r="B1317" t="str">
        <f t="shared" ca="1" si="81"/>
        <v>M012</v>
      </c>
      <c r="C1317">
        <f t="shared" ca="1" si="82"/>
        <v>23</v>
      </c>
      <c r="D1317" s="1">
        <f t="shared" ca="1" si="83"/>
        <v>46112</v>
      </c>
    </row>
    <row r="1318" spans="1:4" x14ac:dyDescent="0.25">
      <c r="A1318" t="str">
        <f t="shared" si="80"/>
        <v>S1317</v>
      </c>
      <c r="B1318" t="str">
        <f t="shared" ca="1" si="81"/>
        <v>M012</v>
      </c>
      <c r="C1318">
        <f t="shared" ca="1" si="82"/>
        <v>18</v>
      </c>
      <c r="D1318" s="1">
        <f t="shared" ca="1" si="83"/>
        <v>46031</v>
      </c>
    </row>
    <row r="1319" spans="1:4" x14ac:dyDescent="0.25">
      <c r="A1319" t="str">
        <f t="shared" si="80"/>
        <v>S1318</v>
      </c>
      <c r="B1319" t="str">
        <f t="shared" ca="1" si="81"/>
        <v>M092</v>
      </c>
      <c r="C1319">
        <f t="shared" ca="1" si="82"/>
        <v>28</v>
      </c>
      <c r="D1319" s="1">
        <f t="shared" ca="1" si="83"/>
        <v>46095</v>
      </c>
    </row>
    <row r="1320" spans="1:4" x14ac:dyDescent="0.25">
      <c r="A1320" t="str">
        <f t="shared" si="80"/>
        <v>S1319</v>
      </c>
      <c r="B1320" t="str">
        <f t="shared" ca="1" si="81"/>
        <v>M073</v>
      </c>
      <c r="C1320">
        <f t="shared" ca="1" si="82"/>
        <v>9</v>
      </c>
      <c r="D1320" s="1">
        <f t="shared" ca="1" si="83"/>
        <v>46061</v>
      </c>
    </row>
    <row r="1321" spans="1:4" x14ac:dyDescent="0.25">
      <c r="A1321" t="str">
        <f t="shared" si="80"/>
        <v>S1320</v>
      </c>
      <c r="B1321" t="str">
        <f t="shared" ca="1" si="81"/>
        <v>M038</v>
      </c>
      <c r="C1321">
        <f t="shared" ca="1" si="82"/>
        <v>20</v>
      </c>
      <c r="D1321" s="1">
        <f t="shared" ca="1" si="83"/>
        <v>46043</v>
      </c>
    </row>
    <row r="1322" spans="1:4" x14ac:dyDescent="0.25">
      <c r="A1322" t="str">
        <f t="shared" si="80"/>
        <v>S1321</v>
      </c>
      <c r="B1322" t="str">
        <f t="shared" ca="1" si="81"/>
        <v>M100</v>
      </c>
      <c r="C1322">
        <f t="shared" ca="1" si="82"/>
        <v>30</v>
      </c>
      <c r="D1322" s="1">
        <f t="shared" ca="1" si="83"/>
        <v>46065</v>
      </c>
    </row>
    <row r="1323" spans="1:4" x14ac:dyDescent="0.25">
      <c r="A1323" t="str">
        <f t="shared" si="80"/>
        <v>S1322</v>
      </c>
      <c r="B1323" t="str">
        <f t="shared" ca="1" si="81"/>
        <v>M034</v>
      </c>
      <c r="C1323">
        <f t="shared" ca="1" si="82"/>
        <v>27</v>
      </c>
      <c r="D1323" s="1">
        <f t="shared" ca="1" si="83"/>
        <v>46058</v>
      </c>
    </row>
    <row r="1324" spans="1:4" x14ac:dyDescent="0.25">
      <c r="A1324" t="str">
        <f t="shared" si="80"/>
        <v>S1323</v>
      </c>
      <c r="B1324" t="str">
        <f t="shared" ca="1" si="81"/>
        <v>M037</v>
      </c>
      <c r="C1324">
        <f t="shared" ca="1" si="82"/>
        <v>12</v>
      </c>
      <c r="D1324" s="1">
        <f t="shared" ca="1" si="83"/>
        <v>46111</v>
      </c>
    </row>
    <row r="1325" spans="1:4" x14ac:dyDescent="0.25">
      <c r="A1325" t="str">
        <f t="shared" si="80"/>
        <v>S1324</v>
      </c>
      <c r="B1325" t="str">
        <f t="shared" ca="1" si="81"/>
        <v>M014</v>
      </c>
      <c r="C1325">
        <f t="shared" ca="1" si="82"/>
        <v>14</v>
      </c>
      <c r="D1325" s="1">
        <f t="shared" ca="1" si="83"/>
        <v>46104</v>
      </c>
    </row>
    <row r="1326" spans="1:4" x14ac:dyDescent="0.25">
      <c r="A1326" t="str">
        <f t="shared" si="80"/>
        <v>S1325</v>
      </c>
      <c r="B1326" t="str">
        <f t="shared" ca="1" si="81"/>
        <v>M056</v>
      </c>
      <c r="C1326">
        <f t="shared" ca="1" si="82"/>
        <v>1</v>
      </c>
      <c r="D1326" s="1">
        <f t="shared" ca="1" si="83"/>
        <v>46083</v>
      </c>
    </row>
    <row r="1327" spans="1:4" x14ac:dyDescent="0.25">
      <c r="A1327" t="str">
        <f t="shared" si="80"/>
        <v>S1326</v>
      </c>
      <c r="B1327" t="str">
        <f t="shared" ca="1" si="81"/>
        <v>M052</v>
      </c>
      <c r="C1327">
        <f t="shared" ca="1" si="82"/>
        <v>30</v>
      </c>
      <c r="D1327" s="1">
        <f t="shared" ca="1" si="83"/>
        <v>46082</v>
      </c>
    </row>
    <row r="1328" spans="1:4" x14ac:dyDescent="0.25">
      <c r="A1328" t="str">
        <f t="shared" si="80"/>
        <v>S1327</v>
      </c>
      <c r="B1328" t="str">
        <f t="shared" ca="1" si="81"/>
        <v>M044</v>
      </c>
      <c r="C1328">
        <f t="shared" ca="1" si="82"/>
        <v>15</v>
      </c>
      <c r="D1328" s="1">
        <f t="shared" ca="1" si="83"/>
        <v>46095</v>
      </c>
    </row>
    <row r="1329" spans="1:4" x14ac:dyDescent="0.25">
      <c r="A1329" t="str">
        <f t="shared" si="80"/>
        <v>S1328</v>
      </c>
      <c r="B1329" t="str">
        <f t="shared" ca="1" si="81"/>
        <v>M019</v>
      </c>
      <c r="C1329">
        <f t="shared" ca="1" si="82"/>
        <v>17</v>
      </c>
      <c r="D1329" s="1">
        <f t="shared" ca="1" si="83"/>
        <v>46030</v>
      </c>
    </row>
    <row r="1330" spans="1:4" x14ac:dyDescent="0.25">
      <c r="A1330" t="str">
        <f t="shared" si="80"/>
        <v>S1329</v>
      </c>
      <c r="B1330" t="str">
        <f t="shared" ca="1" si="81"/>
        <v>M092</v>
      </c>
      <c r="C1330">
        <f t="shared" ca="1" si="82"/>
        <v>10</v>
      </c>
      <c r="D1330" s="1">
        <f t="shared" ca="1" si="83"/>
        <v>46107</v>
      </c>
    </row>
    <row r="1331" spans="1:4" x14ac:dyDescent="0.25">
      <c r="A1331" t="str">
        <f t="shared" si="80"/>
        <v>S1330</v>
      </c>
      <c r="B1331" t="str">
        <f t="shared" ca="1" si="81"/>
        <v>M070</v>
      </c>
      <c r="C1331">
        <f t="shared" ca="1" si="82"/>
        <v>22</v>
      </c>
      <c r="D1331" s="1">
        <f t="shared" ca="1" si="83"/>
        <v>46056</v>
      </c>
    </row>
    <row r="1332" spans="1:4" x14ac:dyDescent="0.25">
      <c r="A1332" t="str">
        <f t="shared" si="80"/>
        <v>S1331</v>
      </c>
      <c r="B1332" t="str">
        <f t="shared" ca="1" si="81"/>
        <v>M055</v>
      </c>
      <c r="C1332">
        <f t="shared" ca="1" si="82"/>
        <v>28</v>
      </c>
      <c r="D1332" s="1">
        <f t="shared" ca="1" si="83"/>
        <v>46048</v>
      </c>
    </row>
    <row r="1333" spans="1:4" x14ac:dyDescent="0.25">
      <c r="A1333" t="str">
        <f t="shared" si="80"/>
        <v>S1332</v>
      </c>
      <c r="B1333" t="str">
        <f t="shared" ca="1" si="81"/>
        <v>M085</v>
      </c>
      <c r="C1333">
        <f t="shared" ca="1" si="82"/>
        <v>4</v>
      </c>
      <c r="D1333" s="1">
        <f t="shared" ca="1" si="83"/>
        <v>46114</v>
      </c>
    </row>
    <row r="1334" spans="1:4" x14ac:dyDescent="0.25">
      <c r="A1334" t="str">
        <f t="shared" si="80"/>
        <v>S1333</v>
      </c>
      <c r="B1334" t="str">
        <f t="shared" ca="1" si="81"/>
        <v>M047</v>
      </c>
      <c r="C1334">
        <f t="shared" ca="1" si="82"/>
        <v>15</v>
      </c>
      <c r="D1334" s="1">
        <f t="shared" ca="1" si="83"/>
        <v>46043</v>
      </c>
    </row>
    <row r="1335" spans="1:4" x14ac:dyDescent="0.25">
      <c r="A1335" t="str">
        <f t="shared" si="80"/>
        <v>S1334</v>
      </c>
      <c r="B1335" t="str">
        <f t="shared" ca="1" si="81"/>
        <v>M097</v>
      </c>
      <c r="C1335">
        <f t="shared" ca="1" si="82"/>
        <v>19</v>
      </c>
      <c r="D1335" s="1">
        <f t="shared" ca="1" si="83"/>
        <v>46063</v>
      </c>
    </row>
    <row r="1336" spans="1:4" x14ac:dyDescent="0.25">
      <c r="A1336" t="str">
        <f t="shared" si="80"/>
        <v>S1335</v>
      </c>
      <c r="B1336" t="str">
        <f t="shared" ca="1" si="81"/>
        <v>M100</v>
      </c>
      <c r="C1336">
        <f t="shared" ca="1" si="82"/>
        <v>5</v>
      </c>
      <c r="D1336" s="1">
        <f t="shared" ca="1" si="83"/>
        <v>46102</v>
      </c>
    </row>
    <row r="1337" spans="1:4" x14ac:dyDescent="0.25">
      <c r="A1337" t="str">
        <f t="shared" si="80"/>
        <v>S1336</v>
      </c>
      <c r="B1337" t="str">
        <f t="shared" ca="1" si="81"/>
        <v>M048</v>
      </c>
      <c r="C1337">
        <f t="shared" ca="1" si="82"/>
        <v>23</v>
      </c>
      <c r="D1337" s="1">
        <f t="shared" ca="1" si="83"/>
        <v>46088</v>
      </c>
    </row>
    <row r="1338" spans="1:4" x14ac:dyDescent="0.25">
      <c r="A1338" t="str">
        <f t="shared" si="80"/>
        <v>S1337</v>
      </c>
      <c r="B1338" t="str">
        <f t="shared" ca="1" si="81"/>
        <v>M076</v>
      </c>
      <c r="C1338">
        <f t="shared" ca="1" si="82"/>
        <v>16</v>
      </c>
      <c r="D1338" s="1">
        <f t="shared" ca="1" si="83"/>
        <v>46071</v>
      </c>
    </row>
    <row r="1339" spans="1:4" x14ac:dyDescent="0.25">
      <c r="A1339" t="str">
        <f t="shared" si="80"/>
        <v>S1338</v>
      </c>
      <c r="B1339" t="str">
        <f t="shared" ca="1" si="81"/>
        <v>M039</v>
      </c>
      <c r="C1339">
        <f t="shared" ca="1" si="82"/>
        <v>4</v>
      </c>
      <c r="D1339" s="1">
        <f t="shared" ca="1" si="83"/>
        <v>46093</v>
      </c>
    </row>
    <row r="1340" spans="1:4" x14ac:dyDescent="0.25">
      <c r="A1340" t="str">
        <f t="shared" si="80"/>
        <v>S1339</v>
      </c>
      <c r="B1340" t="str">
        <f t="shared" ca="1" si="81"/>
        <v>M033</v>
      </c>
      <c r="C1340">
        <f t="shared" ca="1" si="82"/>
        <v>7</v>
      </c>
      <c r="D1340" s="1">
        <f t="shared" ca="1" si="83"/>
        <v>46107</v>
      </c>
    </row>
    <row r="1341" spans="1:4" x14ac:dyDescent="0.25">
      <c r="A1341" t="str">
        <f t="shared" si="80"/>
        <v>S1340</v>
      </c>
      <c r="B1341" t="str">
        <f t="shared" ca="1" si="81"/>
        <v>M073</v>
      </c>
      <c r="C1341">
        <f t="shared" ca="1" si="82"/>
        <v>8</v>
      </c>
      <c r="D1341" s="1">
        <f t="shared" ca="1" si="83"/>
        <v>46064</v>
      </c>
    </row>
    <row r="1342" spans="1:4" x14ac:dyDescent="0.25">
      <c r="A1342" t="str">
        <f t="shared" si="80"/>
        <v>S1341</v>
      </c>
      <c r="B1342" t="str">
        <f t="shared" ca="1" si="81"/>
        <v>M032</v>
      </c>
      <c r="C1342">
        <f t="shared" ca="1" si="82"/>
        <v>18</v>
      </c>
      <c r="D1342" s="1">
        <f t="shared" ca="1" si="83"/>
        <v>46064</v>
      </c>
    </row>
    <row r="1343" spans="1:4" x14ac:dyDescent="0.25">
      <c r="A1343" t="str">
        <f t="shared" si="80"/>
        <v>S1342</v>
      </c>
      <c r="B1343" t="str">
        <f t="shared" ca="1" si="81"/>
        <v>M045</v>
      </c>
      <c r="C1343">
        <f t="shared" ca="1" si="82"/>
        <v>26</v>
      </c>
      <c r="D1343" s="1">
        <f t="shared" ca="1" si="83"/>
        <v>46030</v>
      </c>
    </row>
    <row r="1344" spans="1:4" x14ac:dyDescent="0.25">
      <c r="A1344" t="str">
        <f t="shared" si="80"/>
        <v>S1343</v>
      </c>
      <c r="B1344" t="str">
        <f t="shared" ca="1" si="81"/>
        <v>M086</v>
      </c>
      <c r="C1344">
        <f t="shared" ca="1" si="82"/>
        <v>17</v>
      </c>
      <c r="D1344" s="1">
        <f t="shared" ca="1" si="83"/>
        <v>46029</v>
      </c>
    </row>
    <row r="1345" spans="1:4" x14ac:dyDescent="0.25">
      <c r="A1345" t="str">
        <f t="shared" si="80"/>
        <v>S1344</v>
      </c>
      <c r="B1345" t="str">
        <f t="shared" ca="1" si="81"/>
        <v>M011</v>
      </c>
      <c r="C1345">
        <f t="shared" ca="1" si="82"/>
        <v>27</v>
      </c>
      <c r="D1345" s="1">
        <f t="shared" ca="1" si="83"/>
        <v>46032</v>
      </c>
    </row>
    <row r="1346" spans="1:4" x14ac:dyDescent="0.25">
      <c r="A1346" t="str">
        <f t="shared" si="80"/>
        <v>S1345</v>
      </c>
      <c r="B1346" t="str">
        <f t="shared" ca="1" si="81"/>
        <v>M077</v>
      </c>
      <c r="C1346">
        <f t="shared" ca="1" si="82"/>
        <v>10</v>
      </c>
      <c r="D1346" s="1">
        <f t="shared" ca="1" si="83"/>
        <v>46096</v>
      </c>
    </row>
    <row r="1347" spans="1:4" x14ac:dyDescent="0.25">
      <c r="A1347" t="str">
        <f t="shared" ref="A1347:A1410" si="84">"S"&amp;TEXT(ROW(A1346),"000")</f>
        <v>S1346</v>
      </c>
      <c r="B1347" t="str">
        <f t="shared" ref="B1347:B1410" ca="1" si="85">"M"&amp;TEXT(RANDBETWEEN(1,100),"000")</f>
        <v>M048</v>
      </c>
      <c r="C1347">
        <f t="shared" ref="C1347:C1410" ca="1" si="86">RANDBETWEEN(1,30)</f>
        <v>20</v>
      </c>
      <c r="D1347" s="1">
        <f t="shared" ref="D1347:D1410" ca="1" si="87">TODAY()-RANDBETWEEN(1,90)</f>
        <v>46099</v>
      </c>
    </row>
    <row r="1348" spans="1:4" x14ac:dyDescent="0.25">
      <c r="A1348" t="str">
        <f t="shared" si="84"/>
        <v>S1347</v>
      </c>
      <c r="B1348" t="str">
        <f t="shared" ca="1" si="85"/>
        <v>M044</v>
      </c>
      <c r="C1348">
        <f t="shared" ca="1" si="86"/>
        <v>16</v>
      </c>
      <c r="D1348" s="1">
        <f t="shared" ca="1" si="87"/>
        <v>46075</v>
      </c>
    </row>
    <row r="1349" spans="1:4" x14ac:dyDescent="0.25">
      <c r="A1349" t="str">
        <f t="shared" si="84"/>
        <v>S1348</v>
      </c>
      <c r="B1349" t="str">
        <f t="shared" ca="1" si="85"/>
        <v>M098</v>
      </c>
      <c r="C1349">
        <f t="shared" ca="1" si="86"/>
        <v>11</v>
      </c>
      <c r="D1349" s="1">
        <f t="shared" ca="1" si="87"/>
        <v>46029</v>
      </c>
    </row>
    <row r="1350" spans="1:4" x14ac:dyDescent="0.25">
      <c r="A1350" t="str">
        <f t="shared" si="84"/>
        <v>S1349</v>
      </c>
      <c r="B1350" t="str">
        <f t="shared" ca="1" si="85"/>
        <v>M079</v>
      </c>
      <c r="C1350">
        <f t="shared" ca="1" si="86"/>
        <v>1</v>
      </c>
      <c r="D1350" s="1">
        <f t="shared" ca="1" si="87"/>
        <v>46109</v>
      </c>
    </row>
    <row r="1351" spans="1:4" x14ac:dyDescent="0.25">
      <c r="A1351" t="str">
        <f t="shared" si="84"/>
        <v>S1350</v>
      </c>
      <c r="B1351" t="str">
        <f t="shared" ca="1" si="85"/>
        <v>M075</v>
      </c>
      <c r="C1351">
        <f t="shared" ca="1" si="86"/>
        <v>23</v>
      </c>
      <c r="D1351" s="1">
        <f t="shared" ca="1" si="87"/>
        <v>46034</v>
      </c>
    </row>
    <row r="1352" spans="1:4" x14ac:dyDescent="0.25">
      <c r="A1352" t="str">
        <f t="shared" si="84"/>
        <v>S1351</v>
      </c>
      <c r="B1352" t="str">
        <f t="shared" ca="1" si="85"/>
        <v>M091</v>
      </c>
      <c r="C1352">
        <f t="shared" ca="1" si="86"/>
        <v>12</v>
      </c>
      <c r="D1352" s="1">
        <f t="shared" ca="1" si="87"/>
        <v>46044</v>
      </c>
    </row>
    <row r="1353" spans="1:4" x14ac:dyDescent="0.25">
      <c r="A1353" t="str">
        <f t="shared" si="84"/>
        <v>S1352</v>
      </c>
      <c r="B1353" t="str">
        <f t="shared" ca="1" si="85"/>
        <v>M065</v>
      </c>
      <c r="C1353">
        <f t="shared" ca="1" si="86"/>
        <v>1</v>
      </c>
      <c r="D1353" s="1">
        <f t="shared" ca="1" si="87"/>
        <v>46055</v>
      </c>
    </row>
    <row r="1354" spans="1:4" x14ac:dyDescent="0.25">
      <c r="A1354" t="str">
        <f t="shared" si="84"/>
        <v>S1353</v>
      </c>
      <c r="B1354" t="str">
        <f t="shared" ca="1" si="85"/>
        <v>M054</v>
      </c>
      <c r="C1354">
        <f t="shared" ca="1" si="86"/>
        <v>28</v>
      </c>
      <c r="D1354" s="1">
        <f t="shared" ca="1" si="87"/>
        <v>46102</v>
      </c>
    </row>
    <row r="1355" spans="1:4" x14ac:dyDescent="0.25">
      <c r="A1355" t="str">
        <f t="shared" si="84"/>
        <v>S1354</v>
      </c>
      <c r="B1355" t="str">
        <f t="shared" ca="1" si="85"/>
        <v>M072</v>
      </c>
      <c r="C1355">
        <f t="shared" ca="1" si="86"/>
        <v>17</v>
      </c>
      <c r="D1355" s="1">
        <f t="shared" ca="1" si="87"/>
        <v>46082</v>
      </c>
    </row>
    <row r="1356" spans="1:4" x14ac:dyDescent="0.25">
      <c r="A1356" t="str">
        <f t="shared" si="84"/>
        <v>S1355</v>
      </c>
      <c r="B1356" t="str">
        <f t="shared" ca="1" si="85"/>
        <v>M011</v>
      </c>
      <c r="C1356">
        <f t="shared" ca="1" si="86"/>
        <v>28</v>
      </c>
      <c r="D1356" s="1">
        <f t="shared" ca="1" si="87"/>
        <v>46040</v>
      </c>
    </row>
    <row r="1357" spans="1:4" x14ac:dyDescent="0.25">
      <c r="A1357" t="str">
        <f t="shared" si="84"/>
        <v>S1356</v>
      </c>
      <c r="B1357" t="str">
        <f t="shared" ca="1" si="85"/>
        <v>M072</v>
      </c>
      <c r="C1357">
        <f t="shared" ca="1" si="86"/>
        <v>24</v>
      </c>
      <c r="D1357" s="1">
        <f t="shared" ca="1" si="87"/>
        <v>46054</v>
      </c>
    </row>
    <row r="1358" spans="1:4" x14ac:dyDescent="0.25">
      <c r="A1358" t="str">
        <f t="shared" si="84"/>
        <v>S1357</v>
      </c>
      <c r="B1358" t="str">
        <f t="shared" ca="1" si="85"/>
        <v>M008</v>
      </c>
      <c r="C1358">
        <f t="shared" ca="1" si="86"/>
        <v>16</v>
      </c>
      <c r="D1358" s="1">
        <f t="shared" ca="1" si="87"/>
        <v>46100</v>
      </c>
    </row>
    <row r="1359" spans="1:4" x14ac:dyDescent="0.25">
      <c r="A1359" t="str">
        <f t="shared" si="84"/>
        <v>S1358</v>
      </c>
      <c r="B1359" t="str">
        <f t="shared" ca="1" si="85"/>
        <v>M081</v>
      </c>
      <c r="C1359">
        <f t="shared" ca="1" si="86"/>
        <v>12</v>
      </c>
      <c r="D1359" s="1">
        <f t="shared" ca="1" si="87"/>
        <v>46067</v>
      </c>
    </row>
    <row r="1360" spans="1:4" x14ac:dyDescent="0.25">
      <c r="A1360" t="str">
        <f t="shared" si="84"/>
        <v>S1359</v>
      </c>
      <c r="B1360" t="str">
        <f t="shared" ca="1" si="85"/>
        <v>M006</v>
      </c>
      <c r="C1360">
        <f t="shared" ca="1" si="86"/>
        <v>3</v>
      </c>
      <c r="D1360" s="1">
        <f t="shared" ca="1" si="87"/>
        <v>46097</v>
      </c>
    </row>
    <row r="1361" spans="1:4" x14ac:dyDescent="0.25">
      <c r="A1361" t="str">
        <f t="shared" si="84"/>
        <v>S1360</v>
      </c>
      <c r="B1361" t="str">
        <f t="shared" ca="1" si="85"/>
        <v>M092</v>
      </c>
      <c r="C1361">
        <f t="shared" ca="1" si="86"/>
        <v>21</v>
      </c>
      <c r="D1361" s="1">
        <f t="shared" ca="1" si="87"/>
        <v>46090</v>
      </c>
    </row>
    <row r="1362" spans="1:4" x14ac:dyDescent="0.25">
      <c r="A1362" t="str">
        <f t="shared" si="84"/>
        <v>S1361</v>
      </c>
      <c r="B1362" t="str">
        <f t="shared" ca="1" si="85"/>
        <v>M061</v>
      </c>
      <c r="C1362">
        <f t="shared" ca="1" si="86"/>
        <v>26</v>
      </c>
      <c r="D1362" s="1">
        <f t="shared" ca="1" si="87"/>
        <v>46096</v>
      </c>
    </row>
    <row r="1363" spans="1:4" x14ac:dyDescent="0.25">
      <c r="A1363" t="str">
        <f t="shared" si="84"/>
        <v>S1362</v>
      </c>
      <c r="B1363" t="str">
        <f t="shared" ca="1" si="85"/>
        <v>M091</v>
      </c>
      <c r="C1363">
        <f t="shared" ca="1" si="86"/>
        <v>16</v>
      </c>
      <c r="D1363" s="1">
        <f t="shared" ca="1" si="87"/>
        <v>46107</v>
      </c>
    </row>
    <row r="1364" spans="1:4" x14ac:dyDescent="0.25">
      <c r="A1364" t="str">
        <f t="shared" si="84"/>
        <v>S1363</v>
      </c>
      <c r="B1364" t="str">
        <f t="shared" ca="1" si="85"/>
        <v>M060</v>
      </c>
      <c r="C1364">
        <f t="shared" ca="1" si="86"/>
        <v>8</v>
      </c>
      <c r="D1364" s="1">
        <f t="shared" ca="1" si="87"/>
        <v>46090</v>
      </c>
    </row>
    <row r="1365" spans="1:4" x14ac:dyDescent="0.25">
      <c r="A1365" t="str">
        <f t="shared" si="84"/>
        <v>S1364</v>
      </c>
      <c r="B1365" t="str">
        <f t="shared" ca="1" si="85"/>
        <v>M055</v>
      </c>
      <c r="C1365">
        <f t="shared" ca="1" si="86"/>
        <v>22</v>
      </c>
      <c r="D1365" s="1">
        <f t="shared" ca="1" si="87"/>
        <v>46063</v>
      </c>
    </row>
    <row r="1366" spans="1:4" x14ac:dyDescent="0.25">
      <c r="A1366" t="str">
        <f t="shared" si="84"/>
        <v>S1365</v>
      </c>
      <c r="B1366" t="str">
        <f t="shared" ca="1" si="85"/>
        <v>M077</v>
      </c>
      <c r="C1366">
        <f t="shared" ca="1" si="86"/>
        <v>16</v>
      </c>
      <c r="D1366" s="1">
        <f t="shared" ca="1" si="87"/>
        <v>46094</v>
      </c>
    </row>
    <row r="1367" spans="1:4" x14ac:dyDescent="0.25">
      <c r="A1367" t="str">
        <f t="shared" si="84"/>
        <v>S1366</v>
      </c>
      <c r="B1367" t="str">
        <f t="shared" ca="1" si="85"/>
        <v>M065</v>
      </c>
      <c r="C1367">
        <f t="shared" ca="1" si="86"/>
        <v>15</v>
      </c>
      <c r="D1367" s="1">
        <f t="shared" ca="1" si="87"/>
        <v>46093</v>
      </c>
    </row>
    <row r="1368" spans="1:4" x14ac:dyDescent="0.25">
      <c r="A1368" t="str">
        <f t="shared" si="84"/>
        <v>S1367</v>
      </c>
      <c r="B1368" t="str">
        <f t="shared" ca="1" si="85"/>
        <v>M039</v>
      </c>
      <c r="C1368">
        <f t="shared" ca="1" si="86"/>
        <v>26</v>
      </c>
      <c r="D1368" s="1">
        <f t="shared" ca="1" si="87"/>
        <v>46099</v>
      </c>
    </row>
    <row r="1369" spans="1:4" x14ac:dyDescent="0.25">
      <c r="A1369" t="str">
        <f t="shared" si="84"/>
        <v>S1368</v>
      </c>
      <c r="B1369" t="str">
        <f t="shared" ca="1" si="85"/>
        <v>M034</v>
      </c>
      <c r="C1369">
        <f t="shared" ca="1" si="86"/>
        <v>15</v>
      </c>
      <c r="D1369" s="1">
        <f t="shared" ca="1" si="87"/>
        <v>46032</v>
      </c>
    </row>
    <row r="1370" spans="1:4" x14ac:dyDescent="0.25">
      <c r="A1370" t="str">
        <f t="shared" si="84"/>
        <v>S1369</v>
      </c>
      <c r="B1370" t="str">
        <f t="shared" ca="1" si="85"/>
        <v>M022</v>
      </c>
      <c r="C1370">
        <f t="shared" ca="1" si="86"/>
        <v>11</v>
      </c>
      <c r="D1370" s="1">
        <f t="shared" ca="1" si="87"/>
        <v>46080</v>
      </c>
    </row>
    <row r="1371" spans="1:4" x14ac:dyDescent="0.25">
      <c r="A1371" t="str">
        <f t="shared" si="84"/>
        <v>S1370</v>
      </c>
      <c r="B1371" t="str">
        <f t="shared" ca="1" si="85"/>
        <v>M003</v>
      </c>
      <c r="C1371">
        <f t="shared" ca="1" si="86"/>
        <v>29</v>
      </c>
      <c r="D1371" s="1">
        <f t="shared" ca="1" si="87"/>
        <v>46052</v>
      </c>
    </row>
    <row r="1372" spans="1:4" x14ac:dyDescent="0.25">
      <c r="A1372" t="str">
        <f t="shared" si="84"/>
        <v>S1371</v>
      </c>
      <c r="B1372" t="str">
        <f t="shared" ca="1" si="85"/>
        <v>M064</v>
      </c>
      <c r="C1372">
        <f t="shared" ca="1" si="86"/>
        <v>7</v>
      </c>
      <c r="D1372" s="1">
        <f t="shared" ca="1" si="87"/>
        <v>46079</v>
      </c>
    </row>
    <row r="1373" spans="1:4" x14ac:dyDescent="0.25">
      <c r="A1373" t="str">
        <f t="shared" si="84"/>
        <v>S1372</v>
      </c>
      <c r="B1373" t="str">
        <f t="shared" ca="1" si="85"/>
        <v>M018</v>
      </c>
      <c r="C1373">
        <f t="shared" ca="1" si="86"/>
        <v>19</v>
      </c>
      <c r="D1373" s="1">
        <f t="shared" ca="1" si="87"/>
        <v>46071</v>
      </c>
    </row>
    <row r="1374" spans="1:4" x14ac:dyDescent="0.25">
      <c r="A1374" t="str">
        <f t="shared" si="84"/>
        <v>S1373</v>
      </c>
      <c r="B1374" t="str">
        <f t="shared" ca="1" si="85"/>
        <v>M088</v>
      </c>
      <c r="C1374">
        <f t="shared" ca="1" si="86"/>
        <v>12</v>
      </c>
      <c r="D1374" s="1">
        <f t="shared" ca="1" si="87"/>
        <v>46054</v>
      </c>
    </row>
    <row r="1375" spans="1:4" x14ac:dyDescent="0.25">
      <c r="A1375" t="str">
        <f t="shared" si="84"/>
        <v>S1374</v>
      </c>
      <c r="B1375" t="str">
        <f t="shared" ca="1" si="85"/>
        <v>M025</v>
      </c>
      <c r="C1375">
        <f t="shared" ca="1" si="86"/>
        <v>4</v>
      </c>
      <c r="D1375" s="1">
        <f t="shared" ca="1" si="87"/>
        <v>46047</v>
      </c>
    </row>
    <row r="1376" spans="1:4" x14ac:dyDescent="0.25">
      <c r="A1376" t="str">
        <f t="shared" si="84"/>
        <v>S1375</v>
      </c>
      <c r="B1376" t="str">
        <f t="shared" ca="1" si="85"/>
        <v>M011</v>
      </c>
      <c r="C1376">
        <f t="shared" ca="1" si="86"/>
        <v>7</v>
      </c>
      <c r="D1376" s="1">
        <f t="shared" ca="1" si="87"/>
        <v>46106</v>
      </c>
    </row>
    <row r="1377" spans="1:4" x14ac:dyDescent="0.25">
      <c r="A1377" t="str">
        <f t="shared" si="84"/>
        <v>S1376</v>
      </c>
      <c r="B1377" t="str">
        <f t="shared" ca="1" si="85"/>
        <v>M036</v>
      </c>
      <c r="C1377">
        <f t="shared" ca="1" si="86"/>
        <v>14</v>
      </c>
      <c r="D1377" s="1">
        <f t="shared" ca="1" si="87"/>
        <v>46080</v>
      </c>
    </row>
    <row r="1378" spans="1:4" x14ac:dyDescent="0.25">
      <c r="A1378" t="str">
        <f t="shared" si="84"/>
        <v>S1377</v>
      </c>
      <c r="B1378" t="str">
        <f t="shared" ca="1" si="85"/>
        <v>M100</v>
      </c>
      <c r="C1378">
        <f t="shared" ca="1" si="86"/>
        <v>6</v>
      </c>
      <c r="D1378" s="1">
        <f t="shared" ca="1" si="87"/>
        <v>46059</v>
      </c>
    </row>
    <row r="1379" spans="1:4" x14ac:dyDescent="0.25">
      <c r="A1379" t="str">
        <f t="shared" si="84"/>
        <v>S1378</v>
      </c>
      <c r="B1379" t="str">
        <f t="shared" ca="1" si="85"/>
        <v>M100</v>
      </c>
      <c r="C1379">
        <f t="shared" ca="1" si="86"/>
        <v>6</v>
      </c>
      <c r="D1379" s="1">
        <f t="shared" ca="1" si="87"/>
        <v>46099</v>
      </c>
    </row>
    <row r="1380" spans="1:4" x14ac:dyDescent="0.25">
      <c r="A1380" t="str">
        <f t="shared" si="84"/>
        <v>S1379</v>
      </c>
      <c r="B1380" t="str">
        <f t="shared" ca="1" si="85"/>
        <v>M060</v>
      </c>
      <c r="C1380">
        <f t="shared" ca="1" si="86"/>
        <v>3</v>
      </c>
      <c r="D1380" s="1">
        <f t="shared" ca="1" si="87"/>
        <v>46061</v>
      </c>
    </row>
    <row r="1381" spans="1:4" x14ac:dyDescent="0.25">
      <c r="A1381" t="str">
        <f t="shared" si="84"/>
        <v>S1380</v>
      </c>
      <c r="B1381" t="str">
        <f t="shared" ca="1" si="85"/>
        <v>M100</v>
      </c>
      <c r="C1381">
        <f t="shared" ca="1" si="86"/>
        <v>9</v>
      </c>
      <c r="D1381" s="1">
        <f t="shared" ca="1" si="87"/>
        <v>46059</v>
      </c>
    </row>
    <row r="1382" spans="1:4" x14ac:dyDescent="0.25">
      <c r="A1382" t="str">
        <f t="shared" si="84"/>
        <v>S1381</v>
      </c>
      <c r="B1382" t="str">
        <f t="shared" ca="1" si="85"/>
        <v>M037</v>
      </c>
      <c r="C1382">
        <f t="shared" ca="1" si="86"/>
        <v>13</v>
      </c>
      <c r="D1382" s="1">
        <f t="shared" ca="1" si="87"/>
        <v>46043</v>
      </c>
    </row>
    <row r="1383" spans="1:4" x14ac:dyDescent="0.25">
      <c r="A1383" t="str">
        <f t="shared" si="84"/>
        <v>S1382</v>
      </c>
      <c r="B1383" t="str">
        <f t="shared" ca="1" si="85"/>
        <v>M079</v>
      </c>
      <c r="C1383">
        <f t="shared" ca="1" si="86"/>
        <v>7</v>
      </c>
      <c r="D1383" s="1">
        <f t="shared" ca="1" si="87"/>
        <v>46075</v>
      </c>
    </row>
    <row r="1384" spans="1:4" x14ac:dyDescent="0.25">
      <c r="A1384" t="str">
        <f t="shared" si="84"/>
        <v>S1383</v>
      </c>
      <c r="B1384" t="str">
        <f t="shared" ca="1" si="85"/>
        <v>M067</v>
      </c>
      <c r="C1384">
        <f t="shared" ca="1" si="86"/>
        <v>23</v>
      </c>
      <c r="D1384" s="1">
        <f t="shared" ca="1" si="87"/>
        <v>46099</v>
      </c>
    </row>
    <row r="1385" spans="1:4" x14ac:dyDescent="0.25">
      <c r="A1385" t="str">
        <f t="shared" si="84"/>
        <v>S1384</v>
      </c>
      <c r="B1385" t="str">
        <f t="shared" ca="1" si="85"/>
        <v>M034</v>
      </c>
      <c r="C1385">
        <f t="shared" ca="1" si="86"/>
        <v>13</v>
      </c>
      <c r="D1385" s="1">
        <f t="shared" ca="1" si="87"/>
        <v>46044</v>
      </c>
    </row>
    <row r="1386" spans="1:4" x14ac:dyDescent="0.25">
      <c r="A1386" t="str">
        <f t="shared" si="84"/>
        <v>S1385</v>
      </c>
      <c r="B1386" t="str">
        <f t="shared" ca="1" si="85"/>
        <v>M013</v>
      </c>
      <c r="C1386">
        <f t="shared" ca="1" si="86"/>
        <v>23</v>
      </c>
      <c r="D1386" s="1">
        <f t="shared" ca="1" si="87"/>
        <v>46111</v>
      </c>
    </row>
    <row r="1387" spans="1:4" x14ac:dyDescent="0.25">
      <c r="A1387" t="str">
        <f t="shared" si="84"/>
        <v>S1386</v>
      </c>
      <c r="B1387" t="str">
        <f t="shared" ca="1" si="85"/>
        <v>M040</v>
      </c>
      <c r="C1387">
        <f t="shared" ca="1" si="86"/>
        <v>27</v>
      </c>
      <c r="D1387" s="1">
        <f t="shared" ca="1" si="87"/>
        <v>46103</v>
      </c>
    </row>
    <row r="1388" spans="1:4" x14ac:dyDescent="0.25">
      <c r="A1388" t="str">
        <f t="shared" si="84"/>
        <v>S1387</v>
      </c>
      <c r="B1388" t="str">
        <f t="shared" ca="1" si="85"/>
        <v>M042</v>
      </c>
      <c r="C1388">
        <f t="shared" ca="1" si="86"/>
        <v>13</v>
      </c>
      <c r="D1388" s="1">
        <f t="shared" ca="1" si="87"/>
        <v>46084</v>
      </c>
    </row>
    <row r="1389" spans="1:4" x14ac:dyDescent="0.25">
      <c r="A1389" t="str">
        <f t="shared" si="84"/>
        <v>S1388</v>
      </c>
      <c r="B1389" t="str">
        <f t="shared" ca="1" si="85"/>
        <v>M025</v>
      </c>
      <c r="C1389">
        <f t="shared" ca="1" si="86"/>
        <v>17</v>
      </c>
      <c r="D1389" s="1">
        <f t="shared" ca="1" si="87"/>
        <v>46112</v>
      </c>
    </row>
    <row r="1390" spans="1:4" x14ac:dyDescent="0.25">
      <c r="A1390" t="str">
        <f t="shared" si="84"/>
        <v>S1389</v>
      </c>
      <c r="B1390" t="str">
        <f t="shared" ca="1" si="85"/>
        <v>M090</v>
      </c>
      <c r="C1390">
        <f t="shared" ca="1" si="86"/>
        <v>15</v>
      </c>
      <c r="D1390" s="1">
        <f t="shared" ca="1" si="87"/>
        <v>46109</v>
      </c>
    </row>
    <row r="1391" spans="1:4" x14ac:dyDescent="0.25">
      <c r="A1391" t="str">
        <f t="shared" si="84"/>
        <v>S1390</v>
      </c>
      <c r="B1391" t="str">
        <f t="shared" ca="1" si="85"/>
        <v>M092</v>
      </c>
      <c r="C1391">
        <f t="shared" ca="1" si="86"/>
        <v>16</v>
      </c>
      <c r="D1391" s="1">
        <f t="shared" ca="1" si="87"/>
        <v>46103</v>
      </c>
    </row>
    <row r="1392" spans="1:4" x14ac:dyDescent="0.25">
      <c r="A1392" t="str">
        <f t="shared" si="84"/>
        <v>S1391</v>
      </c>
      <c r="B1392" t="str">
        <f t="shared" ca="1" si="85"/>
        <v>M076</v>
      </c>
      <c r="C1392">
        <f t="shared" ca="1" si="86"/>
        <v>15</v>
      </c>
      <c r="D1392" s="1">
        <f t="shared" ca="1" si="87"/>
        <v>46034</v>
      </c>
    </row>
    <row r="1393" spans="1:4" x14ac:dyDescent="0.25">
      <c r="A1393" t="str">
        <f t="shared" si="84"/>
        <v>S1392</v>
      </c>
      <c r="B1393" t="str">
        <f t="shared" ca="1" si="85"/>
        <v>M033</v>
      </c>
      <c r="C1393">
        <f t="shared" ca="1" si="86"/>
        <v>25</v>
      </c>
      <c r="D1393" s="1">
        <f t="shared" ca="1" si="87"/>
        <v>46055</v>
      </c>
    </row>
    <row r="1394" spans="1:4" x14ac:dyDescent="0.25">
      <c r="A1394" t="str">
        <f t="shared" si="84"/>
        <v>S1393</v>
      </c>
      <c r="B1394" t="str">
        <f t="shared" ca="1" si="85"/>
        <v>M059</v>
      </c>
      <c r="C1394">
        <f t="shared" ca="1" si="86"/>
        <v>16</v>
      </c>
      <c r="D1394" s="1">
        <f t="shared" ca="1" si="87"/>
        <v>46078</v>
      </c>
    </row>
    <row r="1395" spans="1:4" x14ac:dyDescent="0.25">
      <c r="A1395" t="str">
        <f t="shared" si="84"/>
        <v>S1394</v>
      </c>
      <c r="B1395" t="str">
        <f t="shared" ca="1" si="85"/>
        <v>M006</v>
      </c>
      <c r="C1395">
        <f t="shared" ca="1" si="86"/>
        <v>25</v>
      </c>
      <c r="D1395" s="1">
        <f t="shared" ca="1" si="87"/>
        <v>46101</v>
      </c>
    </row>
    <row r="1396" spans="1:4" x14ac:dyDescent="0.25">
      <c r="A1396" t="str">
        <f t="shared" si="84"/>
        <v>S1395</v>
      </c>
      <c r="B1396" t="str">
        <f t="shared" ca="1" si="85"/>
        <v>M072</v>
      </c>
      <c r="C1396">
        <f t="shared" ca="1" si="86"/>
        <v>19</v>
      </c>
      <c r="D1396" s="1">
        <f t="shared" ca="1" si="87"/>
        <v>46061</v>
      </c>
    </row>
    <row r="1397" spans="1:4" x14ac:dyDescent="0.25">
      <c r="A1397" t="str">
        <f t="shared" si="84"/>
        <v>S1396</v>
      </c>
      <c r="B1397" t="str">
        <f t="shared" ca="1" si="85"/>
        <v>M072</v>
      </c>
      <c r="C1397">
        <f t="shared" ca="1" si="86"/>
        <v>18</v>
      </c>
      <c r="D1397" s="1">
        <f t="shared" ca="1" si="87"/>
        <v>46100</v>
      </c>
    </row>
    <row r="1398" spans="1:4" x14ac:dyDescent="0.25">
      <c r="A1398" t="str">
        <f t="shared" si="84"/>
        <v>S1397</v>
      </c>
      <c r="B1398" t="str">
        <f t="shared" ca="1" si="85"/>
        <v>M027</v>
      </c>
      <c r="C1398">
        <f t="shared" ca="1" si="86"/>
        <v>15</v>
      </c>
      <c r="D1398" s="1">
        <f t="shared" ca="1" si="87"/>
        <v>46080</v>
      </c>
    </row>
    <row r="1399" spans="1:4" x14ac:dyDescent="0.25">
      <c r="A1399" t="str">
        <f t="shared" si="84"/>
        <v>S1398</v>
      </c>
      <c r="B1399" t="str">
        <f t="shared" ca="1" si="85"/>
        <v>M097</v>
      </c>
      <c r="C1399">
        <f t="shared" ca="1" si="86"/>
        <v>10</v>
      </c>
      <c r="D1399" s="1">
        <f t="shared" ca="1" si="87"/>
        <v>46073</v>
      </c>
    </row>
    <row r="1400" spans="1:4" x14ac:dyDescent="0.25">
      <c r="A1400" t="str">
        <f t="shared" si="84"/>
        <v>S1399</v>
      </c>
      <c r="B1400" t="str">
        <f t="shared" ca="1" si="85"/>
        <v>M065</v>
      </c>
      <c r="C1400">
        <f t="shared" ca="1" si="86"/>
        <v>7</v>
      </c>
      <c r="D1400" s="1">
        <f t="shared" ca="1" si="87"/>
        <v>46102</v>
      </c>
    </row>
    <row r="1401" spans="1:4" x14ac:dyDescent="0.25">
      <c r="A1401" t="str">
        <f t="shared" si="84"/>
        <v>S1400</v>
      </c>
      <c r="B1401" t="str">
        <f t="shared" ca="1" si="85"/>
        <v>M031</v>
      </c>
      <c r="C1401">
        <f t="shared" ca="1" si="86"/>
        <v>20</v>
      </c>
      <c r="D1401" s="1">
        <f t="shared" ca="1" si="87"/>
        <v>46091</v>
      </c>
    </row>
    <row r="1402" spans="1:4" x14ac:dyDescent="0.25">
      <c r="A1402" t="str">
        <f t="shared" si="84"/>
        <v>S1401</v>
      </c>
      <c r="B1402" t="str">
        <f t="shared" ca="1" si="85"/>
        <v>M053</v>
      </c>
      <c r="C1402">
        <f t="shared" ca="1" si="86"/>
        <v>20</v>
      </c>
      <c r="D1402" s="1">
        <f t="shared" ca="1" si="87"/>
        <v>46041</v>
      </c>
    </row>
    <row r="1403" spans="1:4" x14ac:dyDescent="0.25">
      <c r="A1403" t="str">
        <f t="shared" si="84"/>
        <v>S1402</v>
      </c>
      <c r="B1403" t="str">
        <f t="shared" ca="1" si="85"/>
        <v>M074</v>
      </c>
      <c r="C1403">
        <f t="shared" ca="1" si="86"/>
        <v>11</v>
      </c>
      <c r="D1403" s="1">
        <f t="shared" ca="1" si="87"/>
        <v>46040</v>
      </c>
    </row>
    <row r="1404" spans="1:4" x14ac:dyDescent="0.25">
      <c r="A1404" t="str">
        <f t="shared" si="84"/>
        <v>S1403</v>
      </c>
      <c r="B1404" t="str">
        <f t="shared" ca="1" si="85"/>
        <v>M005</v>
      </c>
      <c r="C1404">
        <f t="shared" ca="1" si="86"/>
        <v>9</v>
      </c>
      <c r="D1404" s="1">
        <f t="shared" ca="1" si="87"/>
        <v>46075</v>
      </c>
    </row>
    <row r="1405" spans="1:4" x14ac:dyDescent="0.25">
      <c r="A1405" t="str">
        <f t="shared" si="84"/>
        <v>S1404</v>
      </c>
      <c r="B1405" t="str">
        <f t="shared" ca="1" si="85"/>
        <v>M082</v>
      </c>
      <c r="C1405">
        <f t="shared" ca="1" si="86"/>
        <v>6</v>
      </c>
      <c r="D1405" s="1">
        <f t="shared" ca="1" si="87"/>
        <v>46059</v>
      </c>
    </row>
    <row r="1406" spans="1:4" x14ac:dyDescent="0.25">
      <c r="A1406" t="str">
        <f t="shared" si="84"/>
        <v>S1405</v>
      </c>
      <c r="B1406" t="str">
        <f t="shared" ca="1" si="85"/>
        <v>M037</v>
      </c>
      <c r="C1406">
        <f t="shared" ca="1" si="86"/>
        <v>12</v>
      </c>
      <c r="D1406" s="1">
        <f t="shared" ca="1" si="87"/>
        <v>46117</v>
      </c>
    </row>
    <row r="1407" spans="1:4" x14ac:dyDescent="0.25">
      <c r="A1407" t="str">
        <f t="shared" si="84"/>
        <v>S1406</v>
      </c>
      <c r="B1407" t="str">
        <f t="shared" ca="1" si="85"/>
        <v>M013</v>
      </c>
      <c r="C1407">
        <f t="shared" ca="1" si="86"/>
        <v>30</v>
      </c>
      <c r="D1407" s="1">
        <f t="shared" ca="1" si="87"/>
        <v>46029</v>
      </c>
    </row>
    <row r="1408" spans="1:4" x14ac:dyDescent="0.25">
      <c r="A1408" t="str">
        <f t="shared" si="84"/>
        <v>S1407</v>
      </c>
      <c r="B1408" t="str">
        <f t="shared" ca="1" si="85"/>
        <v>M041</v>
      </c>
      <c r="C1408">
        <f t="shared" ca="1" si="86"/>
        <v>29</v>
      </c>
      <c r="D1408" s="1">
        <f t="shared" ca="1" si="87"/>
        <v>46102</v>
      </c>
    </row>
    <row r="1409" spans="1:4" x14ac:dyDescent="0.25">
      <c r="A1409" t="str">
        <f t="shared" si="84"/>
        <v>S1408</v>
      </c>
      <c r="B1409" t="str">
        <f t="shared" ca="1" si="85"/>
        <v>M028</v>
      </c>
      <c r="C1409">
        <f t="shared" ca="1" si="86"/>
        <v>21</v>
      </c>
      <c r="D1409" s="1">
        <f t="shared" ca="1" si="87"/>
        <v>46107</v>
      </c>
    </row>
    <row r="1410" spans="1:4" x14ac:dyDescent="0.25">
      <c r="A1410" t="str">
        <f t="shared" si="84"/>
        <v>S1409</v>
      </c>
      <c r="B1410" t="str">
        <f t="shared" ca="1" si="85"/>
        <v>M006</v>
      </c>
      <c r="C1410">
        <f t="shared" ca="1" si="86"/>
        <v>5</v>
      </c>
      <c r="D1410" s="1">
        <f t="shared" ca="1" si="87"/>
        <v>46105</v>
      </c>
    </row>
    <row r="1411" spans="1:4" x14ac:dyDescent="0.25">
      <c r="A1411" t="str">
        <f t="shared" ref="A1411:A1474" si="88">"S"&amp;TEXT(ROW(A1410),"000")</f>
        <v>S1410</v>
      </c>
      <c r="B1411" t="str">
        <f t="shared" ref="B1411:B1474" ca="1" si="89">"M"&amp;TEXT(RANDBETWEEN(1,100),"000")</f>
        <v>M059</v>
      </c>
      <c r="C1411">
        <f t="shared" ref="C1411:C1474" ca="1" si="90">RANDBETWEEN(1,30)</f>
        <v>8</v>
      </c>
      <c r="D1411" s="1">
        <f t="shared" ref="D1411:D1474" ca="1" si="91">TODAY()-RANDBETWEEN(1,90)</f>
        <v>46108</v>
      </c>
    </row>
    <row r="1412" spans="1:4" x14ac:dyDescent="0.25">
      <c r="A1412" t="str">
        <f t="shared" si="88"/>
        <v>S1411</v>
      </c>
      <c r="B1412" t="str">
        <f t="shared" ca="1" si="89"/>
        <v>M051</v>
      </c>
      <c r="C1412">
        <f t="shared" ca="1" si="90"/>
        <v>14</v>
      </c>
      <c r="D1412" s="1">
        <f t="shared" ca="1" si="91"/>
        <v>46116</v>
      </c>
    </row>
    <row r="1413" spans="1:4" x14ac:dyDescent="0.25">
      <c r="A1413" t="str">
        <f t="shared" si="88"/>
        <v>S1412</v>
      </c>
      <c r="B1413" t="str">
        <f t="shared" ca="1" si="89"/>
        <v>M060</v>
      </c>
      <c r="C1413">
        <f t="shared" ca="1" si="90"/>
        <v>9</v>
      </c>
      <c r="D1413" s="1">
        <f t="shared" ca="1" si="91"/>
        <v>46082</v>
      </c>
    </row>
    <row r="1414" spans="1:4" x14ac:dyDescent="0.25">
      <c r="A1414" t="str">
        <f t="shared" si="88"/>
        <v>S1413</v>
      </c>
      <c r="B1414" t="str">
        <f t="shared" ca="1" si="89"/>
        <v>M037</v>
      </c>
      <c r="C1414">
        <f t="shared" ca="1" si="90"/>
        <v>9</v>
      </c>
      <c r="D1414" s="1">
        <f t="shared" ca="1" si="91"/>
        <v>46100</v>
      </c>
    </row>
    <row r="1415" spans="1:4" x14ac:dyDescent="0.25">
      <c r="A1415" t="str">
        <f t="shared" si="88"/>
        <v>S1414</v>
      </c>
      <c r="B1415" t="str">
        <f t="shared" ca="1" si="89"/>
        <v>M005</v>
      </c>
      <c r="C1415">
        <f t="shared" ca="1" si="90"/>
        <v>2</v>
      </c>
      <c r="D1415" s="1">
        <f t="shared" ca="1" si="91"/>
        <v>46045</v>
      </c>
    </row>
    <row r="1416" spans="1:4" x14ac:dyDescent="0.25">
      <c r="A1416" t="str">
        <f t="shared" si="88"/>
        <v>S1415</v>
      </c>
      <c r="B1416" t="str">
        <f t="shared" ca="1" si="89"/>
        <v>M081</v>
      </c>
      <c r="C1416">
        <f t="shared" ca="1" si="90"/>
        <v>3</v>
      </c>
      <c r="D1416" s="1">
        <f t="shared" ca="1" si="91"/>
        <v>46102</v>
      </c>
    </row>
    <row r="1417" spans="1:4" x14ac:dyDescent="0.25">
      <c r="A1417" t="str">
        <f t="shared" si="88"/>
        <v>S1416</v>
      </c>
      <c r="B1417" t="str">
        <f t="shared" ca="1" si="89"/>
        <v>M011</v>
      </c>
      <c r="C1417">
        <f t="shared" ca="1" si="90"/>
        <v>22</v>
      </c>
      <c r="D1417" s="1">
        <f t="shared" ca="1" si="91"/>
        <v>46104</v>
      </c>
    </row>
    <row r="1418" spans="1:4" x14ac:dyDescent="0.25">
      <c r="A1418" t="str">
        <f t="shared" si="88"/>
        <v>S1417</v>
      </c>
      <c r="B1418" t="str">
        <f t="shared" ca="1" si="89"/>
        <v>M053</v>
      </c>
      <c r="C1418">
        <f t="shared" ca="1" si="90"/>
        <v>27</v>
      </c>
      <c r="D1418" s="1">
        <f t="shared" ca="1" si="91"/>
        <v>46051</v>
      </c>
    </row>
    <row r="1419" spans="1:4" x14ac:dyDescent="0.25">
      <c r="A1419" t="str">
        <f t="shared" si="88"/>
        <v>S1418</v>
      </c>
      <c r="B1419" t="str">
        <f t="shared" ca="1" si="89"/>
        <v>M030</v>
      </c>
      <c r="C1419">
        <f t="shared" ca="1" si="90"/>
        <v>15</v>
      </c>
      <c r="D1419" s="1">
        <f t="shared" ca="1" si="91"/>
        <v>46036</v>
      </c>
    </row>
    <row r="1420" spans="1:4" x14ac:dyDescent="0.25">
      <c r="A1420" t="str">
        <f t="shared" si="88"/>
        <v>S1419</v>
      </c>
      <c r="B1420" t="str">
        <f t="shared" ca="1" si="89"/>
        <v>M047</v>
      </c>
      <c r="C1420">
        <f t="shared" ca="1" si="90"/>
        <v>24</v>
      </c>
      <c r="D1420" s="1">
        <f t="shared" ca="1" si="91"/>
        <v>46087</v>
      </c>
    </row>
    <row r="1421" spans="1:4" x14ac:dyDescent="0.25">
      <c r="A1421" t="str">
        <f t="shared" si="88"/>
        <v>S1420</v>
      </c>
      <c r="B1421" t="str">
        <f t="shared" ca="1" si="89"/>
        <v>M066</v>
      </c>
      <c r="C1421">
        <f t="shared" ca="1" si="90"/>
        <v>21</v>
      </c>
      <c r="D1421" s="1">
        <f t="shared" ca="1" si="91"/>
        <v>46051</v>
      </c>
    </row>
    <row r="1422" spans="1:4" x14ac:dyDescent="0.25">
      <c r="A1422" t="str">
        <f t="shared" si="88"/>
        <v>S1421</v>
      </c>
      <c r="B1422" t="str">
        <f t="shared" ca="1" si="89"/>
        <v>M088</v>
      </c>
      <c r="C1422">
        <f t="shared" ca="1" si="90"/>
        <v>15</v>
      </c>
      <c r="D1422" s="1">
        <f t="shared" ca="1" si="91"/>
        <v>46060</v>
      </c>
    </row>
    <row r="1423" spans="1:4" x14ac:dyDescent="0.25">
      <c r="A1423" t="str">
        <f t="shared" si="88"/>
        <v>S1422</v>
      </c>
      <c r="B1423" t="str">
        <f t="shared" ca="1" si="89"/>
        <v>M064</v>
      </c>
      <c r="C1423">
        <f t="shared" ca="1" si="90"/>
        <v>13</v>
      </c>
      <c r="D1423" s="1">
        <f t="shared" ca="1" si="91"/>
        <v>46037</v>
      </c>
    </row>
    <row r="1424" spans="1:4" x14ac:dyDescent="0.25">
      <c r="A1424" t="str">
        <f t="shared" si="88"/>
        <v>S1423</v>
      </c>
      <c r="B1424" t="str">
        <f t="shared" ca="1" si="89"/>
        <v>M053</v>
      </c>
      <c r="C1424">
        <f t="shared" ca="1" si="90"/>
        <v>9</v>
      </c>
      <c r="D1424" s="1">
        <f t="shared" ca="1" si="91"/>
        <v>46071</v>
      </c>
    </row>
    <row r="1425" spans="1:4" x14ac:dyDescent="0.25">
      <c r="A1425" t="str">
        <f t="shared" si="88"/>
        <v>S1424</v>
      </c>
      <c r="B1425" t="str">
        <f t="shared" ca="1" si="89"/>
        <v>M038</v>
      </c>
      <c r="C1425">
        <f t="shared" ca="1" si="90"/>
        <v>26</v>
      </c>
      <c r="D1425" s="1">
        <f t="shared" ca="1" si="91"/>
        <v>46040</v>
      </c>
    </row>
    <row r="1426" spans="1:4" x14ac:dyDescent="0.25">
      <c r="A1426" t="str">
        <f t="shared" si="88"/>
        <v>S1425</v>
      </c>
      <c r="B1426" t="str">
        <f t="shared" ca="1" si="89"/>
        <v>M072</v>
      </c>
      <c r="C1426">
        <f t="shared" ca="1" si="90"/>
        <v>11</v>
      </c>
      <c r="D1426" s="1">
        <f t="shared" ca="1" si="91"/>
        <v>46039</v>
      </c>
    </row>
    <row r="1427" spans="1:4" x14ac:dyDescent="0.25">
      <c r="A1427" t="str">
        <f t="shared" si="88"/>
        <v>S1426</v>
      </c>
      <c r="B1427" t="str">
        <f t="shared" ca="1" si="89"/>
        <v>M023</v>
      </c>
      <c r="C1427">
        <f t="shared" ca="1" si="90"/>
        <v>17</v>
      </c>
      <c r="D1427" s="1">
        <f t="shared" ca="1" si="91"/>
        <v>46040</v>
      </c>
    </row>
    <row r="1428" spans="1:4" x14ac:dyDescent="0.25">
      <c r="A1428" t="str">
        <f t="shared" si="88"/>
        <v>S1427</v>
      </c>
      <c r="B1428" t="str">
        <f t="shared" ca="1" si="89"/>
        <v>M006</v>
      </c>
      <c r="C1428">
        <f t="shared" ca="1" si="90"/>
        <v>5</v>
      </c>
      <c r="D1428" s="1">
        <f t="shared" ca="1" si="91"/>
        <v>46030</v>
      </c>
    </row>
    <row r="1429" spans="1:4" x14ac:dyDescent="0.25">
      <c r="A1429" t="str">
        <f t="shared" si="88"/>
        <v>S1428</v>
      </c>
      <c r="B1429" t="str">
        <f t="shared" ca="1" si="89"/>
        <v>M100</v>
      </c>
      <c r="C1429">
        <f t="shared" ca="1" si="90"/>
        <v>25</v>
      </c>
      <c r="D1429" s="1">
        <f t="shared" ca="1" si="91"/>
        <v>46103</v>
      </c>
    </row>
    <row r="1430" spans="1:4" x14ac:dyDescent="0.25">
      <c r="A1430" t="str">
        <f t="shared" si="88"/>
        <v>S1429</v>
      </c>
      <c r="B1430" t="str">
        <f t="shared" ca="1" si="89"/>
        <v>M021</v>
      </c>
      <c r="C1430">
        <f t="shared" ca="1" si="90"/>
        <v>12</v>
      </c>
      <c r="D1430" s="1">
        <f t="shared" ca="1" si="91"/>
        <v>46099</v>
      </c>
    </row>
    <row r="1431" spans="1:4" x14ac:dyDescent="0.25">
      <c r="A1431" t="str">
        <f t="shared" si="88"/>
        <v>S1430</v>
      </c>
      <c r="B1431" t="str">
        <f t="shared" ca="1" si="89"/>
        <v>M053</v>
      </c>
      <c r="C1431">
        <f t="shared" ca="1" si="90"/>
        <v>29</v>
      </c>
      <c r="D1431" s="1">
        <f t="shared" ca="1" si="91"/>
        <v>46074</v>
      </c>
    </row>
    <row r="1432" spans="1:4" x14ac:dyDescent="0.25">
      <c r="A1432" t="str">
        <f t="shared" si="88"/>
        <v>S1431</v>
      </c>
      <c r="B1432" t="str">
        <f t="shared" ca="1" si="89"/>
        <v>M031</v>
      </c>
      <c r="C1432">
        <f t="shared" ca="1" si="90"/>
        <v>16</v>
      </c>
      <c r="D1432" s="1">
        <f t="shared" ca="1" si="91"/>
        <v>46076</v>
      </c>
    </row>
    <row r="1433" spans="1:4" x14ac:dyDescent="0.25">
      <c r="A1433" t="str">
        <f t="shared" si="88"/>
        <v>S1432</v>
      </c>
      <c r="B1433" t="str">
        <f t="shared" ca="1" si="89"/>
        <v>M014</v>
      </c>
      <c r="C1433">
        <f t="shared" ca="1" si="90"/>
        <v>14</v>
      </c>
      <c r="D1433" s="1">
        <f t="shared" ca="1" si="91"/>
        <v>46099</v>
      </c>
    </row>
    <row r="1434" spans="1:4" x14ac:dyDescent="0.25">
      <c r="A1434" t="str">
        <f t="shared" si="88"/>
        <v>S1433</v>
      </c>
      <c r="B1434" t="str">
        <f t="shared" ca="1" si="89"/>
        <v>M013</v>
      </c>
      <c r="C1434">
        <f t="shared" ca="1" si="90"/>
        <v>4</v>
      </c>
      <c r="D1434" s="1">
        <f t="shared" ca="1" si="91"/>
        <v>46062</v>
      </c>
    </row>
    <row r="1435" spans="1:4" x14ac:dyDescent="0.25">
      <c r="A1435" t="str">
        <f t="shared" si="88"/>
        <v>S1434</v>
      </c>
      <c r="B1435" t="str">
        <f t="shared" ca="1" si="89"/>
        <v>M083</v>
      </c>
      <c r="C1435">
        <f t="shared" ca="1" si="90"/>
        <v>8</v>
      </c>
      <c r="D1435" s="1">
        <f t="shared" ca="1" si="91"/>
        <v>46104</v>
      </c>
    </row>
    <row r="1436" spans="1:4" x14ac:dyDescent="0.25">
      <c r="A1436" t="str">
        <f t="shared" si="88"/>
        <v>S1435</v>
      </c>
      <c r="B1436" t="str">
        <f t="shared" ca="1" si="89"/>
        <v>M061</v>
      </c>
      <c r="C1436">
        <f t="shared" ca="1" si="90"/>
        <v>12</v>
      </c>
      <c r="D1436" s="1">
        <f t="shared" ca="1" si="91"/>
        <v>46036</v>
      </c>
    </row>
    <row r="1437" spans="1:4" x14ac:dyDescent="0.25">
      <c r="A1437" t="str">
        <f t="shared" si="88"/>
        <v>S1436</v>
      </c>
      <c r="B1437" t="str">
        <f t="shared" ca="1" si="89"/>
        <v>M006</v>
      </c>
      <c r="C1437">
        <f t="shared" ca="1" si="90"/>
        <v>15</v>
      </c>
      <c r="D1437" s="1">
        <f t="shared" ca="1" si="91"/>
        <v>46116</v>
      </c>
    </row>
    <row r="1438" spans="1:4" x14ac:dyDescent="0.25">
      <c r="A1438" t="str">
        <f t="shared" si="88"/>
        <v>S1437</v>
      </c>
      <c r="B1438" t="str">
        <f t="shared" ca="1" si="89"/>
        <v>M056</v>
      </c>
      <c r="C1438">
        <f t="shared" ca="1" si="90"/>
        <v>12</v>
      </c>
      <c r="D1438" s="1">
        <f t="shared" ca="1" si="91"/>
        <v>46062</v>
      </c>
    </row>
    <row r="1439" spans="1:4" x14ac:dyDescent="0.25">
      <c r="A1439" t="str">
        <f t="shared" si="88"/>
        <v>S1438</v>
      </c>
      <c r="B1439" t="str">
        <f t="shared" ca="1" si="89"/>
        <v>M043</v>
      </c>
      <c r="C1439">
        <f t="shared" ca="1" si="90"/>
        <v>3</v>
      </c>
      <c r="D1439" s="1">
        <f t="shared" ca="1" si="91"/>
        <v>46085</v>
      </c>
    </row>
    <row r="1440" spans="1:4" x14ac:dyDescent="0.25">
      <c r="A1440" t="str">
        <f t="shared" si="88"/>
        <v>S1439</v>
      </c>
      <c r="B1440" t="str">
        <f t="shared" ca="1" si="89"/>
        <v>M080</v>
      </c>
      <c r="C1440">
        <f t="shared" ca="1" si="90"/>
        <v>27</v>
      </c>
      <c r="D1440" s="1">
        <f t="shared" ca="1" si="91"/>
        <v>46081</v>
      </c>
    </row>
    <row r="1441" spans="1:4" x14ac:dyDescent="0.25">
      <c r="A1441" t="str">
        <f t="shared" si="88"/>
        <v>S1440</v>
      </c>
      <c r="B1441" t="str">
        <f t="shared" ca="1" si="89"/>
        <v>M092</v>
      </c>
      <c r="C1441">
        <f t="shared" ca="1" si="90"/>
        <v>29</v>
      </c>
      <c r="D1441" s="1">
        <f t="shared" ca="1" si="91"/>
        <v>46087</v>
      </c>
    </row>
    <row r="1442" spans="1:4" x14ac:dyDescent="0.25">
      <c r="A1442" t="str">
        <f t="shared" si="88"/>
        <v>S1441</v>
      </c>
      <c r="B1442" t="str">
        <f t="shared" ca="1" si="89"/>
        <v>M033</v>
      </c>
      <c r="C1442">
        <f t="shared" ca="1" si="90"/>
        <v>16</v>
      </c>
      <c r="D1442" s="1">
        <f t="shared" ca="1" si="91"/>
        <v>46043</v>
      </c>
    </row>
    <row r="1443" spans="1:4" x14ac:dyDescent="0.25">
      <c r="A1443" t="str">
        <f t="shared" si="88"/>
        <v>S1442</v>
      </c>
      <c r="B1443" t="str">
        <f t="shared" ca="1" si="89"/>
        <v>M041</v>
      </c>
      <c r="C1443">
        <f t="shared" ca="1" si="90"/>
        <v>8</v>
      </c>
      <c r="D1443" s="1">
        <f t="shared" ca="1" si="91"/>
        <v>46114</v>
      </c>
    </row>
    <row r="1444" spans="1:4" x14ac:dyDescent="0.25">
      <c r="A1444" t="str">
        <f t="shared" si="88"/>
        <v>S1443</v>
      </c>
      <c r="B1444" t="str">
        <f t="shared" ca="1" si="89"/>
        <v>M003</v>
      </c>
      <c r="C1444">
        <f t="shared" ca="1" si="90"/>
        <v>17</v>
      </c>
      <c r="D1444" s="1">
        <f t="shared" ca="1" si="91"/>
        <v>46087</v>
      </c>
    </row>
    <row r="1445" spans="1:4" x14ac:dyDescent="0.25">
      <c r="A1445" t="str">
        <f t="shared" si="88"/>
        <v>S1444</v>
      </c>
      <c r="B1445" t="str">
        <f t="shared" ca="1" si="89"/>
        <v>M044</v>
      </c>
      <c r="C1445">
        <f t="shared" ca="1" si="90"/>
        <v>1</v>
      </c>
      <c r="D1445" s="1">
        <f t="shared" ca="1" si="91"/>
        <v>46117</v>
      </c>
    </row>
    <row r="1446" spans="1:4" x14ac:dyDescent="0.25">
      <c r="A1446" t="str">
        <f t="shared" si="88"/>
        <v>S1445</v>
      </c>
      <c r="B1446" t="str">
        <f t="shared" ca="1" si="89"/>
        <v>M036</v>
      </c>
      <c r="C1446">
        <f t="shared" ca="1" si="90"/>
        <v>20</v>
      </c>
      <c r="D1446" s="1">
        <f t="shared" ca="1" si="91"/>
        <v>46097</v>
      </c>
    </row>
    <row r="1447" spans="1:4" x14ac:dyDescent="0.25">
      <c r="A1447" t="str">
        <f t="shared" si="88"/>
        <v>S1446</v>
      </c>
      <c r="B1447" t="str">
        <f t="shared" ca="1" si="89"/>
        <v>M067</v>
      </c>
      <c r="C1447">
        <f t="shared" ca="1" si="90"/>
        <v>23</v>
      </c>
      <c r="D1447" s="1">
        <f t="shared" ca="1" si="91"/>
        <v>46088</v>
      </c>
    </row>
    <row r="1448" spans="1:4" x14ac:dyDescent="0.25">
      <c r="A1448" t="str">
        <f t="shared" si="88"/>
        <v>S1447</v>
      </c>
      <c r="B1448" t="str">
        <f t="shared" ca="1" si="89"/>
        <v>M075</v>
      </c>
      <c r="C1448">
        <f t="shared" ca="1" si="90"/>
        <v>12</v>
      </c>
      <c r="D1448" s="1">
        <f t="shared" ca="1" si="91"/>
        <v>46063</v>
      </c>
    </row>
    <row r="1449" spans="1:4" x14ac:dyDescent="0.25">
      <c r="A1449" t="str">
        <f t="shared" si="88"/>
        <v>S1448</v>
      </c>
      <c r="B1449" t="str">
        <f t="shared" ca="1" si="89"/>
        <v>M073</v>
      </c>
      <c r="C1449">
        <f t="shared" ca="1" si="90"/>
        <v>8</v>
      </c>
      <c r="D1449" s="1">
        <f t="shared" ca="1" si="91"/>
        <v>46064</v>
      </c>
    </row>
    <row r="1450" spans="1:4" x14ac:dyDescent="0.25">
      <c r="A1450" t="str">
        <f t="shared" si="88"/>
        <v>S1449</v>
      </c>
      <c r="B1450" t="str">
        <f t="shared" ca="1" si="89"/>
        <v>M025</v>
      </c>
      <c r="C1450">
        <f t="shared" ca="1" si="90"/>
        <v>9</v>
      </c>
      <c r="D1450" s="1">
        <f t="shared" ca="1" si="91"/>
        <v>46113</v>
      </c>
    </row>
    <row r="1451" spans="1:4" x14ac:dyDescent="0.25">
      <c r="A1451" t="str">
        <f t="shared" si="88"/>
        <v>S1450</v>
      </c>
      <c r="B1451" t="str">
        <f t="shared" ca="1" si="89"/>
        <v>M093</v>
      </c>
      <c r="C1451">
        <f t="shared" ca="1" si="90"/>
        <v>29</v>
      </c>
      <c r="D1451" s="1">
        <f t="shared" ca="1" si="91"/>
        <v>46082</v>
      </c>
    </row>
    <row r="1452" spans="1:4" x14ac:dyDescent="0.25">
      <c r="A1452" t="str">
        <f t="shared" si="88"/>
        <v>S1451</v>
      </c>
      <c r="B1452" t="str">
        <f t="shared" ca="1" si="89"/>
        <v>M084</v>
      </c>
      <c r="C1452">
        <f t="shared" ca="1" si="90"/>
        <v>26</v>
      </c>
      <c r="D1452" s="1">
        <f t="shared" ca="1" si="91"/>
        <v>46064</v>
      </c>
    </row>
    <row r="1453" spans="1:4" x14ac:dyDescent="0.25">
      <c r="A1453" t="str">
        <f t="shared" si="88"/>
        <v>S1452</v>
      </c>
      <c r="B1453" t="str">
        <f t="shared" ca="1" si="89"/>
        <v>M032</v>
      </c>
      <c r="C1453">
        <f t="shared" ca="1" si="90"/>
        <v>9</v>
      </c>
      <c r="D1453" s="1">
        <f t="shared" ca="1" si="91"/>
        <v>46072</v>
      </c>
    </row>
    <row r="1454" spans="1:4" x14ac:dyDescent="0.25">
      <c r="A1454" t="str">
        <f t="shared" si="88"/>
        <v>S1453</v>
      </c>
      <c r="B1454" t="str">
        <f t="shared" ca="1" si="89"/>
        <v>M043</v>
      </c>
      <c r="C1454">
        <f t="shared" ca="1" si="90"/>
        <v>1</v>
      </c>
      <c r="D1454" s="1">
        <f t="shared" ca="1" si="91"/>
        <v>46090</v>
      </c>
    </row>
    <row r="1455" spans="1:4" x14ac:dyDescent="0.25">
      <c r="A1455" t="str">
        <f t="shared" si="88"/>
        <v>S1454</v>
      </c>
      <c r="B1455" t="str">
        <f t="shared" ca="1" si="89"/>
        <v>M091</v>
      </c>
      <c r="C1455">
        <f t="shared" ca="1" si="90"/>
        <v>4</v>
      </c>
      <c r="D1455" s="1">
        <f t="shared" ca="1" si="91"/>
        <v>46072</v>
      </c>
    </row>
    <row r="1456" spans="1:4" x14ac:dyDescent="0.25">
      <c r="A1456" t="str">
        <f t="shared" si="88"/>
        <v>S1455</v>
      </c>
      <c r="B1456" t="str">
        <f t="shared" ca="1" si="89"/>
        <v>M099</v>
      </c>
      <c r="C1456">
        <f t="shared" ca="1" si="90"/>
        <v>17</v>
      </c>
      <c r="D1456" s="1">
        <f t="shared" ca="1" si="91"/>
        <v>46059</v>
      </c>
    </row>
    <row r="1457" spans="1:4" x14ac:dyDescent="0.25">
      <c r="A1457" t="str">
        <f t="shared" si="88"/>
        <v>S1456</v>
      </c>
      <c r="B1457" t="str">
        <f t="shared" ca="1" si="89"/>
        <v>M041</v>
      </c>
      <c r="C1457">
        <f t="shared" ca="1" si="90"/>
        <v>5</v>
      </c>
      <c r="D1457" s="1">
        <f t="shared" ca="1" si="91"/>
        <v>46050</v>
      </c>
    </row>
    <row r="1458" spans="1:4" x14ac:dyDescent="0.25">
      <c r="A1458" t="str">
        <f t="shared" si="88"/>
        <v>S1457</v>
      </c>
      <c r="B1458" t="str">
        <f t="shared" ca="1" si="89"/>
        <v>M045</v>
      </c>
      <c r="C1458">
        <f t="shared" ca="1" si="90"/>
        <v>20</v>
      </c>
      <c r="D1458" s="1">
        <f t="shared" ca="1" si="91"/>
        <v>46080</v>
      </c>
    </row>
    <row r="1459" spans="1:4" x14ac:dyDescent="0.25">
      <c r="A1459" t="str">
        <f t="shared" si="88"/>
        <v>S1458</v>
      </c>
      <c r="B1459" t="str">
        <f t="shared" ca="1" si="89"/>
        <v>M095</v>
      </c>
      <c r="C1459">
        <f t="shared" ca="1" si="90"/>
        <v>17</v>
      </c>
      <c r="D1459" s="1">
        <f t="shared" ca="1" si="91"/>
        <v>46103</v>
      </c>
    </row>
    <row r="1460" spans="1:4" x14ac:dyDescent="0.25">
      <c r="A1460" t="str">
        <f t="shared" si="88"/>
        <v>S1459</v>
      </c>
      <c r="B1460" t="str">
        <f t="shared" ca="1" si="89"/>
        <v>M018</v>
      </c>
      <c r="C1460">
        <f t="shared" ca="1" si="90"/>
        <v>4</v>
      </c>
      <c r="D1460" s="1">
        <f t="shared" ca="1" si="91"/>
        <v>46031</v>
      </c>
    </row>
    <row r="1461" spans="1:4" x14ac:dyDescent="0.25">
      <c r="A1461" t="str">
        <f t="shared" si="88"/>
        <v>S1460</v>
      </c>
      <c r="B1461" t="str">
        <f t="shared" ca="1" si="89"/>
        <v>M038</v>
      </c>
      <c r="C1461">
        <f t="shared" ca="1" si="90"/>
        <v>10</v>
      </c>
      <c r="D1461" s="1">
        <f t="shared" ca="1" si="91"/>
        <v>46048</v>
      </c>
    </row>
    <row r="1462" spans="1:4" x14ac:dyDescent="0.25">
      <c r="A1462" t="str">
        <f t="shared" si="88"/>
        <v>S1461</v>
      </c>
      <c r="B1462" t="str">
        <f t="shared" ca="1" si="89"/>
        <v>M023</v>
      </c>
      <c r="C1462">
        <f t="shared" ca="1" si="90"/>
        <v>20</v>
      </c>
      <c r="D1462" s="1">
        <f t="shared" ca="1" si="91"/>
        <v>46065</v>
      </c>
    </row>
    <row r="1463" spans="1:4" x14ac:dyDescent="0.25">
      <c r="A1463" t="str">
        <f t="shared" si="88"/>
        <v>S1462</v>
      </c>
      <c r="B1463" t="str">
        <f t="shared" ca="1" si="89"/>
        <v>M092</v>
      </c>
      <c r="C1463">
        <f t="shared" ca="1" si="90"/>
        <v>20</v>
      </c>
      <c r="D1463" s="1">
        <f t="shared" ca="1" si="91"/>
        <v>46115</v>
      </c>
    </row>
    <row r="1464" spans="1:4" x14ac:dyDescent="0.25">
      <c r="A1464" t="str">
        <f t="shared" si="88"/>
        <v>S1463</v>
      </c>
      <c r="B1464" t="str">
        <f t="shared" ca="1" si="89"/>
        <v>M012</v>
      </c>
      <c r="C1464">
        <f t="shared" ca="1" si="90"/>
        <v>13</v>
      </c>
      <c r="D1464" s="1">
        <f t="shared" ca="1" si="91"/>
        <v>46043</v>
      </c>
    </row>
    <row r="1465" spans="1:4" x14ac:dyDescent="0.25">
      <c r="A1465" t="str">
        <f t="shared" si="88"/>
        <v>S1464</v>
      </c>
      <c r="B1465" t="str">
        <f t="shared" ca="1" si="89"/>
        <v>M066</v>
      </c>
      <c r="C1465">
        <f t="shared" ca="1" si="90"/>
        <v>24</v>
      </c>
      <c r="D1465" s="1">
        <f t="shared" ca="1" si="91"/>
        <v>46117</v>
      </c>
    </row>
    <row r="1466" spans="1:4" x14ac:dyDescent="0.25">
      <c r="A1466" t="str">
        <f t="shared" si="88"/>
        <v>S1465</v>
      </c>
      <c r="B1466" t="str">
        <f t="shared" ca="1" si="89"/>
        <v>M046</v>
      </c>
      <c r="C1466">
        <f t="shared" ca="1" si="90"/>
        <v>20</v>
      </c>
      <c r="D1466" s="1">
        <f t="shared" ca="1" si="91"/>
        <v>46077</v>
      </c>
    </row>
    <row r="1467" spans="1:4" x14ac:dyDescent="0.25">
      <c r="A1467" t="str">
        <f t="shared" si="88"/>
        <v>S1466</v>
      </c>
      <c r="B1467" t="str">
        <f t="shared" ca="1" si="89"/>
        <v>M090</v>
      </c>
      <c r="C1467">
        <f t="shared" ca="1" si="90"/>
        <v>7</v>
      </c>
      <c r="D1467" s="1">
        <f t="shared" ca="1" si="91"/>
        <v>46093</v>
      </c>
    </row>
    <row r="1468" spans="1:4" x14ac:dyDescent="0.25">
      <c r="A1468" t="str">
        <f t="shared" si="88"/>
        <v>S1467</v>
      </c>
      <c r="B1468" t="str">
        <f t="shared" ca="1" si="89"/>
        <v>M085</v>
      </c>
      <c r="C1468">
        <f t="shared" ca="1" si="90"/>
        <v>11</v>
      </c>
      <c r="D1468" s="1">
        <f t="shared" ca="1" si="91"/>
        <v>46068</v>
      </c>
    </row>
    <row r="1469" spans="1:4" x14ac:dyDescent="0.25">
      <c r="A1469" t="str">
        <f t="shared" si="88"/>
        <v>S1468</v>
      </c>
      <c r="B1469" t="str">
        <f t="shared" ca="1" si="89"/>
        <v>M004</v>
      </c>
      <c r="C1469">
        <f t="shared" ca="1" si="90"/>
        <v>25</v>
      </c>
      <c r="D1469" s="1">
        <f t="shared" ca="1" si="91"/>
        <v>46106</v>
      </c>
    </row>
    <row r="1470" spans="1:4" x14ac:dyDescent="0.25">
      <c r="A1470" t="str">
        <f t="shared" si="88"/>
        <v>S1469</v>
      </c>
      <c r="B1470" t="str">
        <f t="shared" ca="1" si="89"/>
        <v>M098</v>
      </c>
      <c r="C1470">
        <f t="shared" ca="1" si="90"/>
        <v>19</v>
      </c>
      <c r="D1470" s="1">
        <f t="shared" ca="1" si="91"/>
        <v>46065</v>
      </c>
    </row>
    <row r="1471" spans="1:4" x14ac:dyDescent="0.25">
      <c r="A1471" t="str">
        <f t="shared" si="88"/>
        <v>S1470</v>
      </c>
      <c r="B1471" t="str">
        <f t="shared" ca="1" si="89"/>
        <v>M083</v>
      </c>
      <c r="C1471">
        <f t="shared" ca="1" si="90"/>
        <v>20</v>
      </c>
      <c r="D1471" s="1">
        <f t="shared" ca="1" si="91"/>
        <v>46029</v>
      </c>
    </row>
    <row r="1472" spans="1:4" x14ac:dyDescent="0.25">
      <c r="A1472" t="str">
        <f t="shared" si="88"/>
        <v>S1471</v>
      </c>
      <c r="B1472" t="str">
        <f t="shared" ca="1" si="89"/>
        <v>M096</v>
      </c>
      <c r="C1472">
        <f t="shared" ca="1" si="90"/>
        <v>1</v>
      </c>
      <c r="D1472" s="1">
        <f t="shared" ca="1" si="91"/>
        <v>46079</v>
      </c>
    </row>
    <row r="1473" spans="1:4" x14ac:dyDescent="0.25">
      <c r="A1473" t="str">
        <f t="shared" si="88"/>
        <v>S1472</v>
      </c>
      <c r="B1473" t="str">
        <f t="shared" ca="1" si="89"/>
        <v>M021</v>
      </c>
      <c r="C1473">
        <f t="shared" ca="1" si="90"/>
        <v>8</v>
      </c>
      <c r="D1473" s="1">
        <f t="shared" ca="1" si="91"/>
        <v>46072</v>
      </c>
    </row>
    <row r="1474" spans="1:4" x14ac:dyDescent="0.25">
      <c r="A1474" t="str">
        <f t="shared" si="88"/>
        <v>S1473</v>
      </c>
      <c r="B1474" t="str">
        <f t="shared" ca="1" si="89"/>
        <v>M082</v>
      </c>
      <c r="C1474">
        <f t="shared" ca="1" si="90"/>
        <v>15</v>
      </c>
      <c r="D1474" s="1">
        <f t="shared" ca="1" si="91"/>
        <v>46090</v>
      </c>
    </row>
    <row r="1475" spans="1:4" x14ac:dyDescent="0.25">
      <c r="A1475" t="str">
        <f t="shared" ref="A1475:A1501" si="92">"S"&amp;TEXT(ROW(A1474),"000")</f>
        <v>S1474</v>
      </c>
      <c r="B1475" t="str">
        <f t="shared" ref="B1475:B1501" ca="1" si="93">"M"&amp;TEXT(RANDBETWEEN(1,100),"000")</f>
        <v>M074</v>
      </c>
      <c r="C1475">
        <f t="shared" ref="C1475:C1501" ca="1" si="94">RANDBETWEEN(1,30)</f>
        <v>15</v>
      </c>
      <c r="D1475" s="1">
        <f t="shared" ref="D1475:D1501" ca="1" si="95">TODAY()-RANDBETWEEN(1,90)</f>
        <v>46029</v>
      </c>
    </row>
    <row r="1476" spans="1:4" x14ac:dyDescent="0.25">
      <c r="A1476" t="str">
        <f t="shared" si="92"/>
        <v>S1475</v>
      </c>
      <c r="B1476" t="str">
        <f t="shared" ca="1" si="93"/>
        <v>M043</v>
      </c>
      <c r="C1476">
        <f t="shared" ca="1" si="94"/>
        <v>21</v>
      </c>
      <c r="D1476" s="1">
        <f t="shared" ca="1" si="95"/>
        <v>46115</v>
      </c>
    </row>
    <row r="1477" spans="1:4" x14ac:dyDescent="0.25">
      <c r="A1477" t="str">
        <f t="shared" si="92"/>
        <v>S1476</v>
      </c>
      <c r="B1477" t="str">
        <f t="shared" ca="1" si="93"/>
        <v>M068</v>
      </c>
      <c r="C1477">
        <f t="shared" ca="1" si="94"/>
        <v>4</v>
      </c>
      <c r="D1477" s="1">
        <f t="shared" ca="1" si="95"/>
        <v>46067</v>
      </c>
    </row>
    <row r="1478" spans="1:4" x14ac:dyDescent="0.25">
      <c r="A1478" t="str">
        <f t="shared" si="92"/>
        <v>S1477</v>
      </c>
      <c r="B1478" t="str">
        <f t="shared" ca="1" si="93"/>
        <v>M100</v>
      </c>
      <c r="C1478">
        <f t="shared" ca="1" si="94"/>
        <v>13</v>
      </c>
      <c r="D1478" s="1">
        <f t="shared" ca="1" si="95"/>
        <v>46036</v>
      </c>
    </row>
    <row r="1479" spans="1:4" x14ac:dyDescent="0.25">
      <c r="A1479" t="str">
        <f t="shared" si="92"/>
        <v>S1478</v>
      </c>
      <c r="B1479" t="str">
        <f t="shared" ca="1" si="93"/>
        <v>M055</v>
      </c>
      <c r="C1479">
        <f t="shared" ca="1" si="94"/>
        <v>10</v>
      </c>
      <c r="D1479" s="1">
        <f t="shared" ca="1" si="95"/>
        <v>46062</v>
      </c>
    </row>
    <row r="1480" spans="1:4" x14ac:dyDescent="0.25">
      <c r="A1480" t="str">
        <f t="shared" si="92"/>
        <v>S1479</v>
      </c>
      <c r="B1480" t="str">
        <f t="shared" ca="1" si="93"/>
        <v>M019</v>
      </c>
      <c r="C1480">
        <f t="shared" ca="1" si="94"/>
        <v>24</v>
      </c>
      <c r="D1480" s="1">
        <f t="shared" ca="1" si="95"/>
        <v>46082</v>
      </c>
    </row>
    <row r="1481" spans="1:4" x14ac:dyDescent="0.25">
      <c r="A1481" t="str">
        <f t="shared" si="92"/>
        <v>S1480</v>
      </c>
      <c r="B1481" t="str">
        <f t="shared" ca="1" si="93"/>
        <v>M065</v>
      </c>
      <c r="C1481">
        <f t="shared" ca="1" si="94"/>
        <v>3</v>
      </c>
      <c r="D1481" s="1">
        <f t="shared" ca="1" si="95"/>
        <v>46051</v>
      </c>
    </row>
    <row r="1482" spans="1:4" x14ac:dyDescent="0.25">
      <c r="A1482" t="str">
        <f t="shared" si="92"/>
        <v>S1481</v>
      </c>
      <c r="B1482" t="str">
        <f t="shared" ca="1" si="93"/>
        <v>M046</v>
      </c>
      <c r="C1482">
        <f t="shared" ca="1" si="94"/>
        <v>2</v>
      </c>
      <c r="D1482" s="1">
        <f t="shared" ca="1" si="95"/>
        <v>46114</v>
      </c>
    </row>
    <row r="1483" spans="1:4" x14ac:dyDescent="0.25">
      <c r="A1483" t="str">
        <f t="shared" si="92"/>
        <v>S1482</v>
      </c>
      <c r="B1483" t="str">
        <f t="shared" ca="1" si="93"/>
        <v>M019</v>
      </c>
      <c r="C1483">
        <f t="shared" ca="1" si="94"/>
        <v>19</v>
      </c>
      <c r="D1483" s="1">
        <f t="shared" ca="1" si="95"/>
        <v>46093</v>
      </c>
    </row>
    <row r="1484" spans="1:4" x14ac:dyDescent="0.25">
      <c r="A1484" t="str">
        <f t="shared" si="92"/>
        <v>S1483</v>
      </c>
      <c r="B1484" t="str">
        <f t="shared" ca="1" si="93"/>
        <v>M059</v>
      </c>
      <c r="C1484">
        <f t="shared" ca="1" si="94"/>
        <v>6</v>
      </c>
      <c r="D1484" s="1">
        <f t="shared" ca="1" si="95"/>
        <v>46090</v>
      </c>
    </row>
    <row r="1485" spans="1:4" x14ac:dyDescent="0.25">
      <c r="A1485" t="str">
        <f t="shared" si="92"/>
        <v>S1484</v>
      </c>
      <c r="B1485" t="str">
        <f t="shared" ca="1" si="93"/>
        <v>M027</v>
      </c>
      <c r="C1485">
        <f t="shared" ca="1" si="94"/>
        <v>14</v>
      </c>
      <c r="D1485" s="1">
        <f t="shared" ca="1" si="95"/>
        <v>46102</v>
      </c>
    </row>
    <row r="1486" spans="1:4" x14ac:dyDescent="0.25">
      <c r="A1486" t="str">
        <f t="shared" si="92"/>
        <v>S1485</v>
      </c>
      <c r="B1486" t="str">
        <f t="shared" ca="1" si="93"/>
        <v>M099</v>
      </c>
      <c r="C1486">
        <f t="shared" ca="1" si="94"/>
        <v>1</v>
      </c>
      <c r="D1486" s="1">
        <f t="shared" ca="1" si="95"/>
        <v>46091</v>
      </c>
    </row>
    <row r="1487" spans="1:4" x14ac:dyDescent="0.25">
      <c r="A1487" t="str">
        <f t="shared" si="92"/>
        <v>S1486</v>
      </c>
      <c r="B1487" t="str">
        <f t="shared" ca="1" si="93"/>
        <v>M067</v>
      </c>
      <c r="C1487">
        <f t="shared" ca="1" si="94"/>
        <v>18</v>
      </c>
      <c r="D1487" s="1">
        <f t="shared" ca="1" si="95"/>
        <v>46086</v>
      </c>
    </row>
    <row r="1488" spans="1:4" x14ac:dyDescent="0.25">
      <c r="A1488" t="str">
        <f t="shared" si="92"/>
        <v>S1487</v>
      </c>
      <c r="B1488" t="str">
        <f t="shared" ca="1" si="93"/>
        <v>M037</v>
      </c>
      <c r="C1488">
        <f t="shared" ca="1" si="94"/>
        <v>7</v>
      </c>
      <c r="D1488" s="1">
        <f t="shared" ca="1" si="95"/>
        <v>46052</v>
      </c>
    </row>
    <row r="1489" spans="1:4" x14ac:dyDescent="0.25">
      <c r="A1489" t="str">
        <f t="shared" si="92"/>
        <v>S1488</v>
      </c>
      <c r="B1489" t="str">
        <f t="shared" ca="1" si="93"/>
        <v>M038</v>
      </c>
      <c r="C1489">
        <f t="shared" ca="1" si="94"/>
        <v>1</v>
      </c>
      <c r="D1489" s="1">
        <f t="shared" ca="1" si="95"/>
        <v>46059</v>
      </c>
    </row>
    <row r="1490" spans="1:4" x14ac:dyDescent="0.25">
      <c r="A1490" t="str">
        <f t="shared" si="92"/>
        <v>S1489</v>
      </c>
      <c r="B1490" t="str">
        <f t="shared" ca="1" si="93"/>
        <v>M098</v>
      </c>
      <c r="C1490">
        <f t="shared" ca="1" si="94"/>
        <v>12</v>
      </c>
      <c r="D1490" s="1">
        <f t="shared" ca="1" si="95"/>
        <v>46071</v>
      </c>
    </row>
    <row r="1491" spans="1:4" x14ac:dyDescent="0.25">
      <c r="A1491" t="str">
        <f t="shared" si="92"/>
        <v>S1490</v>
      </c>
      <c r="B1491" t="str">
        <f t="shared" ca="1" si="93"/>
        <v>M066</v>
      </c>
      <c r="C1491">
        <f t="shared" ca="1" si="94"/>
        <v>8</v>
      </c>
      <c r="D1491" s="1">
        <f t="shared" ca="1" si="95"/>
        <v>46118</v>
      </c>
    </row>
    <row r="1492" spans="1:4" x14ac:dyDescent="0.25">
      <c r="A1492" t="str">
        <f t="shared" si="92"/>
        <v>S1491</v>
      </c>
      <c r="B1492" t="str">
        <f t="shared" ca="1" si="93"/>
        <v>M044</v>
      </c>
      <c r="C1492">
        <f t="shared" ca="1" si="94"/>
        <v>5</v>
      </c>
      <c r="D1492" s="1">
        <f t="shared" ca="1" si="95"/>
        <v>46059</v>
      </c>
    </row>
    <row r="1493" spans="1:4" x14ac:dyDescent="0.25">
      <c r="A1493" t="str">
        <f t="shared" si="92"/>
        <v>S1492</v>
      </c>
      <c r="B1493" t="str">
        <f t="shared" ca="1" si="93"/>
        <v>M076</v>
      </c>
      <c r="C1493">
        <f t="shared" ca="1" si="94"/>
        <v>7</v>
      </c>
      <c r="D1493" s="1">
        <f t="shared" ca="1" si="95"/>
        <v>46112</v>
      </c>
    </row>
    <row r="1494" spans="1:4" x14ac:dyDescent="0.25">
      <c r="A1494" t="str">
        <f t="shared" si="92"/>
        <v>S1493</v>
      </c>
      <c r="B1494" t="str">
        <f t="shared" ca="1" si="93"/>
        <v>M047</v>
      </c>
      <c r="C1494">
        <f t="shared" ca="1" si="94"/>
        <v>18</v>
      </c>
      <c r="D1494" s="1">
        <f t="shared" ca="1" si="95"/>
        <v>46081</v>
      </c>
    </row>
    <row r="1495" spans="1:4" x14ac:dyDescent="0.25">
      <c r="A1495" t="str">
        <f t="shared" si="92"/>
        <v>S1494</v>
      </c>
      <c r="B1495" t="str">
        <f t="shared" ca="1" si="93"/>
        <v>M007</v>
      </c>
      <c r="C1495">
        <f t="shared" ca="1" si="94"/>
        <v>24</v>
      </c>
      <c r="D1495" s="1">
        <f t="shared" ca="1" si="95"/>
        <v>46040</v>
      </c>
    </row>
    <row r="1496" spans="1:4" x14ac:dyDescent="0.25">
      <c r="A1496" t="str">
        <f t="shared" si="92"/>
        <v>S1495</v>
      </c>
      <c r="B1496" t="str">
        <f t="shared" ca="1" si="93"/>
        <v>M032</v>
      </c>
      <c r="C1496">
        <f t="shared" ca="1" si="94"/>
        <v>29</v>
      </c>
      <c r="D1496" s="1">
        <f t="shared" ca="1" si="95"/>
        <v>46062</v>
      </c>
    </row>
    <row r="1497" spans="1:4" x14ac:dyDescent="0.25">
      <c r="A1497" t="str">
        <f t="shared" si="92"/>
        <v>S1496</v>
      </c>
      <c r="B1497" t="str">
        <f t="shared" ca="1" si="93"/>
        <v>M014</v>
      </c>
      <c r="C1497">
        <f t="shared" ca="1" si="94"/>
        <v>30</v>
      </c>
      <c r="D1497" s="1">
        <f t="shared" ca="1" si="95"/>
        <v>46079</v>
      </c>
    </row>
    <row r="1498" spans="1:4" x14ac:dyDescent="0.25">
      <c r="A1498" t="str">
        <f t="shared" si="92"/>
        <v>S1497</v>
      </c>
      <c r="B1498" t="str">
        <f t="shared" ca="1" si="93"/>
        <v>M073</v>
      </c>
      <c r="C1498">
        <f t="shared" ca="1" si="94"/>
        <v>10</v>
      </c>
      <c r="D1498" s="1">
        <f t="shared" ca="1" si="95"/>
        <v>46075</v>
      </c>
    </row>
    <row r="1499" spans="1:4" x14ac:dyDescent="0.25">
      <c r="A1499" t="str">
        <f t="shared" si="92"/>
        <v>S1498</v>
      </c>
      <c r="B1499" t="str">
        <f t="shared" ca="1" si="93"/>
        <v>M084</v>
      </c>
      <c r="C1499">
        <f t="shared" ca="1" si="94"/>
        <v>10</v>
      </c>
      <c r="D1499" s="1">
        <f t="shared" ca="1" si="95"/>
        <v>46107</v>
      </c>
    </row>
    <row r="1500" spans="1:4" x14ac:dyDescent="0.25">
      <c r="A1500" t="str">
        <f t="shared" si="92"/>
        <v>S1499</v>
      </c>
      <c r="B1500" t="str">
        <f t="shared" ca="1" si="93"/>
        <v>M080</v>
      </c>
      <c r="C1500">
        <f t="shared" ca="1" si="94"/>
        <v>2</v>
      </c>
      <c r="D1500" s="1">
        <f t="shared" ca="1" si="95"/>
        <v>46060</v>
      </c>
    </row>
    <row r="1501" spans="1:4" x14ac:dyDescent="0.25">
      <c r="A1501" t="str">
        <f t="shared" si="92"/>
        <v>S1500</v>
      </c>
      <c r="B1501" t="str">
        <f t="shared" ca="1" si="93"/>
        <v>M075</v>
      </c>
      <c r="C1501">
        <f t="shared" ca="1" si="94"/>
        <v>20</v>
      </c>
      <c r="D1501" s="1">
        <f t="shared" ca="1" si="95"/>
        <v>46068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4085-AEFE-4D40-9DAE-3983FDA198A7}">
  <dimension ref="A1:D1501"/>
  <sheetViews>
    <sheetView workbookViewId="0">
      <selection activeCell="D10" sqref="D10"/>
    </sheetView>
  </sheetViews>
  <sheetFormatPr defaultRowHeight="15" x14ac:dyDescent="0.25"/>
  <cols>
    <col min="4" max="4" width="12.140625" customWidth="1"/>
  </cols>
  <sheetData>
    <row r="1" spans="1:4" x14ac:dyDescent="0.25">
      <c r="A1" t="s">
        <v>9</v>
      </c>
      <c r="B1" t="s">
        <v>0</v>
      </c>
      <c r="C1" t="s">
        <v>10</v>
      </c>
      <c r="D1" s="1" t="s">
        <v>11</v>
      </c>
    </row>
    <row r="2" spans="1:4" x14ac:dyDescent="0.25">
      <c r="A2" t="s">
        <v>1042</v>
      </c>
      <c r="B2" t="s">
        <v>60</v>
      </c>
      <c r="C2">
        <v>29</v>
      </c>
      <c r="D2" s="1">
        <v>46116</v>
      </c>
    </row>
    <row r="3" spans="1:4" x14ac:dyDescent="0.25">
      <c r="A3" t="s">
        <v>1043</v>
      </c>
      <c r="B3" t="s">
        <v>58</v>
      </c>
      <c r="C3">
        <v>23</v>
      </c>
      <c r="D3" s="1">
        <v>46039</v>
      </c>
    </row>
    <row r="4" spans="1:4" x14ac:dyDescent="0.25">
      <c r="A4" t="s">
        <v>1044</v>
      </c>
      <c r="B4" t="s">
        <v>128</v>
      </c>
      <c r="C4">
        <v>2</v>
      </c>
      <c r="D4" s="1">
        <v>46114</v>
      </c>
    </row>
    <row r="5" spans="1:4" x14ac:dyDescent="0.25">
      <c r="A5" t="s">
        <v>1045</v>
      </c>
      <c r="B5" t="s">
        <v>94</v>
      </c>
      <c r="C5">
        <v>28</v>
      </c>
      <c r="D5" s="1">
        <v>46056</v>
      </c>
    </row>
    <row r="6" spans="1:4" x14ac:dyDescent="0.25">
      <c r="A6" t="s">
        <v>1046</v>
      </c>
      <c r="B6" t="s">
        <v>77</v>
      </c>
      <c r="C6">
        <v>6</v>
      </c>
      <c r="D6" s="1">
        <v>46094</v>
      </c>
    </row>
    <row r="7" spans="1:4" x14ac:dyDescent="0.25">
      <c r="A7" t="s">
        <v>1047</v>
      </c>
      <c r="B7" t="s">
        <v>113</v>
      </c>
      <c r="C7">
        <v>28</v>
      </c>
      <c r="D7" s="1">
        <v>46060</v>
      </c>
    </row>
    <row r="8" spans="1:4" x14ac:dyDescent="0.25">
      <c r="A8" t="s">
        <v>1048</v>
      </c>
      <c r="B8" t="s">
        <v>62</v>
      </c>
      <c r="C8">
        <v>22</v>
      </c>
      <c r="D8" s="1">
        <v>46077</v>
      </c>
    </row>
    <row r="9" spans="1:4" x14ac:dyDescent="0.25">
      <c r="A9" t="s">
        <v>1049</v>
      </c>
      <c r="B9" t="s">
        <v>78</v>
      </c>
      <c r="C9">
        <v>10</v>
      </c>
      <c r="D9" s="1">
        <v>46084</v>
      </c>
    </row>
    <row r="10" spans="1:4" x14ac:dyDescent="0.25">
      <c r="A10" t="s">
        <v>1050</v>
      </c>
      <c r="B10" t="s">
        <v>122</v>
      </c>
      <c r="C10">
        <v>23</v>
      </c>
      <c r="D10" s="1">
        <v>46029</v>
      </c>
    </row>
    <row r="11" spans="1:4" x14ac:dyDescent="0.25">
      <c r="A11" t="s">
        <v>1051</v>
      </c>
      <c r="B11" t="s">
        <v>39</v>
      </c>
      <c r="C11">
        <v>26</v>
      </c>
      <c r="D11" s="1">
        <v>46070</v>
      </c>
    </row>
    <row r="12" spans="1:4" x14ac:dyDescent="0.25">
      <c r="A12" t="s">
        <v>1052</v>
      </c>
      <c r="B12" t="s">
        <v>108</v>
      </c>
      <c r="C12">
        <v>2</v>
      </c>
      <c r="D12" s="1">
        <v>46053</v>
      </c>
    </row>
    <row r="13" spans="1:4" x14ac:dyDescent="0.25">
      <c r="A13" t="s">
        <v>1053</v>
      </c>
      <c r="B13" t="s">
        <v>99</v>
      </c>
      <c r="C13">
        <v>22</v>
      </c>
      <c r="D13" s="1">
        <v>46075</v>
      </c>
    </row>
    <row r="14" spans="1:4" x14ac:dyDescent="0.25">
      <c r="A14" t="s">
        <v>1054</v>
      </c>
      <c r="B14" t="s">
        <v>127</v>
      </c>
      <c r="C14">
        <v>1</v>
      </c>
      <c r="D14" s="1">
        <v>46039</v>
      </c>
    </row>
    <row r="15" spans="1:4" x14ac:dyDescent="0.25">
      <c r="A15" t="s">
        <v>1055</v>
      </c>
      <c r="B15" t="s">
        <v>101</v>
      </c>
      <c r="C15">
        <v>5</v>
      </c>
      <c r="D15" s="1">
        <v>46091</v>
      </c>
    </row>
    <row r="16" spans="1:4" x14ac:dyDescent="0.25">
      <c r="A16" t="s">
        <v>1056</v>
      </c>
      <c r="B16" t="s">
        <v>124</v>
      </c>
      <c r="C16">
        <v>23</v>
      </c>
      <c r="D16" s="1">
        <v>46041</v>
      </c>
    </row>
    <row r="17" spans="1:4" x14ac:dyDescent="0.25">
      <c r="A17" t="s">
        <v>1057</v>
      </c>
      <c r="B17" t="s">
        <v>114</v>
      </c>
      <c r="C17">
        <v>20</v>
      </c>
      <c r="D17" s="1">
        <v>46108</v>
      </c>
    </row>
    <row r="18" spans="1:4" x14ac:dyDescent="0.25">
      <c r="A18" t="s">
        <v>1058</v>
      </c>
      <c r="B18" t="s">
        <v>133</v>
      </c>
      <c r="C18">
        <v>5</v>
      </c>
      <c r="D18" s="1">
        <v>46086</v>
      </c>
    </row>
    <row r="19" spans="1:4" x14ac:dyDescent="0.25">
      <c r="A19" t="s">
        <v>1059</v>
      </c>
      <c r="B19" t="s">
        <v>99</v>
      </c>
      <c r="C19">
        <v>17</v>
      </c>
      <c r="D19" s="1">
        <v>46071</v>
      </c>
    </row>
    <row r="20" spans="1:4" x14ac:dyDescent="0.25">
      <c r="A20" t="s">
        <v>1060</v>
      </c>
      <c r="B20" t="s">
        <v>41</v>
      </c>
      <c r="C20">
        <v>26</v>
      </c>
      <c r="D20" s="1">
        <v>46030</v>
      </c>
    </row>
    <row r="21" spans="1:4" x14ac:dyDescent="0.25">
      <c r="A21" t="s">
        <v>1061</v>
      </c>
      <c r="B21" t="s">
        <v>80</v>
      </c>
      <c r="C21">
        <v>24</v>
      </c>
      <c r="D21" s="1">
        <v>46115</v>
      </c>
    </row>
    <row r="22" spans="1:4" x14ac:dyDescent="0.25">
      <c r="A22" t="s">
        <v>1062</v>
      </c>
      <c r="B22" t="s">
        <v>128</v>
      </c>
      <c r="C22">
        <v>8</v>
      </c>
      <c r="D22" s="1">
        <v>46031</v>
      </c>
    </row>
    <row r="23" spans="1:4" x14ac:dyDescent="0.25">
      <c r="A23" t="s">
        <v>1063</v>
      </c>
      <c r="B23" t="s">
        <v>64</v>
      </c>
      <c r="C23">
        <v>14</v>
      </c>
      <c r="D23" s="1">
        <v>46042</v>
      </c>
    </row>
    <row r="24" spans="1:4" x14ac:dyDescent="0.25">
      <c r="A24" t="s">
        <v>1064</v>
      </c>
      <c r="B24" t="s">
        <v>111</v>
      </c>
      <c r="C24">
        <v>23</v>
      </c>
      <c r="D24" s="1">
        <v>46096</v>
      </c>
    </row>
    <row r="25" spans="1:4" x14ac:dyDescent="0.25">
      <c r="A25" t="s">
        <v>1065</v>
      </c>
      <c r="B25" t="s">
        <v>54</v>
      </c>
      <c r="C25">
        <v>7</v>
      </c>
      <c r="D25" s="1">
        <v>46041</v>
      </c>
    </row>
    <row r="26" spans="1:4" x14ac:dyDescent="0.25">
      <c r="A26" t="s">
        <v>1066</v>
      </c>
      <c r="B26" t="s">
        <v>131</v>
      </c>
      <c r="C26">
        <v>29</v>
      </c>
      <c r="D26" s="1">
        <v>46058</v>
      </c>
    </row>
    <row r="27" spans="1:4" x14ac:dyDescent="0.25">
      <c r="A27" t="s">
        <v>1067</v>
      </c>
      <c r="B27" t="s">
        <v>108</v>
      </c>
      <c r="C27">
        <v>7</v>
      </c>
      <c r="D27" s="1">
        <v>46106</v>
      </c>
    </row>
    <row r="28" spans="1:4" x14ac:dyDescent="0.25">
      <c r="A28" t="s">
        <v>1068</v>
      </c>
      <c r="B28" t="s">
        <v>77</v>
      </c>
      <c r="C28">
        <v>11</v>
      </c>
      <c r="D28" s="1">
        <v>46092</v>
      </c>
    </row>
    <row r="29" spans="1:4" x14ac:dyDescent="0.25">
      <c r="A29" t="s">
        <v>1069</v>
      </c>
      <c r="B29" t="s">
        <v>115</v>
      </c>
      <c r="C29">
        <v>27</v>
      </c>
      <c r="D29" s="1">
        <v>46040</v>
      </c>
    </row>
    <row r="30" spans="1:4" x14ac:dyDescent="0.25">
      <c r="A30" t="s">
        <v>1070</v>
      </c>
      <c r="B30" t="s">
        <v>82</v>
      </c>
      <c r="C30">
        <v>13</v>
      </c>
      <c r="D30" s="1">
        <v>46065</v>
      </c>
    </row>
    <row r="31" spans="1:4" x14ac:dyDescent="0.25">
      <c r="A31" t="s">
        <v>1071</v>
      </c>
      <c r="B31" t="s">
        <v>72</v>
      </c>
      <c r="C31">
        <v>5</v>
      </c>
      <c r="D31" s="1">
        <v>46073</v>
      </c>
    </row>
    <row r="32" spans="1:4" x14ac:dyDescent="0.25">
      <c r="A32" t="s">
        <v>1072</v>
      </c>
      <c r="B32" t="s">
        <v>125</v>
      </c>
      <c r="C32">
        <v>10</v>
      </c>
      <c r="D32" s="1">
        <v>46036</v>
      </c>
    </row>
    <row r="33" spans="1:4" x14ac:dyDescent="0.25">
      <c r="A33" t="s">
        <v>1073</v>
      </c>
      <c r="B33" t="s">
        <v>126</v>
      </c>
      <c r="C33">
        <v>11</v>
      </c>
      <c r="D33" s="1">
        <v>46115</v>
      </c>
    </row>
    <row r="34" spans="1:4" x14ac:dyDescent="0.25">
      <c r="A34" t="s">
        <v>1074</v>
      </c>
      <c r="B34" t="s">
        <v>131</v>
      </c>
      <c r="C34">
        <v>16</v>
      </c>
      <c r="D34" s="1">
        <v>46066</v>
      </c>
    </row>
    <row r="35" spans="1:4" x14ac:dyDescent="0.25">
      <c r="A35" t="s">
        <v>1075</v>
      </c>
      <c r="B35" t="s">
        <v>91</v>
      </c>
      <c r="C35">
        <v>4</v>
      </c>
      <c r="D35" s="1">
        <v>46056</v>
      </c>
    </row>
    <row r="36" spans="1:4" x14ac:dyDescent="0.25">
      <c r="A36" t="s">
        <v>1076</v>
      </c>
      <c r="B36" t="s">
        <v>48</v>
      </c>
      <c r="C36">
        <v>13</v>
      </c>
      <c r="D36" s="1">
        <v>46103</v>
      </c>
    </row>
    <row r="37" spans="1:4" x14ac:dyDescent="0.25">
      <c r="A37" t="s">
        <v>1077</v>
      </c>
      <c r="B37" t="s">
        <v>62</v>
      </c>
      <c r="C37">
        <v>9</v>
      </c>
      <c r="D37" s="1">
        <v>46102</v>
      </c>
    </row>
    <row r="38" spans="1:4" x14ac:dyDescent="0.25">
      <c r="A38" t="s">
        <v>1078</v>
      </c>
      <c r="B38" t="s">
        <v>112</v>
      </c>
      <c r="C38">
        <v>7</v>
      </c>
      <c r="D38" s="1">
        <v>46047</v>
      </c>
    </row>
    <row r="39" spans="1:4" x14ac:dyDescent="0.25">
      <c r="A39" t="s">
        <v>1079</v>
      </c>
      <c r="B39" t="s">
        <v>73</v>
      </c>
      <c r="C39">
        <v>11</v>
      </c>
      <c r="D39" s="1">
        <v>46039</v>
      </c>
    </row>
    <row r="40" spans="1:4" x14ac:dyDescent="0.25">
      <c r="A40" t="s">
        <v>1080</v>
      </c>
      <c r="B40" t="s">
        <v>137</v>
      </c>
      <c r="C40">
        <v>30</v>
      </c>
      <c r="D40" s="1">
        <v>46071</v>
      </c>
    </row>
    <row r="41" spans="1:4" x14ac:dyDescent="0.25">
      <c r="A41" t="s">
        <v>1081</v>
      </c>
      <c r="B41" t="s">
        <v>66</v>
      </c>
      <c r="C41">
        <v>2</v>
      </c>
      <c r="D41" s="1">
        <v>46083</v>
      </c>
    </row>
    <row r="42" spans="1:4" x14ac:dyDescent="0.25">
      <c r="A42" t="s">
        <v>1082</v>
      </c>
      <c r="B42" t="s">
        <v>83</v>
      </c>
      <c r="C42">
        <v>5</v>
      </c>
      <c r="D42" s="1">
        <v>46089</v>
      </c>
    </row>
    <row r="43" spans="1:4" x14ac:dyDescent="0.25">
      <c r="A43" t="s">
        <v>1083</v>
      </c>
      <c r="B43" t="s">
        <v>73</v>
      </c>
      <c r="C43">
        <v>14</v>
      </c>
      <c r="D43" s="1">
        <v>46044</v>
      </c>
    </row>
    <row r="44" spans="1:4" x14ac:dyDescent="0.25">
      <c r="A44" t="s">
        <v>1084</v>
      </c>
      <c r="B44" t="s">
        <v>51</v>
      </c>
      <c r="C44">
        <v>24</v>
      </c>
      <c r="D44" s="1">
        <v>46074</v>
      </c>
    </row>
    <row r="45" spans="1:4" x14ac:dyDescent="0.25">
      <c r="A45" t="s">
        <v>1085</v>
      </c>
      <c r="B45" t="s">
        <v>52</v>
      </c>
      <c r="C45">
        <v>3</v>
      </c>
      <c r="D45" s="1">
        <v>46040</v>
      </c>
    </row>
    <row r="46" spans="1:4" x14ac:dyDescent="0.25">
      <c r="A46" t="s">
        <v>1086</v>
      </c>
      <c r="B46" t="s">
        <v>106</v>
      </c>
      <c r="C46">
        <v>2</v>
      </c>
      <c r="D46" s="1">
        <v>46042</v>
      </c>
    </row>
    <row r="47" spans="1:4" x14ac:dyDescent="0.25">
      <c r="A47" t="s">
        <v>1087</v>
      </c>
      <c r="B47" t="s">
        <v>132</v>
      </c>
      <c r="C47">
        <v>2</v>
      </c>
      <c r="D47" s="1">
        <v>46091</v>
      </c>
    </row>
    <row r="48" spans="1:4" x14ac:dyDescent="0.25">
      <c r="A48" t="s">
        <v>1088</v>
      </c>
      <c r="B48" t="s">
        <v>83</v>
      </c>
      <c r="C48">
        <v>21</v>
      </c>
      <c r="D48" s="1">
        <v>46082</v>
      </c>
    </row>
    <row r="49" spans="1:4" x14ac:dyDescent="0.25">
      <c r="A49" t="s">
        <v>1089</v>
      </c>
      <c r="B49" t="s">
        <v>137</v>
      </c>
      <c r="C49">
        <v>22</v>
      </c>
      <c r="D49" s="1">
        <v>46104</v>
      </c>
    </row>
    <row r="50" spans="1:4" x14ac:dyDescent="0.25">
      <c r="A50" t="s">
        <v>1090</v>
      </c>
      <c r="B50" t="s">
        <v>90</v>
      </c>
      <c r="C50">
        <v>11</v>
      </c>
      <c r="D50" s="1">
        <v>46097</v>
      </c>
    </row>
    <row r="51" spans="1:4" x14ac:dyDescent="0.25">
      <c r="A51" t="s">
        <v>1091</v>
      </c>
      <c r="B51" t="s">
        <v>129</v>
      </c>
      <c r="C51">
        <v>20</v>
      </c>
      <c r="D51" s="1">
        <v>46086</v>
      </c>
    </row>
    <row r="52" spans="1:4" x14ac:dyDescent="0.25">
      <c r="A52" t="s">
        <v>1092</v>
      </c>
      <c r="B52" t="s">
        <v>130</v>
      </c>
      <c r="C52">
        <v>18</v>
      </c>
      <c r="D52" s="1">
        <v>46102</v>
      </c>
    </row>
    <row r="53" spans="1:4" x14ac:dyDescent="0.25">
      <c r="A53" t="s">
        <v>1093</v>
      </c>
      <c r="B53" t="s">
        <v>94</v>
      </c>
      <c r="C53">
        <v>13</v>
      </c>
      <c r="D53" s="1">
        <v>46054</v>
      </c>
    </row>
    <row r="54" spans="1:4" x14ac:dyDescent="0.25">
      <c r="A54" t="s">
        <v>1094</v>
      </c>
      <c r="B54" t="s">
        <v>119</v>
      </c>
      <c r="C54">
        <v>10</v>
      </c>
      <c r="D54" s="1">
        <v>46110</v>
      </c>
    </row>
    <row r="55" spans="1:4" x14ac:dyDescent="0.25">
      <c r="A55" t="s">
        <v>1095</v>
      </c>
      <c r="B55" t="s">
        <v>108</v>
      </c>
      <c r="C55">
        <v>4</v>
      </c>
      <c r="D55" s="1">
        <v>46047</v>
      </c>
    </row>
    <row r="56" spans="1:4" x14ac:dyDescent="0.25">
      <c r="A56" t="s">
        <v>1096</v>
      </c>
      <c r="B56" t="s">
        <v>112</v>
      </c>
      <c r="C56">
        <v>3</v>
      </c>
      <c r="D56" s="1">
        <v>46046</v>
      </c>
    </row>
    <row r="57" spans="1:4" x14ac:dyDescent="0.25">
      <c r="A57" t="s">
        <v>1097</v>
      </c>
      <c r="B57" t="s">
        <v>64</v>
      </c>
      <c r="C57">
        <v>21</v>
      </c>
      <c r="D57" s="1">
        <v>46070</v>
      </c>
    </row>
    <row r="58" spans="1:4" x14ac:dyDescent="0.25">
      <c r="A58" t="s">
        <v>1098</v>
      </c>
      <c r="B58" t="s">
        <v>46</v>
      </c>
      <c r="C58">
        <v>14</v>
      </c>
      <c r="D58" s="1">
        <v>46099</v>
      </c>
    </row>
    <row r="59" spans="1:4" x14ac:dyDescent="0.25">
      <c r="A59" t="s">
        <v>1099</v>
      </c>
      <c r="B59" t="s">
        <v>97</v>
      </c>
      <c r="C59">
        <v>13</v>
      </c>
      <c r="D59" s="1">
        <v>46084</v>
      </c>
    </row>
    <row r="60" spans="1:4" x14ac:dyDescent="0.25">
      <c r="A60" t="s">
        <v>1100</v>
      </c>
      <c r="B60" t="s">
        <v>43</v>
      </c>
      <c r="C60">
        <v>17</v>
      </c>
      <c r="D60" s="1">
        <v>46118</v>
      </c>
    </row>
    <row r="61" spans="1:4" x14ac:dyDescent="0.25">
      <c r="A61" t="s">
        <v>1101</v>
      </c>
      <c r="B61" t="s">
        <v>111</v>
      </c>
      <c r="C61">
        <v>26</v>
      </c>
      <c r="D61" s="1">
        <v>46035</v>
      </c>
    </row>
    <row r="62" spans="1:4" x14ac:dyDescent="0.25">
      <c r="A62" t="s">
        <v>1102</v>
      </c>
      <c r="B62" t="s">
        <v>123</v>
      </c>
      <c r="C62">
        <v>18</v>
      </c>
      <c r="D62" s="1">
        <v>46046</v>
      </c>
    </row>
    <row r="63" spans="1:4" x14ac:dyDescent="0.25">
      <c r="A63" t="s">
        <v>1103</v>
      </c>
      <c r="B63" t="s">
        <v>120</v>
      </c>
      <c r="C63">
        <v>10</v>
      </c>
      <c r="D63" s="1">
        <v>46036</v>
      </c>
    </row>
    <row r="64" spans="1:4" x14ac:dyDescent="0.25">
      <c r="A64" t="s">
        <v>1104</v>
      </c>
      <c r="B64" t="s">
        <v>138</v>
      </c>
      <c r="C64">
        <v>18</v>
      </c>
      <c r="D64" s="1">
        <v>46074</v>
      </c>
    </row>
    <row r="65" spans="1:4" x14ac:dyDescent="0.25">
      <c r="A65" t="s">
        <v>1105</v>
      </c>
      <c r="B65" t="s">
        <v>51</v>
      </c>
      <c r="C65">
        <v>22</v>
      </c>
      <c r="D65" s="1">
        <v>46038</v>
      </c>
    </row>
    <row r="66" spans="1:4" x14ac:dyDescent="0.25">
      <c r="A66" t="s">
        <v>1106</v>
      </c>
      <c r="B66" t="s">
        <v>115</v>
      </c>
      <c r="C66">
        <v>1</v>
      </c>
      <c r="D66" s="1">
        <v>46046</v>
      </c>
    </row>
    <row r="67" spans="1:4" x14ac:dyDescent="0.25">
      <c r="A67" t="s">
        <v>1107</v>
      </c>
      <c r="B67" t="s">
        <v>132</v>
      </c>
      <c r="C67">
        <v>6</v>
      </c>
      <c r="D67" s="1">
        <v>46070</v>
      </c>
    </row>
    <row r="68" spans="1:4" x14ac:dyDescent="0.25">
      <c r="A68" t="s">
        <v>1108</v>
      </c>
      <c r="B68" t="s">
        <v>102</v>
      </c>
      <c r="C68">
        <v>4</v>
      </c>
      <c r="D68" s="1">
        <v>46104</v>
      </c>
    </row>
    <row r="69" spans="1:4" x14ac:dyDescent="0.25">
      <c r="A69" t="s">
        <v>1109</v>
      </c>
      <c r="B69" t="s">
        <v>50</v>
      </c>
      <c r="C69">
        <v>23</v>
      </c>
      <c r="D69" s="1">
        <v>46093</v>
      </c>
    </row>
    <row r="70" spans="1:4" x14ac:dyDescent="0.25">
      <c r="A70" t="s">
        <v>1110</v>
      </c>
      <c r="B70" t="s">
        <v>76</v>
      </c>
      <c r="C70">
        <v>19</v>
      </c>
      <c r="D70" s="1">
        <v>46102</v>
      </c>
    </row>
    <row r="71" spans="1:4" x14ac:dyDescent="0.25">
      <c r="A71" t="s">
        <v>1111</v>
      </c>
      <c r="B71" t="s">
        <v>48</v>
      </c>
      <c r="C71">
        <v>20</v>
      </c>
      <c r="D71" s="1">
        <v>46065</v>
      </c>
    </row>
    <row r="72" spans="1:4" x14ac:dyDescent="0.25">
      <c r="A72" t="s">
        <v>1112</v>
      </c>
      <c r="B72" t="s">
        <v>121</v>
      </c>
      <c r="C72">
        <v>2</v>
      </c>
      <c r="D72" s="1">
        <v>46110</v>
      </c>
    </row>
    <row r="73" spans="1:4" x14ac:dyDescent="0.25">
      <c r="A73" t="s">
        <v>1113</v>
      </c>
      <c r="B73" t="s">
        <v>92</v>
      </c>
      <c r="C73">
        <v>14</v>
      </c>
      <c r="D73" s="1">
        <v>46073</v>
      </c>
    </row>
    <row r="74" spans="1:4" x14ac:dyDescent="0.25">
      <c r="A74" t="s">
        <v>1114</v>
      </c>
      <c r="B74" t="s">
        <v>42</v>
      </c>
      <c r="C74">
        <v>22</v>
      </c>
      <c r="D74" s="1">
        <v>46115</v>
      </c>
    </row>
    <row r="75" spans="1:4" x14ac:dyDescent="0.25">
      <c r="A75" t="s">
        <v>1115</v>
      </c>
      <c r="B75" t="s">
        <v>68</v>
      </c>
      <c r="C75">
        <v>1</v>
      </c>
      <c r="D75" s="1">
        <v>46109</v>
      </c>
    </row>
    <row r="76" spans="1:4" x14ac:dyDescent="0.25">
      <c r="A76" t="s">
        <v>1116</v>
      </c>
      <c r="B76" t="s">
        <v>59</v>
      </c>
      <c r="C76">
        <v>14</v>
      </c>
      <c r="D76" s="1">
        <v>46059</v>
      </c>
    </row>
    <row r="77" spans="1:4" x14ac:dyDescent="0.25">
      <c r="A77" t="s">
        <v>1117</v>
      </c>
      <c r="B77" t="s">
        <v>64</v>
      </c>
      <c r="C77">
        <v>27</v>
      </c>
      <c r="D77" s="1">
        <v>46038</v>
      </c>
    </row>
    <row r="78" spans="1:4" x14ac:dyDescent="0.25">
      <c r="A78" t="s">
        <v>1118</v>
      </c>
      <c r="B78" t="s">
        <v>100</v>
      </c>
      <c r="C78">
        <v>24</v>
      </c>
      <c r="D78" s="1">
        <v>46090</v>
      </c>
    </row>
    <row r="79" spans="1:4" x14ac:dyDescent="0.25">
      <c r="A79" t="s">
        <v>1119</v>
      </c>
      <c r="B79" t="s">
        <v>104</v>
      </c>
      <c r="C79">
        <v>28</v>
      </c>
      <c r="D79" s="1">
        <v>46098</v>
      </c>
    </row>
    <row r="80" spans="1:4" x14ac:dyDescent="0.25">
      <c r="A80" t="s">
        <v>1120</v>
      </c>
      <c r="B80" t="s">
        <v>33</v>
      </c>
      <c r="C80">
        <v>11</v>
      </c>
      <c r="D80" s="1">
        <v>46035</v>
      </c>
    </row>
    <row r="81" spans="1:4" x14ac:dyDescent="0.25">
      <c r="A81" t="s">
        <v>1121</v>
      </c>
      <c r="B81" t="s">
        <v>47</v>
      </c>
      <c r="C81">
        <v>4</v>
      </c>
      <c r="D81" s="1">
        <v>46049</v>
      </c>
    </row>
    <row r="82" spans="1:4" x14ac:dyDescent="0.25">
      <c r="A82" t="s">
        <v>1122</v>
      </c>
      <c r="B82" t="s">
        <v>87</v>
      </c>
      <c r="C82">
        <v>10</v>
      </c>
      <c r="D82" s="1">
        <v>46089</v>
      </c>
    </row>
    <row r="83" spans="1:4" x14ac:dyDescent="0.25">
      <c r="A83" t="s">
        <v>1123</v>
      </c>
      <c r="B83" t="s">
        <v>56</v>
      </c>
      <c r="C83">
        <v>5</v>
      </c>
      <c r="D83" s="1">
        <v>46066</v>
      </c>
    </row>
    <row r="84" spans="1:4" x14ac:dyDescent="0.25">
      <c r="A84" t="s">
        <v>1124</v>
      </c>
      <c r="B84" t="s">
        <v>115</v>
      </c>
      <c r="C84">
        <v>11</v>
      </c>
      <c r="D84" s="1">
        <v>46084</v>
      </c>
    </row>
    <row r="85" spans="1:4" x14ac:dyDescent="0.25">
      <c r="A85" t="s">
        <v>1125</v>
      </c>
      <c r="B85" t="s">
        <v>37</v>
      </c>
      <c r="C85">
        <v>16</v>
      </c>
      <c r="D85" s="1">
        <v>46092</v>
      </c>
    </row>
    <row r="86" spans="1:4" x14ac:dyDescent="0.25">
      <c r="A86" t="s">
        <v>1126</v>
      </c>
      <c r="B86" t="s">
        <v>88</v>
      </c>
      <c r="C86">
        <v>11</v>
      </c>
      <c r="D86" s="1">
        <v>46034</v>
      </c>
    </row>
    <row r="87" spans="1:4" x14ac:dyDescent="0.25">
      <c r="A87" t="s">
        <v>1127</v>
      </c>
      <c r="B87" t="s">
        <v>107</v>
      </c>
      <c r="C87">
        <v>11</v>
      </c>
      <c r="D87" s="1">
        <v>46072</v>
      </c>
    </row>
    <row r="88" spans="1:4" x14ac:dyDescent="0.25">
      <c r="A88" t="s">
        <v>1128</v>
      </c>
      <c r="B88" t="s">
        <v>74</v>
      </c>
      <c r="C88">
        <v>15</v>
      </c>
      <c r="D88" s="1">
        <v>46048</v>
      </c>
    </row>
    <row r="89" spans="1:4" x14ac:dyDescent="0.25">
      <c r="A89" t="s">
        <v>1129</v>
      </c>
      <c r="B89" t="s">
        <v>90</v>
      </c>
      <c r="C89">
        <v>28</v>
      </c>
      <c r="D89" s="1">
        <v>46087</v>
      </c>
    </row>
    <row r="90" spans="1:4" x14ac:dyDescent="0.25">
      <c r="A90" t="s">
        <v>1130</v>
      </c>
      <c r="B90" t="s">
        <v>67</v>
      </c>
      <c r="C90">
        <v>16</v>
      </c>
      <c r="D90" s="1">
        <v>46111</v>
      </c>
    </row>
    <row r="91" spans="1:4" x14ac:dyDescent="0.25">
      <c r="A91" t="s">
        <v>1131</v>
      </c>
      <c r="B91" t="s">
        <v>93</v>
      </c>
      <c r="C91">
        <v>2</v>
      </c>
      <c r="D91" s="1">
        <v>46075</v>
      </c>
    </row>
    <row r="92" spans="1:4" x14ac:dyDescent="0.25">
      <c r="A92" t="s">
        <v>1132</v>
      </c>
      <c r="B92" t="s">
        <v>63</v>
      </c>
      <c r="C92">
        <v>30</v>
      </c>
      <c r="D92" s="1">
        <v>46099</v>
      </c>
    </row>
    <row r="93" spans="1:4" x14ac:dyDescent="0.25">
      <c r="A93" t="s">
        <v>1133</v>
      </c>
      <c r="B93" t="s">
        <v>63</v>
      </c>
      <c r="C93">
        <v>12</v>
      </c>
      <c r="D93" s="1">
        <v>46105</v>
      </c>
    </row>
    <row r="94" spans="1:4" x14ac:dyDescent="0.25">
      <c r="A94" t="s">
        <v>1134</v>
      </c>
      <c r="B94" t="s">
        <v>106</v>
      </c>
      <c r="C94">
        <v>19</v>
      </c>
      <c r="D94" s="1">
        <v>46054</v>
      </c>
    </row>
    <row r="95" spans="1:4" x14ac:dyDescent="0.25">
      <c r="A95" t="s">
        <v>1135</v>
      </c>
      <c r="B95" t="s">
        <v>126</v>
      </c>
      <c r="C95">
        <v>27</v>
      </c>
      <c r="D95" s="1">
        <v>46053</v>
      </c>
    </row>
    <row r="96" spans="1:4" x14ac:dyDescent="0.25">
      <c r="A96" t="s">
        <v>1136</v>
      </c>
      <c r="B96" t="s">
        <v>57</v>
      </c>
      <c r="C96">
        <v>11</v>
      </c>
      <c r="D96" s="1">
        <v>46043</v>
      </c>
    </row>
    <row r="97" spans="1:4" x14ac:dyDescent="0.25">
      <c r="A97" t="s">
        <v>1137</v>
      </c>
      <c r="B97" t="s">
        <v>79</v>
      </c>
      <c r="C97">
        <v>2</v>
      </c>
      <c r="D97" s="1">
        <v>46089</v>
      </c>
    </row>
    <row r="98" spans="1:4" x14ac:dyDescent="0.25">
      <c r="A98" t="s">
        <v>1138</v>
      </c>
      <c r="B98" t="s">
        <v>59</v>
      </c>
      <c r="C98">
        <v>22</v>
      </c>
      <c r="D98" s="1">
        <v>46071</v>
      </c>
    </row>
    <row r="99" spans="1:4" x14ac:dyDescent="0.25">
      <c r="A99" t="s">
        <v>1139</v>
      </c>
      <c r="B99" t="s">
        <v>112</v>
      </c>
      <c r="C99">
        <v>3</v>
      </c>
      <c r="D99" s="1">
        <v>46074</v>
      </c>
    </row>
    <row r="100" spans="1:4" x14ac:dyDescent="0.25">
      <c r="A100" t="s">
        <v>1140</v>
      </c>
      <c r="B100" t="s">
        <v>96</v>
      </c>
      <c r="C100">
        <v>10</v>
      </c>
      <c r="D100" s="1">
        <v>46078</v>
      </c>
    </row>
    <row r="101" spans="1:4" x14ac:dyDescent="0.25">
      <c r="A101" t="s">
        <v>1141</v>
      </c>
      <c r="B101" t="s">
        <v>63</v>
      </c>
      <c r="C101">
        <v>9</v>
      </c>
      <c r="D101" s="1">
        <v>46090</v>
      </c>
    </row>
    <row r="102" spans="1:4" x14ac:dyDescent="0.25">
      <c r="A102" t="s">
        <v>1142</v>
      </c>
      <c r="B102" t="s">
        <v>110</v>
      </c>
      <c r="C102">
        <v>17</v>
      </c>
      <c r="D102" s="1">
        <v>46079</v>
      </c>
    </row>
    <row r="103" spans="1:4" x14ac:dyDescent="0.25">
      <c r="A103" t="s">
        <v>1143</v>
      </c>
      <c r="B103" t="s">
        <v>67</v>
      </c>
      <c r="C103">
        <v>22</v>
      </c>
      <c r="D103" s="1">
        <v>46088</v>
      </c>
    </row>
    <row r="104" spans="1:4" x14ac:dyDescent="0.25">
      <c r="A104" t="s">
        <v>1144</v>
      </c>
      <c r="B104" t="s">
        <v>107</v>
      </c>
      <c r="C104">
        <v>25</v>
      </c>
      <c r="D104" s="1">
        <v>46078</v>
      </c>
    </row>
    <row r="105" spans="1:4" x14ac:dyDescent="0.25">
      <c r="A105" t="s">
        <v>1145</v>
      </c>
      <c r="B105" t="s">
        <v>79</v>
      </c>
      <c r="C105">
        <v>30</v>
      </c>
      <c r="D105" s="1">
        <v>46069</v>
      </c>
    </row>
    <row r="106" spans="1:4" x14ac:dyDescent="0.25">
      <c r="A106" t="s">
        <v>1146</v>
      </c>
      <c r="B106" t="s">
        <v>138</v>
      </c>
      <c r="C106">
        <v>13</v>
      </c>
      <c r="D106" s="1">
        <v>46114</v>
      </c>
    </row>
    <row r="107" spans="1:4" x14ac:dyDescent="0.25">
      <c r="A107" t="s">
        <v>1147</v>
      </c>
      <c r="B107" t="s">
        <v>50</v>
      </c>
      <c r="C107">
        <v>17</v>
      </c>
      <c r="D107" s="1">
        <v>46039</v>
      </c>
    </row>
    <row r="108" spans="1:4" x14ac:dyDescent="0.25">
      <c r="A108" t="s">
        <v>1148</v>
      </c>
      <c r="B108" t="s">
        <v>125</v>
      </c>
      <c r="C108">
        <v>21</v>
      </c>
      <c r="D108" s="1">
        <v>46094</v>
      </c>
    </row>
    <row r="109" spans="1:4" x14ac:dyDescent="0.25">
      <c r="A109" t="s">
        <v>1149</v>
      </c>
      <c r="B109" t="s">
        <v>70</v>
      </c>
      <c r="C109">
        <v>27</v>
      </c>
      <c r="D109" s="1">
        <v>46063</v>
      </c>
    </row>
    <row r="110" spans="1:4" x14ac:dyDescent="0.25">
      <c r="A110" t="s">
        <v>1150</v>
      </c>
      <c r="B110" t="s">
        <v>55</v>
      </c>
      <c r="C110">
        <v>12</v>
      </c>
      <c r="D110" s="1">
        <v>46045</v>
      </c>
    </row>
    <row r="111" spans="1:4" x14ac:dyDescent="0.25">
      <c r="A111" t="s">
        <v>1151</v>
      </c>
      <c r="B111" t="s">
        <v>52</v>
      </c>
      <c r="C111">
        <v>11</v>
      </c>
      <c r="D111" s="1">
        <v>46040</v>
      </c>
    </row>
    <row r="112" spans="1:4" x14ac:dyDescent="0.25">
      <c r="A112" t="s">
        <v>1152</v>
      </c>
      <c r="B112" t="s">
        <v>50</v>
      </c>
      <c r="C112">
        <v>6</v>
      </c>
      <c r="D112" s="1">
        <v>46078</v>
      </c>
    </row>
    <row r="113" spans="1:4" x14ac:dyDescent="0.25">
      <c r="A113" t="s">
        <v>1153</v>
      </c>
      <c r="B113" t="s">
        <v>80</v>
      </c>
      <c r="C113">
        <v>13</v>
      </c>
      <c r="D113" s="1">
        <v>46039</v>
      </c>
    </row>
    <row r="114" spans="1:4" x14ac:dyDescent="0.25">
      <c r="A114" t="s">
        <v>1154</v>
      </c>
      <c r="B114" t="s">
        <v>131</v>
      </c>
      <c r="C114">
        <v>27</v>
      </c>
      <c r="D114" s="1">
        <v>46059</v>
      </c>
    </row>
    <row r="115" spans="1:4" x14ac:dyDescent="0.25">
      <c r="A115" t="s">
        <v>1155</v>
      </c>
      <c r="B115" t="s">
        <v>83</v>
      </c>
      <c r="C115">
        <v>7</v>
      </c>
      <c r="D115" s="1">
        <v>46089</v>
      </c>
    </row>
    <row r="116" spans="1:4" x14ac:dyDescent="0.25">
      <c r="A116" t="s">
        <v>1156</v>
      </c>
      <c r="B116" t="s">
        <v>111</v>
      </c>
      <c r="C116">
        <v>1</v>
      </c>
      <c r="D116" s="1">
        <v>46055</v>
      </c>
    </row>
    <row r="117" spans="1:4" x14ac:dyDescent="0.25">
      <c r="A117" t="s">
        <v>1157</v>
      </c>
      <c r="B117" t="s">
        <v>82</v>
      </c>
      <c r="C117">
        <v>12</v>
      </c>
      <c r="D117" s="1">
        <v>46067</v>
      </c>
    </row>
    <row r="118" spans="1:4" x14ac:dyDescent="0.25">
      <c r="A118" t="s">
        <v>1158</v>
      </c>
      <c r="B118" t="s">
        <v>117</v>
      </c>
      <c r="C118">
        <v>23</v>
      </c>
      <c r="D118" s="1">
        <v>46050</v>
      </c>
    </row>
    <row r="119" spans="1:4" x14ac:dyDescent="0.25">
      <c r="A119" t="s">
        <v>1159</v>
      </c>
      <c r="B119" t="s">
        <v>72</v>
      </c>
      <c r="C119">
        <v>2</v>
      </c>
      <c r="D119" s="1">
        <v>46104</v>
      </c>
    </row>
    <row r="120" spans="1:4" x14ac:dyDescent="0.25">
      <c r="A120" t="s">
        <v>1160</v>
      </c>
      <c r="B120" t="s">
        <v>113</v>
      </c>
      <c r="C120">
        <v>30</v>
      </c>
      <c r="D120" s="1">
        <v>46101</v>
      </c>
    </row>
    <row r="121" spans="1:4" x14ac:dyDescent="0.25">
      <c r="A121" t="s">
        <v>1161</v>
      </c>
      <c r="B121" t="s">
        <v>112</v>
      </c>
      <c r="C121">
        <v>8</v>
      </c>
      <c r="D121" s="1">
        <v>46052</v>
      </c>
    </row>
    <row r="122" spans="1:4" x14ac:dyDescent="0.25">
      <c r="A122" t="s">
        <v>1162</v>
      </c>
      <c r="B122" t="s">
        <v>93</v>
      </c>
      <c r="C122">
        <v>16</v>
      </c>
      <c r="D122" s="1">
        <v>46092</v>
      </c>
    </row>
    <row r="123" spans="1:4" x14ac:dyDescent="0.25">
      <c r="A123" t="s">
        <v>1163</v>
      </c>
      <c r="B123" t="s">
        <v>74</v>
      </c>
      <c r="C123">
        <v>21</v>
      </c>
      <c r="D123" s="1">
        <v>46106</v>
      </c>
    </row>
    <row r="124" spans="1:4" x14ac:dyDescent="0.25">
      <c r="A124" t="s">
        <v>1164</v>
      </c>
      <c r="B124" t="s">
        <v>68</v>
      </c>
      <c r="C124">
        <v>30</v>
      </c>
      <c r="D124" s="1">
        <v>46092</v>
      </c>
    </row>
    <row r="125" spans="1:4" x14ac:dyDescent="0.25">
      <c r="A125" t="s">
        <v>1165</v>
      </c>
      <c r="B125" t="s">
        <v>114</v>
      </c>
      <c r="C125">
        <v>10</v>
      </c>
      <c r="D125" s="1">
        <v>46046</v>
      </c>
    </row>
    <row r="126" spans="1:4" x14ac:dyDescent="0.25">
      <c r="A126" t="s">
        <v>1166</v>
      </c>
      <c r="B126" t="s">
        <v>76</v>
      </c>
      <c r="C126">
        <v>14</v>
      </c>
      <c r="D126" s="1">
        <v>46118</v>
      </c>
    </row>
    <row r="127" spans="1:4" x14ac:dyDescent="0.25">
      <c r="A127" t="s">
        <v>1167</v>
      </c>
      <c r="B127" t="s">
        <v>57</v>
      </c>
      <c r="C127">
        <v>22</v>
      </c>
      <c r="D127" s="1">
        <v>46103</v>
      </c>
    </row>
    <row r="128" spans="1:4" x14ac:dyDescent="0.25">
      <c r="A128" t="s">
        <v>1168</v>
      </c>
      <c r="B128" t="s">
        <v>139</v>
      </c>
      <c r="C128">
        <v>5</v>
      </c>
      <c r="D128" s="1">
        <v>46031</v>
      </c>
    </row>
    <row r="129" spans="1:4" x14ac:dyDescent="0.25">
      <c r="A129" t="s">
        <v>1169</v>
      </c>
      <c r="B129" t="s">
        <v>89</v>
      </c>
      <c r="C129">
        <v>18</v>
      </c>
      <c r="D129" s="1">
        <v>46075</v>
      </c>
    </row>
    <row r="130" spans="1:4" x14ac:dyDescent="0.25">
      <c r="A130" t="s">
        <v>1170</v>
      </c>
      <c r="B130" t="s">
        <v>33</v>
      </c>
      <c r="C130">
        <v>24</v>
      </c>
      <c r="D130" s="1">
        <v>46114</v>
      </c>
    </row>
    <row r="131" spans="1:4" x14ac:dyDescent="0.25">
      <c r="A131" t="s">
        <v>1171</v>
      </c>
      <c r="B131" t="s">
        <v>53</v>
      </c>
      <c r="C131">
        <v>13</v>
      </c>
      <c r="D131" s="1">
        <v>46042</v>
      </c>
    </row>
    <row r="132" spans="1:4" x14ac:dyDescent="0.25">
      <c r="A132" t="s">
        <v>1172</v>
      </c>
      <c r="B132" t="s">
        <v>117</v>
      </c>
      <c r="C132">
        <v>25</v>
      </c>
      <c r="D132" s="1">
        <v>46072</v>
      </c>
    </row>
    <row r="133" spans="1:4" x14ac:dyDescent="0.25">
      <c r="A133" t="s">
        <v>1173</v>
      </c>
      <c r="B133" t="s">
        <v>128</v>
      </c>
      <c r="C133">
        <v>19</v>
      </c>
      <c r="D133" s="1">
        <v>46035</v>
      </c>
    </row>
    <row r="134" spans="1:4" x14ac:dyDescent="0.25">
      <c r="A134" t="s">
        <v>1174</v>
      </c>
      <c r="B134" t="s">
        <v>111</v>
      </c>
      <c r="C134">
        <v>6</v>
      </c>
      <c r="D134" s="1">
        <v>46060</v>
      </c>
    </row>
    <row r="135" spans="1:4" x14ac:dyDescent="0.25">
      <c r="A135" t="s">
        <v>1175</v>
      </c>
      <c r="B135" t="s">
        <v>93</v>
      </c>
      <c r="C135">
        <v>30</v>
      </c>
      <c r="D135" s="1">
        <v>46097</v>
      </c>
    </row>
    <row r="136" spans="1:4" x14ac:dyDescent="0.25">
      <c r="A136" t="s">
        <v>1176</v>
      </c>
      <c r="B136" t="s">
        <v>61</v>
      </c>
      <c r="C136">
        <v>16</v>
      </c>
      <c r="D136" s="1">
        <v>46083</v>
      </c>
    </row>
    <row r="137" spans="1:4" x14ac:dyDescent="0.25">
      <c r="A137" t="s">
        <v>1177</v>
      </c>
      <c r="B137" t="s">
        <v>79</v>
      </c>
      <c r="C137">
        <v>4</v>
      </c>
      <c r="D137" s="1">
        <v>46099</v>
      </c>
    </row>
    <row r="138" spans="1:4" x14ac:dyDescent="0.25">
      <c r="A138" t="s">
        <v>1178</v>
      </c>
      <c r="B138" t="s">
        <v>33</v>
      </c>
      <c r="C138">
        <v>19</v>
      </c>
      <c r="D138" s="1">
        <v>46099</v>
      </c>
    </row>
    <row r="139" spans="1:4" x14ac:dyDescent="0.25">
      <c r="A139" t="s">
        <v>1179</v>
      </c>
      <c r="B139" t="s">
        <v>91</v>
      </c>
      <c r="C139">
        <v>2</v>
      </c>
      <c r="D139" s="1">
        <v>46108</v>
      </c>
    </row>
    <row r="140" spans="1:4" x14ac:dyDescent="0.25">
      <c r="A140" t="s">
        <v>1180</v>
      </c>
      <c r="B140" t="s">
        <v>99</v>
      </c>
      <c r="C140">
        <v>1</v>
      </c>
      <c r="D140" s="1">
        <v>46070</v>
      </c>
    </row>
    <row r="141" spans="1:4" x14ac:dyDescent="0.25">
      <c r="A141" t="s">
        <v>1181</v>
      </c>
      <c r="B141" t="s">
        <v>88</v>
      </c>
      <c r="C141">
        <v>19</v>
      </c>
      <c r="D141" s="1">
        <v>46044</v>
      </c>
    </row>
    <row r="142" spans="1:4" x14ac:dyDescent="0.25">
      <c r="A142" t="s">
        <v>1182</v>
      </c>
      <c r="B142" t="s">
        <v>93</v>
      </c>
      <c r="C142">
        <v>27</v>
      </c>
      <c r="D142" s="1">
        <v>46111</v>
      </c>
    </row>
    <row r="143" spans="1:4" x14ac:dyDescent="0.25">
      <c r="A143" t="s">
        <v>1183</v>
      </c>
      <c r="B143" t="s">
        <v>80</v>
      </c>
      <c r="C143">
        <v>8</v>
      </c>
      <c r="D143" s="1">
        <v>46112</v>
      </c>
    </row>
    <row r="144" spans="1:4" x14ac:dyDescent="0.25">
      <c r="A144" t="s">
        <v>1184</v>
      </c>
      <c r="B144" t="s">
        <v>33</v>
      </c>
      <c r="C144">
        <v>28</v>
      </c>
      <c r="D144" s="1">
        <v>46069</v>
      </c>
    </row>
    <row r="145" spans="1:4" x14ac:dyDescent="0.25">
      <c r="A145" t="s">
        <v>1185</v>
      </c>
      <c r="B145" t="s">
        <v>124</v>
      </c>
      <c r="C145">
        <v>5</v>
      </c>
      <c r="D145" s="1">
        <v>46058</v>
      </c>
    </row>
    <row r="146" spans="1:4" x14ac:dyDescent="0.25">
      <c r="A146" t="s">
        <v>1186</v>
      </c>
      <c r="B146" t="s">
        <v>69</v>
      </c>
      <c r="C146">
        <v>16</v>
      </c>
      <c r="D146" s="1">
        <v>46077</v>
      </c>
    </row>
    <row r="147" spans="1:4" x14ac:dyDescent="0.25">
      <c r="A147" t="s">
        <v>1187</v>
      </c>
      <c r="B147" t="s">
        <v>82</v>
      </c>
      <c r="C147">
        <v>14</v>
      </c>
      <c r="D147" s="1">
        <v>46080</v>
      </c>
    </row>
    <row r="148" spans="1:4" x14ac:dyDescent="0.25">
      <c r="A148" t="s">
        <v>1188</v>
      </c>
      <c r="B148" t="s">
        <v>33</v>
      </c>
      <c r="C148">
        <v>30</v>
      </c>
      <c r="D148" s="1">
        <v>46046</v>
      </c>
    </row>
    <row r="149" spans="1:4" x14ac:dyDescent="0.25">
      <c r="A149" t="s">
        <v>1189</v>
      </c>
      <c r="B149" t="s">
        <v>93</v>
      </c>
      <c r="C149">
        <v>17</v>
      </c>
      <c r="D149" s="1">
        <v>46114</v>
      </c>
    </row>
    <row r="150" spans="1:4" x14ac:dyDescent="0.25">
      <c r="A150" t="s">
        <v>1190</v>
      </c>
      <c r="B150" t="s">
        <v>122</v>
      </c>
      <c r="C150">
        <v>19</v>
      </c>
      <c r="D150" s="1">
        <v>46089</v>
      </c>
    </row>
    <row r="151" spans="1:4" x14ac:dyDescent="0.25">
      <c r="A151" t="s">
        <v>1191</v>
      </c>
      <c r="B151" t="s">
        <v>78</v>
      </c>
      <c r="C151">
        <v>13</v>
      </c>
      <c r="D151" s="1">
        <v>46086</v>
      </c>
    </row>
    <row r="152" spans="1:4" x14ac:dyDescent="0.25">
      <c r="A152" t="s">
        <v>1192</v>
      </c>
      <c r="B152" t="s">
        <v>122</v>
      </c>
      <c r="C152">
        <v>16</v>
      </c>
      <c r="D152" s="1">
        <v>46086</v>
      </c>
    </row>
    <row r="153" spans="1:4" x14ac:dyDescent="0.25">
      <c r="A153" t="s">
        <v>1193</v>
      </c>
      <c r="B153" t="s">
        <v>122</v>
      </c>
      <c r="C153">
        <v>5</v>
      </c>
      <c r="D153" s="1">
        <v>46043</v>
      </c>
    </row>
    <row r="154" spans="1:4" x14ac:dyDescent="0.25">
      <c r="A154" t="s">
        <v>1194</v>
      </c>
      <c r="B154" t="s">
        <v>33</v>
      </c>
      <c r="C154">
        <v>11</v>
      </c>
      <c r="D154" s="1">
        <v>46095</v>
      </c>
    </row>
    <row r="155" spans="1:4" x14ac:dyDescent="0.25">
      <c r="A155" t="s">
        <v>1195</v>
      </c>
      <c r="B155" t="s">
        <v>56</v>
      </c>
      <c r="C155">
        <v>20</v>
      </c>
      <c r="D155" s="1">
        <v>46087</v>
      </c>
    </row>
    <row r="156" spans="1:4" x14ac:dyDescent="0.25">
      <c r="A156" t="s">
        <v>1196</v>
      </c>
      <c r="B156" t="s">
        <v>88</v>
      </c>
      <c r="C156">
        <v>13</v>
      </c>
      <c r="D156" s="1">
        <v>46087</v>
      </c>
    </row>
    <row r="157" spans="1:4" x14ac:dyDescent="0.25">
      <c r="A157" t="s">
        <v>1197</v>
      </c>
      <c r="B157" t="s">
        <v>50</v>
      </c>
      <c r="C157">
        <v>12</v>
      </c>
      <c r="D157" s="1">
        <v>46069</v>
      </c>
    </row>
    <row r="158" spans="1:4" x14ac:dyDescent="0.25">
      <c r="A158" t="s">
        <v>1198</v>
      </c>
      <c r="B158" t="s">
        <v>39</v>
      </c>
      <c r="C158">
        <v>13</v>
      </c>
      <c r="D158" s="1">
        <v>46085</v>
      </c>
    </row>
    <row r="159" spans="1:4" x14ac:dyDescent="0.25">
      <c r="A159" t="s">
        <v>1199</v>
      </c>
      <c r="B159" t="s">
        <v>74</v>
      </c>
      <c r="C159">
        <v>13</v>
      </c>
      <c r="D159" s="1">
        <v>46104</v>
      </c>
    </row>
    <row r="160" spans="1:4" x14ac:dyDescent="0.25">
      <c r="A160" t="s">
        <v>1200</v>
      </c>
      <c r="B160" t="s">
        <v>66</v>
      </c>
      <c r="C160">
        <v>18</v>
      </c>
      <c r="D160" s="1">
        <v>46034</v>
      </c>
    </row>
    <row r="161" spans="1:4" x14ac:dyDescent="0.25">
      <c r="A161" t="s">
        <v>1201</v>
      </c>
      <c r="B161" t="s">
        <v>64</v>
      </c>
      <c r="C161">
        <v>14</v>
      </c>
      <c r="D161" s="1">
        <v>46092</v>
      </c>
    </row>
    <row r="162" spans="1:4" x14ac:dyDescent="0.25">
      <c r="A162" t="s">
        <v>1202</v>
      </c>
      <c r="B162" t="s">
        <v>63</v>
      </c>
      <c r="C162">
        <v>28</v>
      </c>
      <c r="D162" s="1">
        <v>46065</v>
      </c>
    </row>
    <row r="163" spans="1:4" x14ac:dyDescent="0.25">
      <c r="A163" t="s">
        <v>1203</v>
      </c>
      <c r="B163" t="s">
        <v>108</v>
      </c>
      <c r="C163">
        <v>25</v>
      </c>
      <c r="D163" s="1">
        <v>46047</v>
      </c>
    </row>
    <row r="164" spans="1:4" x14ac:dyDescent="0.25">
      <c r="A164" t="s">
        <v>1204</v>
      </c>
      <c r="B164" t="s">
        <v>74</v>
      </c>
      <c r="C164">
        <v>21</v>
      </c>
      <c r="D164" s="1">
        <v>46085</v>
      </c>
    </row>
    <row r="165" spans="1:4" x14ac:dyDescent="0.25">
      <c r="A165" t="s">
        <v>1205</v>
      </c>
      <c r="B165" t="s">
        <v>134</v>
      </c>
      <c r="C165">
        <v>14</v>
      </c>
      <c r="D165" s="1">
        <v>46087</v>
      </c>
    </row>
    <row r="166" spans="1:4" x14ac:dyDescent="0.25">
      <c r="A166" t="s">
        <v>1206</v>
      </c>
      <c r="B166" t="s">
        <v>112</v>
      </c>
      <c r="C166">
        <v>7</v>
      </c>
      <c r="D166" s="1">
        <v>46074</v>
      </c>
    </row>
    <row r="167" spans="1:4" x14ac:dyDescent="0.25">
      <c r="A167" t="s">
        <v>1207</v>
      </c>
      <c r="B167" t="s">
        <v>122</v>
      </c>
      <c r="C167">
        <v>14</v>
      </c>
      <c r="D167" s="1">
        <v>46112</v>
      </c>
    </row>
    <row r="168" spans="1:4" x14ac:dyDescent="0.25">
      <c r="A168" t="s">
        <v>1208</v>
      </c>
      <c r="B168" t="s">
        <v>90</v>
      </c>
      <c r="C168">
        <v>18</v>
      </c>
      <c r="D168" s="1">
        <v>46108</v>
      </c>
    </row>
    <row r="169" spans="1:4" x14ac:dyDescent="0.25">
      <c r="A169" t="s">
        <v>1209</v>
      </c>
      <c r="B169" t="s">
        <v>131</v>
      </c>
      <c r="C169">
        <v>24</v>
      </c>
      <c r="D169" s="1">
        <v>46037</v>
      </c>
    </row>
    <row r="170" spans="1:4" x14ac:dyDescent="0.25">
      <c r="A170" t="s">
        <v>1210</v>
      </c>
      <c r="B170" t="s">
        <v>99</v>
      </c>
      <c r="C170">
        <v>12</v>
      </c>
      <c r="D170" s="1">
        <v>46031</v>
      </c>
    </row>
    <row r="171" spans="1:4" x14ac:dyDescent="0.25">
      <c r="A171" t="s">
        <v>1211</v>
      </c>
      <c r="B171" t="s">
        <v>119</v>
      </c>
      <c r="C171">
        <v>14</v>
      </c>
      <c r="D171" s="1">
        <v>46050</v>
      </c>
    </row>
    <row r="172" spans="1:4" x14ac:dyDescent="0.25">
      <c r="A172" t="s">
        <v>1212</v>
      </c>
      <c r="B172" t="s">
        <v>98</v>
      </c>
      <c r="C172">
        <v>12</v>
      </c>
      <c r="D172" s="1">
        <v>46117</v>
      </c>
    </row>
    <row r="173" spans="1:4" x14ac:dyDescent="0.25">
      <c r="A173" t="s">
        <v>1213</v>
      </c>
      <c r="B173" t="s">
        <v>41</v>
      </c>
      <c r="C173">
        <v>19</v>
      </c>
      <c r="D173" s="1">
        <v>46087</v>
      </c>
    </row>
    <row r="174" spans="1:4" x14ac:dyDescent="0.25">
      <c r="A174" t="s">
        <v>1214</v>
      </c>
      <c r="B174" t="s">
        <v>33</v>
      </c>
      <c r="C174">
        <v>28</v>
      </c>
      <c r="D174" s="1">
        <v>46109</v>
      </c>
    </row>
    <row r="175" spans="1:4" x14ac:dyDescent="0.25">
      <c r="A175" t="s">
        <v>1215</v>
      </c>
      <c r="B175" t="s">
        <v>60</v>
      </c>
      <c r="C175">
        <v>6</v>
      </c>
      <c r="D175" s="1">
        <v>46058</v>
      </c>
    </row>
    <row r="176" spans="1:4" x14ac:dyDescent="0.25">
      <c r="A176" t="s">
        <v>1216</v>
      </c>
      <c r="B176" t="s">
        <v>131</v>
      </c>
      <c r="C176">
        <v>14</v>
      </c>
      <c r="D176" s="1">
        <v>46068</v>
      </c>
    </row>
    <row r="177" spans="1:4" x14ac:dyDescent="0.25">
      <c r="A177" t="s">
        <v>1217</v>
      </c>
      <c r="B177" t="s">
        <v>91</v>
      </c>
      <c r="C177">
        <v>7</v>
      </c>
      <c r="D177" s="1">
        <v>46065</v>
      </c>
    </row>
    <row r="178" spans="1:4" x14ac:dyDescent="0.25">
      <c r="A178" t="s">
        <v>1218</v>
      </c>
      <c r="B178" t="s">
        <v>92</v>
      </c>
      <c r="C178">
        <v>3</v>
      </c>
      <c r="D178" s="1">
        <v>46054</v>
      </c>
    </row>
    <row r="179" spans="1:4" x14ac:dyDescent="0.25">
      <c r="A179" t="s">
        <v>1219</v>
      </c>
      <c r="B179" t="s">
        <v>71</v>
      </c>
      <c r="C179">
        <v>3</v>
      </c>
      <c r="D179" s="1">
        <v>46108</v>
      </c>
    </row>
    <row r="180" spans="1:4" x14ac:dyDescent="0.25">
      <c r="A180" t="s">
        <v>1220</v>
      </c>
      <c r="B180" t="s">
        <v>53</v>
      </c>
      <c r="C180">
        <v>27</v>
      </c>
      <c r="D180" s="1">
        <v>46097</v>
      </c>
    </row>
    <row r="181" spans="1:4" x14ac:dyDescent="0.25">
      <c r="A181" t="s">
        <v>1221</v>
      </c>
      <c r="B181" t="s">
        <v>70</v>
      </c>
      <c r="C181">
        <v>15</v>
      </c>
      <c r="D181" s="1">
        <v>46102</v>
      </c>
    </row>
    <row r="182" spans="1:4" x14ac:dyDescent="0.25">
      <c r="A182" t="s">
        <v>1222</v>
      </c>
      <c r="B182" t="s">
        <v>139</v>
      </c>
      <c r="C182">
        <v>2</v>
      </c>
      <c r="D182" s="1">
        <v>46030</v>
      </c>
    </row>
    <row r="183" spans="1:4" x14ac:dyDescent="0.25">
      <c r="A183" t="s">
        <v>1223</v>
      </c>
      <c r="B183" t="s">
        <v>50</v>
      </c>
      <c r="C183">
        <v>3</v>
      </c>
      <c r="D183" s="1">
        <v>46029</v>
      </c>
    </row>
    <row r="184" spans="1:4" x14ac:dyDescent="0.25">
      <c r="A184" t="s">
        <v>1224</v>
      </c>
      <c r="B184" t="s">
        <v>43</v>
      </c>
      <c r="C184">
        <v>19</v>
      </c>
      <c r="D184" s="1">
        <v>46112</v>
      </c>
    </row>
    <row r="185" spans="1:4" x14ac:dyDescent="0.25">
      <c r="A185" t="s">
        <v>1225</v>
      </c>
      <c r="B185" t="s">
        <v>33</v>
      </c>
      <c r="C185">
        <v>9</v>
      </c>
      <c r="D185" s="1">
        <v>46104</v>
      </c>
    </row>
    <row r="186" spans="1:4" x14ac:dyDescent="0.25">
      <c r="A186" t="s">
        <v>1226</v>
      </c>
      <c r="B186" t="s">
        <v>122</v>
      </c>
      <c r="C186">
        <v>25</v>
      </c>
      <c r="D186" s="1">
        <v>46065</v>
      </c>
    </row>
    <row r="187" spans="1:4" x14ac:dyDescent="0.25">
      <c r="A187" t="s">
        <v>1227</v>
      </c>
      <c r="B187" t="s">
        <v>87</v>
      </c>
      <c r="C187">
        <v>24</v>
      </c>
      <c r="D187" s="1">
        <v>46055</v>
      </c>
    </row>
    <row r="188" spans="1:4" x14ac:dyDescent="0.25">
      <c r="A188" t="s">
        <v>1228</v>
      </c>
      <c r="B188" t="s">
        <v>41</v>
      </c>
      <c r="C188">
        <v>23</v>
      </c>
      <c r="D188" s="1">
        <v>46043</v>
      </c>
    </row>
    <row r="189" spans="1:4" x14ac:dyDescent="0.25">
      <c r="A189" t="s">
        <v>1229</v>
      </c>
      <c r="B189" t="s">
        <v>64</v>
      </c>
      <c r="C189">
        <v>24</v>
      </c>
      <c r="D189" s="1">
        <v>46053</v>
      </c>
    </row>
    <row r="190" spans="1:4" x14ac:dyDescent="0.25">
      <c r="A190" t="s">
        <v>1230</v>
      </c>
      <c r="B190" t="s">
        <v>47</v>
      </c>
      <c r="C190">
        <v>9</v>
      </c>
      <c r="D190" s="1">
        <v>46068</v>
      </c>
    </row>
    <row r="191" spans="1:4" x14ac:dyDescent="0.25">
      <c r="A191" t="s">
        <v>1231</v>
      </c>
      <c r="B191" t="s">
        <v>80</v>
      </c>
      <c r="C191">
        <v>27</v>
      </c>
      <c r="D191" s="1">
        <v>46074</v>
      </c>
    </row>
    <row r="192" spans="1:4" x14ac:dyDescent="0.25">
      <c r="A192" t="s">
        <v>1232</v>
      </c>
      <c r="B192" t="s">
        <v>77</v>
      </c>
      <c r="C192">
        <v>19</v>
      </c>
      <c r="D192" s="1">
        <v>46034</v>
      </c>
    </row>
    <row r="193" spans="1:4" x14ac:dyDescent="0.25">
      <c r="A193" t="s">
        <v>1233</v>
      </c>
      <c r="B193" t="s">
        <v>129</v>
      </c>
      <c r="C193">
        <v>5</v>
      </c>
      <c r="D193" s="1">
        <v>46111</v>
      </c>
    </row>
    <row r="194" spans="1:4" x14ac:dyDescent="0.25">
      <c r="A194" t="s">
        <v>1234</v>
      </c>
      <c r="B194" t="s">
        <v>137</v>
      </c>
      <c r="C194">
        <v>2</v>
      </c>
      <c r="D194" s="1">
        <v>46081</v>
      </c>
    </row>
    <row r="195" spans="1:4" x14ac:dyDescent="0.25">
      <c r="A195" t="s">
        <v>1235</v>
      </c>
      <c r="B195" t="s">
        <v>57</v>
      </c>
      <c r="C195">
        <v>8</v>
      </c>
      <c r="D195" s="1">
        <v>46116</v>
      </c>
    </row>
    <row r="196" spans="1:4" x14ac:dyDescent="0.25">
      <c r="A196" t="s">
        <v>1236</v>
      </c>
      <c r="B196" t="s">
        <v>95</v>
      </c>
      <c r="C196">
        <v>20</v>
      </c>
      <c r="D196" s="1">
        <v>46038</v>
      </c>
    </row>
    <row r="197" spans="1:4" x14ac:dyDescent="0.25">
      <c r="A197" t="s">
        <v>1237</v>
      </c>
      <c r="B197" t="s">
        <v>136</v>
      </c>
      <c r="C197">
        <v>7</v>
      </c>
      <c r="D197" s="1">
        <v>46072</v>
      </c>
    </row>
    <row r="198" spans="1:4" x14ac:dyDescent="0.25">
      <c r="A198" t="s">
        <v>1238</v>
      </c>
      <c r="B198" t="s">
        <v>115</v>
      </c>
      <c r="C198">
        <v>2</v>
      </c>
      <c r="D198" s="1">
        <v>46112</v>
      </c>
    </row>
    <row r="199" spans="1:4" x14ac:dyDescent="0.25">
      <c r="A199" t="s">
        <v>1239</v>
      </c>
      <c r="B199" t="s">
        <v>130</v>
      </c>
      <c r="C199">
        <v>29</v>
      </c>
      <c r="D199" s="1">
        <v>46096</v>
      </c>
    </row>
    <row r="200" spans="1:4" x14ac:dyDescent="0.25">
      <c r="A200" t="s">
        <v>1240</v>
      </c>
      <c r="B200" t="s">
        <v>101</v>
      </c>
      <c r="C200">
        <v>2</v>
      </c>
      <c r="D200" s="1">
        <v>46074</v>
      </c>
    </row>
    <row r="201" spans="1:4" x14ac:dyDescent="0.25">
      <c r="A201" t="s">
        <v>1241</v>
      </c>
      <c r="B201" t="s">
        <v>51</v>
      </c>
      <c r="C201">
        <v>12</v>
      </c>
      <c r="D201" s="1">
        <v>46065</v>
      </c>
    </row>
    <row r="202" spans="1:4" x14ac:dyDescent="0.25">
      <c r="A202" t="s">
        <v>1242</v>
      </c>
      <c r="B202" t="s">
        <v>78</v>
      </c>
      <c r="C202">
        <v>5</v>
      </c>
      <c r="D202" s="1">
        <v>46087</v>
      </c>
    </row>
    <row r="203" spans="1:4" x14ac:dyDescent="0.25">
      <c r="A203" t="s">
        <v>1243</v>
      </c>
      <c r="B203" t="s">
        <v>130</v>
      </c>
      <c r="C203">
        <v>22</v>
      </c>
      <c r="D203" s="1">
        <v>46034</v>
      </c>
    </row>
    <row r="204" spans="1:4" x14ac:dyDescent="0.25">
      <c r="A204" t="s">
        <v>1244</v>
      </c>
      <c r="B204" t="s">
        <v>122</v>
      </c>
      <c r="C204">
        <v>14</v>
      </c>
      <c r="D204" s="1">
        <v>46105</v>
      </c>
    </row>
    <row r="205" spans="1:4" x14ac:dyDescent="0.25">
      <c r="A205" t="s">
        <v>1245</v>
      </c>
      <c r="B205" t="s">
        <v>107</v>
      </c>
      <c r="C205">
        <v>23</v>
      </c>
      <c r="D205" s="1">
        <v>46089</v>
      </c>
    </row>
    <row r="206" spans="1:4" x14ac:dyDescent="0.25">
      <c r="A206" t="s">
        <v>1246</v>
      </c>
      <c r="B206" t="s">
        <v>68</v>
      </c>
      <c r="C206">
        <v>23</v>
      </c>
      <c r="D206" s="1">
        <v>46044</v>
      </c>
    </row>
    <row r="207" spans="1:4" x14ac:dyDescent="0.25">
      <c r="A207" t="s">
        <v>1247</v>
      </c>
      <c r="B207" t="s">
        <v>52</v>
      </c>
      <c r="C207">
        <v>25</v>
      </c>
      <c r="D207" s="1">
        <v>46106</v>
      </c>
    </row>
    <row r="208" spans="1:4" x14ac:dyDescent="0.25">
      <c r="A208" t="s">
        <v>1248</v>
      </c>
      <c r="B208" t="s">
        <v>99</v>
      </c>
      <c r="C208">
        <v>19</v>
      </c>
      <c r="D208" s="1">
        <v>46090</v>
      </c>
    </row>
    <row r="209" spans="1:4" x14ac:dyDescent="0.25">
      <c r="A209" t="s">
        <v>1249</v>
      </c>
      <c r="B209" t="s">
        <v>99</v>
      </c>
      <c r="C209">
        <v>7</v>
      </c>
      <c r="D209" s="1">
        <v>46076</v>
      </c>
    </row>
    <row r="210" spans="1:4" x14ac:dyDescent="0.25">
      <c r="A210" t="s">
        <v>1250</v>
      </c>
      <c r="B210" t="s">
        <v>102</v>
      </c>
      <c r="C210">
        <v>25</v>
      </c>
      <c r="D210" s="1">
        <v>46117</v>
      </c>
    </row>
    <row r="211" spans="1:4" x14ac:dyDescent="0.25">
      <c r="A211" t="s">
        <v>1251</v>
      </c>
      <c r="B211" t="s">
        <v>64</v>
      </c>
      <c r="C211">
        <v>11</v>
      </c>
      <c r="D211" s="1">
        <v>46107</v>
      </c>
    </row>
    <row r="212" spans="1:4" x14ac:dyDescent="0.25">
      <c r="A212" t="s">
        <v>1252</v>
      </c>
      <c r="B212" t="s">
        <v>56</v>
      </c>
      <c r="C212">
        <v>5</v>
      </c>
      <c r="D212" s="1">
        <v>46040</v>
      </c>
    </row>
    <row r="213" spans="1:4" x14ac:dyDescent="0.25">
      <c r="A213" t="s">
        <v>1253</v>
      </c>
      <c r="B213" t="s">
        <v>98</v>
      </c>
      <c r="C213">
        <v>4</v>
      </c>
      <c r="D213" s="1">
        <v>46112</v>
      </c>
    </row>
    <row r="214" spans="1:4" x14ac:dyDescent="0.25">
      <c r="A214" t="s">
        <v>1254</v>
      </c>
      <c r="B214" t="s">
        <v>90</v>
      </c>
      <c r="C214">
        <v>30</v>
      </c>
      <c r="D214" s="1">
        <v>46091</v>
      </c>
    </row>
    <row r="215" spans="1:4" x14ac:dyDescent="0.25">
      <c r="A215" t="s">
        <v>1255</v>
      </c>
      <c r="B215" t="s">
        <v>84</v>
      </c>
      <c r="C215">
        <v>13</v>
      </c>
      <c r="D215" s="1">
        <v>46042</v>
      </c>
    </row>
    <row r="216" spans="1:4" x14ac:dyDescent="0.25">
      <c r="A216" t="s">
        <v>1256</v>
      </c>
      <c r="B216" t="s">
        <v>122</v>
      </c>
      <c r="C216">
        <v>7</v>
      </c>
      <c r="D216" s="1">
        <v>46039</v>
      </c>
    </row>
    <row r="217" spans="1:4" x14ac:dyDescent="0.25">
      <c r="A217" t="s">
        <v>1257</v>
      </c>
      <c r="B217" t="s">
        <v>102</v>
      </c>
      <c r="C217">
        <v>1</v>
      </c>
      <c r="D217" s="1">
        <v>46118</v>
      </c>
    </row>
    <row r="218" spans="1:4" x14ac:dyDescent="0.25">
      <c r="A218" t="s">
        <v>1258</v>
      </c>
      <c r="B218" t="s">
        <v>105</v>
      </c>
      <c r="C218">
        <v>3</v>
      </c>
      <c r="D218" s="1">
        <v>46033</v>
      </c>
    </row>
    <row r="219" spans="1:4" x14ac:dyDescent="0.25">
      <c r="A219" t="s">
        <v>1259</v>
      </c>
      <c r="B219" t="s">
        <v>54</v>
      </c>
      <c r="C219">
        <v>30</v>
      </c>
      <c r="D219" s="1">
        <v>46113</v>
      </c>
    </row>
    <row r="220" spans="1:4" x14ac:dyDescent="0.25">
      <c r="A220" t="s">
        <v>1260</v>
      </c>
      <c r="B220" t="s">
        <v>118</v>
      </c>
      <c r="C220">
        <v>12</v>
      </c>
      <c r="D220" s="1">
        <v>46071</v>
      </c>
    </row>
    <row r="221" spans="1:4" x14ac:dyDescent="0.25">
      <c r="A221" t="s">
        <v>1261</v>
      </c>
      <c r="B221" t="s">
        <v>47</v>
      </c>
      <c r="C221">
        <v>25</v>
      </c>
      <c r="D221" s="1">
        <v>46084</v>
      </c>
    </row>
    <row r="222" spans="1:4" x14ac:dyDescent="0.25">
      <c r="A222" t="s">
        <v>1262</v>
      </c>
      <c r="B222" t="s">
        <v>39</v>
      </c>
      <c r="C222">
        <v>10</v>
      </c>
      <c r="D222" s="1">
        <v>46095</v>
      </c>
    </row>
    <row r="223" spans="1:4" x14ac:dyDescent="0.25">
      <c r="A223" t="s">
        <v>1263</v>
      </c>
      <c r="B223" t="s">
        <v>41</v>
      </c>
      <c r="C223">
        <v>24</v>
      </c>
      <c r="D223" s="1">
        <v>46046</v>
      </c>
    </row>
    <row r="224" spans="1:4" x14ac:dyDescent="0.25">
      <c r="A224" t="s">
        <v>1264</v>
      </c>
      <c r="B224" t="s">
        <v>118</v>
      </c>
      <c r="C224">
        <v>22</v>
      </c>
      <c r="D224" s="1">
        <v>46110</v>
      </c>
    </row>
    <row r="225" spans="1:4" x14ac:dyDescent="0.25">
      <c r="A225" t="s">
        <v>1265</v>
      </c>
      <c r="B225" t="s">
        <v>114</v>
      </c>
      <c r="C225">
        <v>3</v>
      </c>
      <c r="D225" s="1">
        <v>46033</v>
      </c>
    </row>
    <row r="226" spans="1:4" x14ac:dyDescent="0.25">
      <c r="A226" t="s">
        <v>1266</v>
      </c>
      <c r="B226" t="s">
        <v>125</v>
      </c>
      <c r="C226">
        <v>28</v>
      </c>
      <c r="D226" s="1">
        <v>46112</v>
      </c>
    </row>
    <row r="227" spans="1:4" x14ac:dyDescent="0.25">
      <c r="A227" t="s">
        <v>1267</v>
      </c>
      <c r="B227" t="s">
        <v>128</v>
      </c>
      <c r="C227">
        <v>19</v>
      </c>
      <c r="D227" s="1">
        <v>46069</v>
      </c>
    </row>
    <row r="228" spans="1:4" x14ac:dyDescent="0.25">
      <c r="A228" t="s">
        <v>1268</v>
      </c>
      <c r="B228" t="s">
        <v>68</v>
      </c>
      <c r="C228">
        <v>21</v>
      </c>
      <c r="D228" s="1">
        <v>46093</v>
      </c>
    </row>
    <row r="229" spans="1:4" x14ac:dyDescent="0.25">
      <c r="A229" t="s">
        <v>1269</v>
      </c>
      <c r="B229" t="s">
        <v>74</v>
      </c>
      <c r="C229">
        <v>14</v>
      </c>
      <c r="D229" s="1">
        <v>46043</v>
      </c>
    </row>
    <row r="230" spans="1:4" x14ac:dyDescent="0.25">
      <c r="A230" t="s">
        <v>1270</v>
      </c>
      <c r="B230" t="s">
        <v>45</v>
      </c>
      <c r="C230">
        <v>20</v>
      </c>
      <c r="D230" s="1">
        <v>46118</v>
      </c>
    </row>
    <row r="231" spans="1:4" x14ac:dyDescent="0.25">
      <c r="A231" t="s">
        <v>1271</v>
      </c>
      <c r="B231" t="s">
        <v>96</v>
      </c>
      <c r="C231">
        <v>27</v>
      </c>
      <c r="D231" s="1">
        <v>46044</v>
      </c>
    </row>
    <row r="232" spans="1:4" x14ac:dyDescent="0.25">
      <c r="A232" t="s">
        <v>1272</v>
      </c>
      <c r="B232" t="s">
        <v>119</v>
      </c>
      <c r="C232">
        <v>20</v>
      </c>
      <c r="D232" s="1">
        <v>46078</v>
      </c>
    </row>
    <row r="233" spans="1:4" x14ac:dyDescent="0.25">
      <c r="A233" t="s">
        <v>1273</v>
      </c>
      <c r="B233" t="s">
        <v>41</v>
      </c>
      <c r="C233">
        <v>5</v>
      </c>
      <c r="D233" s="1">
        <v>46084</v>
      </c>
    </row>
    <row r="234" spans="1:4" x14ac:dyDescent="0.25">
      <c r="A234" t="s">
        <v>1274</v>
      </c>
      <c r="B234" t="s">
        <v>104</v>
      </c>
      <c r="C234">
        <v>5</v>
      </c>
      <c r="D234" s="1">
        <v>46100</v>
      </c>
    </row>
    <row r="235" spans="1:4" x14ac:dyDescent="0.25">
      <c r="A235" t="s">
        <v>1275</v>
      </c>
      <c r="B235" t="s">
        <v>90</v>
      </c>
      <c r="C235">
        <v>14</v>
      </c>
      <c r="D235" s="1">
        <v>46110</v>
      </c>
    </row>
    <row r="236" spans="1:4" x14ac:dyDescent="0.25">
      <c r="A236" t="s">
        <v>1276</v>
      </c>
      <c r="B236" t="s">
        <v>39</v>
      </c>
      <c r="C236">
        <v>20</v>
      </c>
      <c r="D236" s="1">
        <v>46056</v>
      </c>
    </row>
    <row r="237" spans="1:4" x14ac:dyDescent="0.25">
      <c r="A237" t="s">
        <v>1277</v>
      </c>
      <c r="B237" t="s">
        <v>84</v>
      </c>
      <c r="C237">
        <v>29</v>
      </c>
      <c r="D237" s="1">
        <v>46081</v>
      </c>
    </row>
    <row r="238" spans="1:4" x14ac:dyDescent="0.25">
      <c r="A238" t="s">
        <v>1278</v>
      </c>
      <c r="B238" t="s">
        <v>82</v>
      </c>
      <c r="C238">
        <v>27</v>
      </c>
      <c r="D238" s="1">
        <v>46114</v>
      </c>
    </row>
    <row r="239" spans="1:4" x14ac:dyDescent="0.25">
      <c r="A239" t="s">
        <v>1279</v>
      </c>
      <c r="B239" t="s">
        <v>108</v>
      </c>
      <c r="C239">
        <v>26</v>
      </c>
      <c r="D239" s="1">
        <v>46052</v>
      </c>
    </row>
    <row r="240" spans="1:4" x14ac:dyDescent="0.25">
      <c r="A240" t="s">
        <v>1280</v>
      </c>
      <c r="B240" t="s">
        <v>66</v>
      </c>
      <c r="C240">
        <v>10</v>
      </c>
      <c r="D240" s="1">
        <v>46065</v>
      </c>
    </row>
    <row r="241" spans="1:4" x14ac:dyDescent="0.25">
      <c r="A241" t="s">
        <v>1281</v>
      </c>
      <c r="B241" t="s">
        <v>103</v>
      </c>
      <c r="C241">
        <v>7</v>
      </c>
      <c r="D241" s="1">
        <v>46093</v>
      </c>
    </row>
    <row r="242" spans="1:4" x14ac:dyDescent="0.25">
      <c r="A242" t="s">
        <v>1282</v>
      </c>
      <c r="B242" t="s">
        <v>76</v>
      </c>
      <c r="C242">
        <v>14</v>
      </c>
      <c r="D242" s="1">
        <v>46085</v>
      </c>
    </row>
    <row r="243" spans="1:4" x14ac:dyDescent="0.25">
      <c r="A243" t="s">
        <v>1283</v>
      </c>
      <c r="B243" t="s">
        <v>99</v>
      </c>
      <c r="C243">
        <v>11</v>
      </c>
      <c r="D243" s="1">
        <v>46073</v>
      </c>
    </row>
    <row r="244" spans="1:4" x14ac:dyDescent="0.25">
      <c r="A244" t="s">
        <v>1284</v>
      </c>
      <c r="B244" t="s">
        <v>37</v>
      </c>
      <c r="C244">
        <v>24</v>
      </c>
      <c r="D244" s="1">
        <v>46086</v>
      </c>
    </row>
    <row r="245" spans="1:4" x14ac:dyDescent="0.25">
      <c r="A245" t="s">
        <v>1285</v>
      </c>
      <c r="B245" t="s">
        <v>48</v>
      </c>
      <c r="C245">
        <v>9</v>
      </c>
      <c r="D245" s="1">
        <v>46077</v>
      </c>
    </row>
    <row r="246" spans="1:4" x14ac:dyDescent="0.25">
      <c r="A246" t="s">
        <v>1286</v>
      </c>
      <c r="B246" t="s">
        <v>101</v>
      </c>
      <c r="C246">
        <v>23</v>
      </c>
      <c r="D246" s="1">
        <v>46040</v>
      </c>
    </row>
    <row r="247" spans="1:4" x14ac:dyDescent="0.25">
      <c r="A247" t="s">
        <v>1287</v>
      </c>
      <c r="B247" t="s">
        <v>68</v>
      </c>
      <c r="C247">
        <v>3</v>
      </c>
      <c r="D247" s="1">
        <v>46081</v>
      </c>
    </row>
    <row r="248" spans="1:4" x14ac:dyDescent="0.25">
      <c r="A248" t="s">
        <v>1288</v>
      </c>
      <c r="B248" t="s">
        <v>46</v>
      </c>
      <c r="C248">
        <v>22</v>
      </c>
      <c r="D248" s="1">
        <v>46099</v>
      </c>
    </row>
    <row r="249" spans="1:4" x14ac:dyDescent="0.25">
      <c r="A249" t="s">
        <v>1289</v>
      </c>
      <c r="B249" t="s">
        <v>84</v>
      </c>
      <c r="C249">
        <v>5</v>
      </c>
      <c r="D249" s="1">
        <v>46074</v>
      </c>
    </row>
    <row r="250" spans="1:4" x14ac:dyDescent="0.25">
      <c r="A250" t="s">
        <v>1290</v>
      </c>
      <c r="B250" t="s">
        <v>120</v>
      </c>
      <c r="C250">
        <v>6</v>
      </c>
      <c r="D250" s="1">
        <v>46115</v>
      </c>
    </row>
    <row r="251" spans="1:4" x14ac:dyDescent="0.25">
      <c r="A251" t="s">
        <v>1291</v>
      </c>
      <c r="B251" t="s">
        <v>133</v>
      </c>
      <c r="C251">
        <v>15</v>
      </c>
      <c r="D251" s="1">
        <v>46095</v>
      </c>
    </row>
    <row r="252" spans="1:4" x14ac:dyDescent="0.25">
      <c r="A252" t="s">
        <v>1292</v>
      </c>
      <c r="B252" t="s">
        <v>79</v>
      </c>
      <c r="C252">
        <v>4</v>
      </c>
      <c r="D252" s="1">
        <v>46057</v>
      </c>
    </row>
    <row r="253" spans="1:4" x14ac:dyDescent="0.25">
      <c r="A253" t="s">
        <v>1293</v>
      </c>
      <c r="B253" t="s">
        <v>125</v>
      </c>
      <c r="C253">
        <v>27</v>
      </c>
      <c r="D253" s="1">
        <v>46081</v>
      </c>
    </row>
    <row r="254" spans="1:4" x14ac:dyDescent="0.25">
      <c r="A254" t="s">
        <v>1294</v>
      </c>
      <c r="B254" t="s">
        <v>99</v>
      </c>
      <c r="C254">
        <v>3</v>
      </c>
      <c r="D254" s="1">
        <v>46054</v>
      </c>
    </row>
    <row r="255" spans="1:4" x14ac:dyDescent="0.25">
      <c r="A255" t="s">
        <v>1295</v>
      </c>
      <c r="B255" t="s">
        <v>88</v>
      </c>
      <c r="C255">
        <v>10</v>
      </c>
      <c r="D255" s="1">
        <v>46065</v>
      </c>
    </row>
    <row r="256" spans="1:4" x14ac:dyDescent="0.25">
      <c r="A256" t="s">
        <v>1296</v>
      </c>
      <c r="B256" t="s">
        <v>98</v>
      </c>
      <c r="C256">
        <v>25</v>
      </c>
      <c r="D256" s="1">
        <v>46094</v>
      </c>
    </row>
    <row r="257" spans="1:4" x14ac:dyDescent="0.25">
      <c r="A257" t="s">
        <v>1297</v>
      </c>
      <c r="B257" t="s">
        <v>96</v>
      </c>
      <c r="C257">
        <v>6</v>
      </c>
      <c r="D257" s="1">
        <v>46029</v>
      </c>
    </row>
    <row r="258" spans="1:4" x14ac:dyDescent="0.25">
      <c r="A258" t="s">
        <v>1298</v>
      </c>
      <c r="B258" t="s">
        <v>136</v>
      </c>
      <c r="C258">
        <v>11</v>
      </c>
      <c r="D258" s="1">
        <v>46096</v>
      </c>
    </row>
    <row r="259" spans="1:4" x14ac:dyDescent="0.25">
      <c r="A259" t="s">
        <v>1299</v>
      </c>
      <c r="B259" t="s">
        <v>119</v>
      </c>
      <c r="C259">
        <v>8</v>
      </c>
      <c r="D259" s="1">
        <v>46090</v>
      </c>
    </row>
    <row r="260" spans="1:4" x14ac:dyDescent="0.25">
      <c r="A260" t="s">
        <v>1300</v>
      </c>
      <c r="B260" t="s">
        <v>55</v>
      </c>
      <c r="C260">
        <v>12</v>
      </c>
      <c r="D260" s="1">
        <v>46041</v>
      </c>
    </row>
    <row r="261" spans="1:4" x14ac:dyDescent="0.25">
      <c r="A261" t="s">
        <v>1301</v>
      </c>
      <c r="B261" t="s">
        <v>79</v>
      </c>
      <c r="C261">
        <v>19</v>
      </c>
      <c r="D261" s="1">
        <v>46030</v>
      </c>
    </row>
    <row r="262" spans="1:4" x14ac:dyDescent="0.25">
      <c r="A262" t="s">
        <v>1302</v>
      </c>
      <c r="B262" t="s">
        <v>107</v>
      </c>
      <c r="C262">
        <v>1</v>
      </c>
      <c r="D262" s="1">
        <v>46059</v>
      </c>
    </row>
    <row r="263" spans="1:4" x14ac:dyDescent="0.25">
      <c r="A263" t="s">
        <v>1303</v>
      </c>
      <c r="B263" t="s">
        <v>63</v>
      </c>
      <c r="C263">
        <v>14</v>
      </c>
      <c r="D263" s="1">
        <v>46053</v>
      </c>
    </row>
    <row r="264" spans="1:4" x14ac:dyDescent="0.25">
      <c r="A264" t="s">
        <v>1304</v>
      </c>
      <c r="B264" t="s">
        <v>54</v>
      </c>
      <c r="C264">
        <v>20</v>
      </c>
      <c r="D264" s="1">
        <v>46079</v>
      </c>
    </row>
    <row r="265" spans="1:4" x14ac:dyDescent="0.25">
      <c r="A265" t="s">
        <v>1305</v>
      </c>
      <c r="B265" t="s">
        <v>107</v>
      </c>
      <c r="C265">
        <v>21</v>
      </c>
      <c r="D265" s="1">
        <v>46089</v>
      </c>
    </row>
    <row r="266" spans="1:4" x14ac:dyDescent="0.25">
      <c r="A266" t="s">
        <v>1306</v>
      </c>
      <c r="B266" t="s">
        <v>137</v>
      </c>
      <c r="C266">
        <v>12</v>
      </c>
      <c r="D266" s="1">
        <v>46106</v>
      </c>
    </row>
    <row r="267" spans="1:4" x14ac:dyDescent="0.25">
      <c r="A267" t="s">
        <v>1307</v>
      </c>
      <c r="B267" t="s">
        <v>83</v>
      </c>
      <c r="C267">
        <v>7</v>
      </c>
      <c r="D267" s="1">
        <v>46053</v>
      </c>
    </row>
    <row r="268" spans="1:4" x14ac:dyDescent="0.25">
      <c r="A268" t="s">
        <v>1308</v>
      </c>
      <c r="B268" t="s">
        <v>107</v>
      </c>
      <c r="C268">
        <v>23</v>
      </c>
      <c r="D268" s="1">
        <v>46101</v>
      </c>
    </row>
    <row r="269" spans="1:4" x14ac:dyDescent="0.25">
      <c r="A269" t="s">
        <v>1309</v>
      </c>
      <c r="B269" t="s">
        <v>126</v>
      </c>
      <c r="C269">
        <v>16</v>
      </c>
      <c r="D269" s="1">
        <v>46069</v>
      </c>
    </row>
    <row r="270" spans="1:4" x14ac:dyDescent="0.25">
      <c r="A270" t="s">
        <v>1310</v>
      </c>
      <c r="B270" t="s">
        <v>123</v>
      </c>
      <c r="C270">
        <v>10</v>
      </c>
      <c r="D270" s="1">
        <v>46083</v>
      </c>
    </row>
    <row r="271" spans="1:4" x14ac:dyDescent="0.25">
      <c r="A271" t="s">
        <v>1311</v>
      </c>
      <c r="B271" t="s">
        <v>52</v>
      </c>
      <c r="C271">
        <v>24</v>
      </c>
      <c r="D271" s="1">
        <v>46070</v>
      </c>
    </row>
    <row r="272" spans="1:4" x14ac:dyDescent="0.25">
      <c r="A272" t="s">
        <v>1312</v>
      </c>
      <c r="B272" t="s">
        <v>121</v>
      </c>
      <c r="C272">
        <v>10</v>
      </c>
      <c r="D272" s="1">
        <v>46066</v>
      </c>
    </row>
    <row r="273" spans="1:4" x14ac:dyDescent="0.25">
      <c r="A273" t="s">
        <v>1313</v>
      </c>
      <c r="B273" t="s">
        <v>123</v>
      </c>
      <c r="C273">
        <v>22</v>
      </c>
      <c r="D273" s="1">
        <v>46078</v>
      </c>
    </row>
    <row r="274" spans="1:4" x14ac:dyDescent="0.25">
      <c r="A274" t="s">
        <v>1314</v>
      </c>
      <c r="B274" t="s">
        <v>113</v>
      </c>
      <c r="C274">
        <v>16</v>
      </c>
      <c r="D274" s="1">
        <v>46032</v>
      </c>
    </row>
    <row r="275" spans="1:4" x14ac:dyDescent="0.25">
      <c r="A275" t="s">
        <v>1315</v>
      </c>
      <c r="B275" t="s">
        <v>45</v>
      </c>
      <c r="C275">
        <v>21</v>
      </c>
      <c r="D275" s="1">
        <v>46091</v>
      </c>
    </row>
    <row r="276" spans="1:4" x14ac:dyDescent="0.25">
      <c r="A276" t="s">
        <v>1316</v>
      </c>
      <c r="B276" t="s">
        <v>91</v>
      </c>
      <c r="C276">
        <v>5</v>
      </c>
      <c r="D276" s="1">
        <v>46112</v>
      </c>
    </row>
    <row r="277" spans="1:4" x14ac:dyDescent="0.25">
      <c r="A277" t="s">
        <v>1317</v>
      </c>
      <c r="B277" t="s">
        <v>67</v>
      </c>
      <c r="C277">
        <v>9</v>
      </c>
      <c r="D277" s="1">
        <v>46081</v>
      </c>
    </row>
    <row r="278" spans="1:4" x14ac:dyDescent="0.25">
      <c r="A278" t="s">
        <v>1318</v>
      </c>
      <c r="B278" t="s">
        <v>33</v>
      </c>
      <c r="C278">
        <v>11</v>
      </c>
      <c r="D278" s="1">
        <v>46039</v>
      </c>
    </row>
    <row r="279" spans="1:4" x14ac:dyDescent="0.25">
      <c r="A279" t="s">
        <v>1319</v>
      </c>
      <c r="B279" t="s">
        <v>128</v>
      </c>
      <c r="C279">
        <v>28</v>
      </c>
      <c r="D279" s="1">
        <v>46071</v>
      </c>
    </row>
    <row r="280" spans="1:4" x14ac:dyDescent="0.25">
      <c r="A280" t="s">
        <v>1320</v>
      </c>
      <c r="B280" t="s">
        <v>106</v>
      </c>
      <c r="C280">
        <v>23</v>
      </c>
      <c r="D280" s="1">
        <v>46041</v>
      </c>
    </row>
    <row r="281" spans="1:4" x14ac:dyDescent="0.25">
      <c r="A281" t="s">
        <v>1321</v>
      </c>
      <c r="B281" t="s">
        <v>57</v>
      </c>
      <c r="C281">
        <v>22</v>
      </c>
      <c r="D281" s="1">
        <v>46115</v>
      </c>
    </row>
    <row r="282" spans="1:4" x14ac:dyDescent="0.25">
      <c r="A282" t="s">
        <v>1322</v>
      </c>
      <c r="B282" t="s">
        <v>139</v>
      </c>
      <c r="C282">
        <v>14</v>
      </c>
      <c r="D282" s="1">
        <v>46070</v>
      </c>
    </row>
    <row r="283" spans="1:4" x14ac:dyDescent="0.25">
      <c r="A283" t="s">
        <v>1323</v>
      </c>
      <c r="B283" t="s">
        <v>114</v>
      </c>
      <c r="C283">
        <v>1</v>
      </c>
      <c r="D283" s="1">
        <v>46052</v>
      </c>
    </row>
    <row r="284" spans="1:4" x14ac:dyDescent="0.25">
      <c r="A284" t="s">
        <v>1324</v>
      </c>
      <c r="B284" t="s">
        <v>115</v>
      </c>
      <c r="C284">
        <v>26</v>
      </c>
      <c r="D284" s="1">
        <v>46106</v>
      </c>
    </row>
    <row r="285" spans="1:4" x14ac:dyDescent="0.25">
      <c r="A285" t="s">
        <v>1325</v>
      </c>
      <c r="B285" t="s">
        <v>102</v>
      </c>
      <c r="C285">
        <v>28</v>
      </c>
      <c r="D285" s="1">
        <v>46098</v>
      </c>
    </row>
    <row r="286" spans="1:4" x14ac:dyDescent="0.25">
      <c r="A286" t="s">
        <v>1326</v>
      </c>
      <c r="B286" t="s">
        <v>122</v>
      </c>
      <c r="C286">
        <v>25</v>
      </c>
      <c r="D286" s="1">
        <v>46096</v>
      </c>
    </row>
    <row r="287" spans="1:4" x14ac:dyDescent="0.25">
      <c r="A287" t="s">
        <v>1327</v>
      </c>
      <c r="B287" t="s">
        <v>97</v>
      </c>
      <c r="C287">
        <v>12</v>
      </c>
      <c r="D287" s="1">
        <v>46049</v>
      </c>
    </row>
    <row r="288" spans="1:4" x14ac:dyDescent="0.25">
      <c r="A288" t="s">
        <v>1328</v>
      </c>
      <c r="B288" t="s">
        <v>101</v>
      </c>
      <c r="C288">
        <v>6</v>
      </c>
      <c r="D288" s="1">
        <v>46102</v>
      </c>
    </row>
    <row r="289" spans="1:4" x14ac:dyDescent="0.25">
      <c r="A289" t="s">
        <v>1329</v>
      </c>
      <c r="B289" t="s">
        <v>77</v>
      </c>
      <c r="C289">
        <v>9</v>
      </c>
      <c r="D289" s="1">
        <v>46084</v>
      </c>
    </row>
    <row r="290" spans="1:4" x14ac:dyDescent="0.25">
      <c r="A290" t="s">
        <v>1330</v>
      </c>
      <c r="B290" t="s">
        <v>93</v>
      </c>
      <c r="C290">
        <v>10</v>
      </c>
      <c r="D290" s="1">
        <v>46072</v>
      </c>
    </row>
    <row r="291" spans="1:4" x14ac:dyDescent="0.25">
      <c r="A291" t="s">
        <v>1331</v>
      </c>
      <c r="B291" t="s">
        <v>77</v>
      </c>
      <c r="C291">
        <v>25</v>
      </c>
      <c r="D291" s="1">
        <v>46062</v>
      </c>
    </row>
    <row r="292" spans="1:4" x14ac:dyDescent="0.25">
      <c r="A292" t="s">
        <v>1332</v>
      </c>
      <c r="B292" t="s">
        <v>123</v>
      </c>
      <c r="C292">
        <v>17</v>
      </c>
      <c r="D292" s="1">
        <v>46106</v>
      </c>
    </row>
    <row r="293" spans="1:4" x14ac:dyDescent="0.25">
      <c r="A293" t="s">
        <v>1333</v>
      </c>
      <c r="B293" t="s">
        <v>117</v>
      </c>
      <c r="C293">
        <v>26</v>
      </c>
      <c r="D293" s="1">
        <v>46057</v>
      </c>
    </row>
    <row r="294" spans="1:4" x14ac:dyDescent="0.25">
      <c r="A294" t="s">
        <v>1334</v>
      </c>
      <c r="B294" t="s">
        <v>50</v>
      </c>
      <c r="C294">
        <v>4</v>
      </c>
      <c r="D294" s="1">
        <v>46062</v>
      </c>
    </row>
    <row r="295" spans="1:4" x14ac:dyDescent="0.25">
      <c r="A295" t="s">
        <v>1335</v>
      </c>
      <c r="B295" t="s">
        <v>96</v>
      </c>
      <c r="C295">
        <v>12</v>
      </c>
      <c r="D295" s="1">
        <v>46045</v>
      </c>
    </row>
    <row r="296" spans="1:4" x14ac:dyDescent="0.25">
      <c r="A296" t="s">
        <v>1336</v>
      </c>
      <c r="B296" t="s">
        <v>107</v>
      </c>
      <c r="C296">
        <v>12</v>
      </c>
      <c r="D296" s="1">
        <v>46042</v>
      </c>
    </row>
    <row r="297" spans="1:4" x14ac:dyDescent="0.25">
      <c r="A297" t="s">
        <v>1337</v>
      </c>
      <c r="B297" t="s">
        <v>104</v>
      </c>
      <c r="C297">
        <v>27</v>
      </c>
      <c r="D297" s="1">
        <v>46046</v>
      </c>
    </row>
    <row r="298" spans="1:4" x14ac:dyDescent="0.25">
      <c r="A298" t="s">
        <v>1338</v>
      </c>
      <c r="B298" t="s">
        <v>59</v>
      </c>
      <c r="C298">
        <v>4</v>
      </c>
      <c r="D298" s="1">
        <v>46083</v>
      </c>
    </row>
    <row r="299" spans="1:4" x14ac:dyDescent="0.25">
      <c r="A299" t="s">
        <v>1339</v>
      </c>
      <c r="B299" t="s">
        <v>131</v>
      </c>
      <c r="C299">
        <v>24</v>
      </c>
      <c r="D299" s="1">
        <v>46056</v>
      </c>
    </row>
    <row r="300" spans="1:4" x14ac:dyDescent="0.25">
      <c r="A300" t="s">
        <v>1340</v>
      </c>
      <c r="B300" t="s">
        <v>59</v>
      </c>
      <c r="C300">
        <v>26</v>
      </c>
      <c r="D300" s="1">
        <v>46053</v>
      </c>
    </row>
    <row r="301" spans="1:4" x14ac:dyDescent="0.25">
      <c r="A301" t="s">
        <v>1341</v>
      </c>
      <c r="B301" t="s">
        <v>138</v>
      </c>
      <c r="C301">
        <v>19</v>
      </c>
      <c r="D301" s="1">
        <v>46044</v>
      </c>
    </row>
    <row r="302" spans="1:4" x14ac:dyDescent="0.25">
      <c r="A302" t="s">
        <v>1342</v>
      </c>
      <c r="B302" t="s">
        <v>138</v>
      </c>
      <c r="C302">
        <v>9</v>
      </c>
      <c r="D302" s="1">
        <v>46074</v>
      </c>
    </row>
    <row r="303" spans="1:4" x14ac:dyDescent="0.25">
      <c r="A303" t="s">
        <v>1343</v>
      </c>
      <c r="B303" t="s">
        <v>137</v>
      </c>
      <c r="C303">
        <v>5</v>
      </c>
      <c r="D303" s="1">
        <v>46110</v>
      </c>
    </row>
    <row r="304" spans="1:4" x14ac:dyDescent="0.25">
      <c r="A304" t="s">
        <v>1344</v>
      </c>
      <c r="B304" t="s">
        <v>122</v>
      </c>
      <c r="C304">
        <v>13</v>
      </c>
      <c r="D304" s="1">
        <v>46115</v>
      </c>
    </row>
    <row r="305" spans="1:4" x14ac:dyDescent="0.25">
      <c r="A305" t="s">
        <v>1345</v>
      </c>
      <c r="B305" t="s">
        <v>74</v>
      </c>
      <c r="C305">
        <v>21</v>
      </c>
      <c r="D305" s="1">
        <v>46116</v>
      </c>
    </row>
    <row r="306" spans="1:4" x14ac:dyDescent="0.25">
      <c r="A306" t="s">
        <v>1346</v>
      </c>
      <c r="B306" t="s">
        <v>110</v>
      </c>
      <c r="C306">
        <v>24</v>
      </c>
      <c r="D306" s="1">
        <v>46067</v>
      </c>
    </row>
    <row r="307" spans="1:4" x14ac:dyDescent="0.25">
      <c r="A307" t="s">
        <v>1347</v>
      </c>
      <c r="B307" t="s">
        <v>83</v>
      </c>
      <c r="C307">
        <v>9</v>
      </c>
      <c r="D307" s="1">
        <v>46094</v>
      </c>
    </row>
    <row r="308" spans="1:4" x14ac:dyDescent="0.25">
      <c r="A308" t="s">
        <v>1348</v>
      </c>
      <c r="B308" t="s">
        <v>85</v>
      </c>
      <c r="C308">
        <v>23</v>
      </c>
      <c r="D308" s="1">
        <v>46104</v>
      </c>
    </row>
    <row r="309" spans="1:4" x14ac:dyDescent="0.25">
      <c r="A309" t="s">
        <v>1349</v>
      </c>
      <c r="B309" t="s">
        <v>125</v>
      </c>
      <c r="C309">
        <v>4</v>
      </c>
      <c r="D309" s="1">
        <v>46068</v>
      </c>
    </row>
    <row r="310" spans="1:4" x14ac:dyDescent="0.25">
      <c r="A310" t="s">
        <v>1350</v>
      </c>
      <c r="B310" t="s">
        <v>125</v>
      </c>
      <c r="C310">
        <v>3</v>
      </c>
      <c r="D310" s="1">
        <v>46032</v>
      </c>
    </row>
    <row r="311" spans="1:4" x14ac:dyDescent="0.25">
      <c r="A311" t="s">
        <v>1351</v>
      </c>
      <c r="B311" t="s">
        <v>43</v>
      </c>
      <c r="C311">
        <v>23</v>
      </c>
      <c r="D311" s="1">
        <v>46032</v>
      </c>
    </row>
    <row r="312" spans="1:4" x14ac:dyDescent="0.25">
      <c r="A312" t="s">
        <v>1352</v>
      </c>
      <c r="B312" t="s">
        <v>95</v>
      </c>
      <c r="C312">
        <v>27</v>
      </c>
      <c r="D312" s="1">
        <v>46106</v>
      </c>
    </row>
    <row r="313" spans="1:4" x14ac:dyDescent="0.25">
      <c r="A313" t="s">
        <v>1353</v>
      </c>
      <c r="B313" t="s">
        <v>126</v>
      </c>
      <c r="C313">
        <v>15</v>
      </c>
      <c r="D313" s="1">
        <v>46103</v>
      </c>
    </row>
    <row r="314" spans="1:4" x14ac:dyDescent="0.25">
      <c r="A314" t="s">
        <v>1354</v>
      </c>
      <c r="B314" t="s">
        <v>45</v>
      </c>
      <c r="C314">
        <v>17</v>
      </c>
      <c r="D314" s="1">
        <v>46044</v>
      </c>
    </row>
    <row r="315" spans="1:4" x14ac:dyDescent="0.25">
      <c r="A315" t="s">
        <v>1355</v>
      </c>
      <c r="B315" t="s">
        <v>86</v>
      </c>
      <c r="C315">
        <v>18</v>
      </c>
      <c r="D315" s="1">
        <v>46036</v>
      </c>
    </row>
    <row r="316" spans="1:4" x14ac:dyDescent="0.25">
      <c r="A316" t="s">
        <v>1356</v>
      </c>
      <c r="B316" t="s">
        <v>54</v>
      </c>
      <c r="C316">
        <v>20</v>
      </c>
      <c r="D316" s="1">
        <v>46045</v>
      </c>
    </row>
    <row r="317" spans="1:4" x14ac:dyDescent="0.25">
      <c r="A317" t="s">
        <v>1357</v>
      </c>
      <c r="B317" t="s">
        <v>76</v>
      </c>
      <c r="C317">
        <v>19</v>
      </c>
      <c r="D317" s="1">
        <v>46060</v>
      </c>
    </row>
    <row r="318" spans="1:4" x14ac:dyDescent="0.25">
      <c r="A318" t="s">
        <v>1358</v>
      </c>
      <c r="B318" t="s">
        <v>99</v>
      </c>
      <c r="C318">
        <v>18</v>
      </c>
      <c r="D318" s="1">
        <v>46108</v>
      </c>
    </row>
    <row r="319" spans="1:4" x14ac:dyDescent="0.25">
      <c r="A319" t="s">
        <v>1359</v>
      </c>
      <c r="B319" t="s">
        <v>60</v>
      </c>
      <c r="C319">
        <v>14</v>
      </c>
      <c r="D319" s="1">
        <v>46029</v>
      </c>
    </row>
    <row r="320" spans="1:4" x14ac:dyDescent="0.25">
      <c r="A320" t="s">
        <v>1360</v>
      </c>
      <c r="B320" t="s">
        <v>101</v>
      </c>
      <c r="C320">
        <v>22</v>
      </c>
      <c r="D320" s="1">
        <v>46104</v>
      </c>
    </row>
    <row r="321" spans="1:4" x14ac:dyDescent="0.25">
      <c r="A321" t="s">
        <v>1361</v>
      </c>
      <c r="B321" t="s">
        <v>131</v>
      </c>
      <c r="C321">
        <v>10</v>
      </c>
      <c r="D321" s="1">
        <v>46087</v>
      </c>
    </row>
    <row r="322" spans="1:4" x14ac:dyDescent="0.25">
      <c r="A322" t="s">
        <v>1362</v>
      </c>
      <c r="B322" t="s">
        <v>112</v>
      </c>
      <c r="C322">
        <v>1</v>
      </c>
      <c r="D322" s="1">
        <v>46068</v>
      </c>
    </row>
    <row r="323" spans="1:4" x14ac:dyDescent="0.25">
      <c r="A323" t="s">
        <v>1363</v>
      </c>
      <c r="B323" t="s">
        <v>90</v>
      </c>
      <c r="C323">
        <v>9</v>
      </c>
      <c r="D323" s="1">
        <v>46090</v>
      </c>
    </row>
    <row r="324" spans="1:4" x14ac:dyDescent="0.25">
      <c r="A324" t="s">
        <v>1364</v>
      </c>
      <c r="B324" t="s">
        <v>85</v>
      </c>
      <c r="C324">
        <v>28</v>
      </c>
      <c r="D324" s="1">
        <v>46109</v>
      </c>
    </row>
    <row r="325" spans="1:4" x14ac:dyDescent="0.25">
      <c r="A325" t="s">
        <v>1365</v>
      </c>
      <c r="B325" t="s">
        <v>116</v>
      </c>
      <c r="C325">
        <v>21</v>
      </c>
      <c r="D325" s="1">
        <v>46101</v>
      </c>
    </row>
    <row r="326" spans="1:4" x14ac:dyDescent="0.25">
      <c r="A326" t="s">
        <v>1366</v>
      </c>
      <c r="B326" t="s">
        <v>70</v>
      </c>
      <c r="C326">
        <v>1</v>
      </c>
      <c r="D326" s="1">
        <v>46033</v>
      </c>
    </row>
    <row r="327" spans="1:4" x14ac:dyDescent="0.25">
      <c r="A327" t="s">
        <v>1367</v>
      </c>
      <c r="B327" t="s">
        <v>39</v>
      </c>
      <c r="C327">
        <v>25</v>
      </c>
      <c r="D327" s="1">
        <v>46042</v>
      </c>
    </row>
    <row r="328" spans="1:4" x14ac:dyDescent="0.25">
      <c r="A328" t="s">
        <v>1368</v>
      </c>
      <c r="B328" t="s">
        <v>101</v>
      </c>
      <c r="C328">
        <v>30</v>
      </c>
      <c r="D328" s="1">
        <v>46064</v>
      </c>
    </row>
    <row r="329" spans="1:4" x14ac:dyDescent="0.25">
      <c r="A329" t="s">
        <v>1369</v>
      </c>
      <c r="B329" t="s">
        <v>137</v>
      </c>
      <c r="C329">
        <v>21</v>
      </c>
      <c r="D329" s="1">
        <v>46031</v>
      </c>
    </row>
    <row r="330" spans="1:4" x14ac:dyDescent="0.25">
      <c r="A330" t="s">
        <v>1370</v>
      </c>
      <c r="B330" t="s">
        <v>73</v>
      </c>
      <c r="C330">
        <v>23</v>
      </c>
      <c r="D330" s="1">
        <v>46031</v>
      </c>
    </row>
    <row r="331" spans="1:4" x14ac:dyDescent="0.25">
      <c r="A331" t="s">
        <v>1371</v>
      </c>
      <c r="B331" t="s">
        <v>126</v>
      </c>
      <c r="C331">
        <v>3</v>
      </c>
      <c r="D331" s="1">
        <v>46034</v>
      </c>
    </row>
    <row r="332" spans="1:4" x14ac:dyDescent="0.25">
      <c r="A332" t="s">
        <v>1372</v>
      </c>
      <c r="B332" t="s">
        <v>120</v>
      </c>
      <c r="C332">
        <v>30</v>
      </c>
      <c r="D332" s="1">
        <v>46036</v>
      </c>
    </row>
    <row r="333" spans="1:4" x14ac:dyDescent="0.25">
      <c r="A333" t="s">
        <v>1373</v>
      </c>
      <c r="B333" t="s">
        <v>74</v>
      </c>
      <c r="C333">
        <v>25</v>
      </c>
      <c r="D333" s="1">
        <v>46069</v>
      </c>
    </row>
    <row r="334" spans="1:4" x14ac:dyDescent="0.25">
      <c r="A334" t="s">
        <v>1374</v>
      </c>
      <c r="B334" t="s">
        <v>48</v>
      </c>
      <c r="C334">
        <v>30</v>
      </c>
      <c r="D334" s="1">
        <v>46112</v>
      </c>
    </row>
    <row r="335" spans="1:4" x14ac:dyDescent="0.25">
      <c r="A335" t="s">
        <v>1375</v>
      </c>
      <c r="B335" t="s">
        <v>105</v>
      </c>
      <c r="C335">
        <v>22</v>
      </c>
      <c r="D335" s="1">
        <v>46045</v>
      </c>
    </row>
    <row r="336" spans="1:4" x14ac:dyDescent="0.25">
      <c r="A336" t="s">
        <v>1376</v>
      </c>
      <c r="B336" t="s">
        <v>86</v>
      </c>
      <c r="C336">
        <v>30</v>
      </c>
      <c r="D336" s="1">
        <v>46046</v>
      </c>
    </row>
    <row r="337" spans="1:4" x14ac:dyDescent="0.25">
      <c r="A337" t="s">
        <v>1377</v>
      </c>
      <c r="B337" t="s">
        <v>80</v>
      </c>
      <c r="C337">
        <v>14</v>
      </c>
      <c r="D337" s="1">
        <v>46039</v>
      </c>
    </row>
    <row r="338" spans="1:4" x14ac:dyDescent="0.25">
      <c r="A338" t="s">
        <v>1378</v>
      </c>
      <c r="B338" t="s">
        <v>94</v>
      </c>
      <c r="C338">
        <v>16</v>
      </c>
      <c r="D338" s="1">
        <v>46094</v>
      </c>
    </row>
    <row r="339" spans="1:4" x14ac:dyDescent="0.25">
      <c r="A339" t="s">
        <v>1379</v>
      </c>
      <c r="B339" t="s">
        <v>65</v>
      </c>
      <c r="C339">
        <v>9</v>
      </c>
      <c r="D339" s="1">
        <v>46072</v>
      </c>
    </row>
    <row r="340" spans="1:4" x14ac:dyDescent="0.25">
      <c r="A340" t="s">
        <v>1380</v>
      </c>
      <c r="B340" t="s">
        <v>114</v>
      </c>
      <c r="C340">
        <v>3</v>
      </c>
      <c r="D340" s="1">
        <v>46065</v>
      </c>
    </row>
    <row r="341" spans="1:4" x14ac:dyDescent="0.25">
      <c r="A341" t="s">
        <v>1381</v>
      </c>
      <c r="B341" t="s">
        <v>64</v>
      </c>
      <c r="C341">
        <v>8</v>
      </c>
      <c r="D341" s="1">
        <v>46085</v>
      </c>
    </row>
    <row r="342" spans="1:4" x14ac:dyDescent="0.25">
      <c r="A342" t="s">
        <v>1382</v>
      </c>
      <c r="B342" t="s">
        <v>109</v>
      </c>
      <c r="C342">
        <v>17</v>
      </c>
      <c r="D342" s="1">
        <v>46058</v>
      </c>
    </row>
    <row r="343" spans="1:4" x14ac:dyDescent="0.25">
      <c r="A343" t="s">
        <v>1383</v>
      </c>
      <c r="B343" t="s">
        <v>132</v>
      </c>
      <c r="C343">
        <v>20</v>
      </c>
      <c r="D343" s="1">
        <v>46108</v>
      </c>
    </row>
    <row r="344" spans="1:4" x14ac:dyDescent="0.25">
      <c r="A344" t="s">
        <v>1384</v>
      </c>
      <c r="B344" t="s">
        <v>128</v>
      </c>
      <c r="C344">
        <v>13</v>
      </c>
      <c r="D344" s="1">
        <v>46118</v>
      </c>
    </row>
    <row r="345" spans="1:4" x14ac:dyDescent="0.25">
      <c r="A345" t="s">
        <v>1385</v>
      </c>
      <c r="B345" t="s">
        <v>42</v>
      </c>
      <c r="C345">
        <v>17</v>
      </c>
      <c r="D345" s="1">
        <v>46066</v>
      </c>
    </row>
    <row r="346" spans="1:4" x14ac:dyDescent="0.25">
      <c r="A346" t="s">
        <v>1386</v>
      </c>
      <c r="B346" t="s">
        <v>54</v>
      </c>
      <c r="C346">
        <v>16</v>
      </c>
      <c r="D346" s="1">
        <v>46115</v>
      </c>
    </row>
    <row r="347" spans="1:4" x14ac:dyDescent="0.25">
      <c r="A347" t="s">
        <v>1387</v>
      </c>
      <c r="B347" t="s">
        <v>128</v>
      </c>
      <c r="C347">
        <v>28</v>
      </c>
      <c r="D347" s="1">
        <v>46100</v>
      </c>
    </row>
    <row r="348" spans="1:4" x14ac:dyDescent="0.25">
      <c r="A348" t="s">
        <v>1388</v>
      </c>
      <c r="B348" t="s">
        <v>78</v>
      </c>
      <c r="C348">
        <v>11</v>
      </c>
      <c r="D348" s="1">
        <v>46075</v>
      </c>
    </row>
    <row r="349" spans="1:4" x14ac:dyDescent="0.25">
      <c r="A349" t="s">
        <v>1389</v>
      </c>
      <c r="B349" t="s">
        <v>99</v>
      </c>
      <c r="C349">
        <v>25</v>
      </c>
      <c r="D349" s="1">
        <v>46044</v>
      </c>
    </row>
    <row r="350" spans="1:4" x14ac:dyDescent="0.25">
      <c r="A350" t="s">
        <v>1390</v>
      </c>
      <c r="B350" t="s">
        <v>108</v>
      </c>
      <c r="C350">
        <v>9</v>
      </c>
      <c r="D350" s="1">
        <v>46092</v>
      </c>
    </row>
    <row r="351" spans="1:4" x14ac:dyDescent="0.25">
      <c r="A351" t="s">
        <v>1391</v>
      </c>
      <c r="B351" t="s">
        <v>55</v>
      </c>
      <c r="C351">
        <v>7</v>
      </c>
      <c r="D351" s="1">
        <v>46062</v>
      </c>
    </row>
    <row r="352" spans="1:4" x14ac:dyDescent="0.25">
      <c r="A352" t="s">
        <v>1392</v>
      </c>
      <c r="B352" t="s">
        <v>58</v>
      </c>
      <c r="C352">
        <v>23</v>
      </c>
      <c r="D352" s="1">
        <v>46057</v>
      </c>
    </row>
    <row r="353" spans="1:4" x14ac:dyDescent="0.25">
      <c r="A353" t="s">
        <v>1393</v>
      </c>
      <c r="B353" t="s">
        <v>108</v>
      </c>
      <c r="C353">
        <v>6</v>
      </c>
      <c r="D353" s="1">
        <v>46070</v>
      </c>
    </row>
    <row r="354" spans="1:4" x14ac:dyDescent="0.25">
      <c r="A354" t="s">
        <v>1394</v>
      </c>
      <c r="B354" t="s">
        <v>51</v>
      </c>
      <c r="C354">
        <v>10</v>
      </c>
      <c r="D354" s="1">
        <v>46043</v>
      </c>
    </row>
    <row r="355" spans="1:4" x14ac:dyDescent="0.25">
      <c r="A355" t="s">
        <v>1395</v>
      </c>
      <c r="B355" t="s">
        <v>59</v>
      </c>
      <c r="C355">
        <v>20</v>
      </c>
      <c r="D355" s="1">
        <v>46068</v>
      </c>
    </row>
    <row r="356" spans="1:4" x14ac:dyDescent="0.25">
      <c r="A356" t="s">
        <v>1396</v>
      </c>
      <c r="B356" t="s">
        <v>90</v>
      </c>
      <c r="C356">
        <v>12</v>
      </c>
      <c r="D356" s="1">
        <v>46053</v>
      </c>
    </row>
    <row r="357" spans="1:4" x14ac:dyDescent="0.25">
      <c r="A357" t="s">
        <v>1397</v>
      </c>
      <c r="B357" t="s">
        <v>76</v>
      </c>
      <c r="C357">
        <v>2</v>
      </c>
      <c r="D357" s="1">
        <v>46064</v>
      </c>
    </row>
    <row r="358" spans="1:4" x14ac:dyDescent="0.25">
      <c r="A358" t="s">
        <v>1398</v>
      </c>
      <c r="B358" t="s">
        <v>111</v>
      </c>
      <c r="C358">
        <v>23</v>
      </c>
      <c r="D358" s="1">
        <v>46030</v>
      </c>
    </row>
    <row r="359" spans="1:4" x14ac:dyDescent="0.25">
      <c r="A359" t="s">
        <v>1399</v>
      </c>
      <c r="B359" t="s">
        <v>48</v>
      </c>
      <c r="C359">
        <v>19</v>
      </c>
      <c r="D359" s="1">
        <v>46089</v>
      </c>
    </row>
    <row r="360" spans="1:4" x14ac:dyDescent="0.25">
      <c r="A360" t="s">
        <v>1400</v>
      </c>
      <c r="B360" t="s">
        <v>104</v>
      </c>
      <c r="C360">
        <v>13</v>
      </c>
      <c r="D360" s="1">
        <v>46093</v>
      </c>
    </row>
    <row r="361" spans="1:4" x14ac:dyDescent="0.25">
      <c r="A361" t="s">
        <v>1401</v>
      </c>
      <c r="B361" t="s">
        <v>100</v>
      </c>
      <c r="C361">
        <v>1</v>
      </c>
      <c r="D361" s="1">
        <v>46112</v>
      </c>
    </row>
    <row r="362" spans="1:4" x14ac:dyDescent="0.25">
      <c r="A362" t="s">
        <v>1402</v>
      </c>
      <c r="B362" t="s">
        <v>101</v>
      </c>
      <c r="C362">
        <v>25</v>
      </c>
      <c r="D362" s="1">
        <v>46080</v>
      </c>
    </row>
    <row r="363" spans="1:4" x14ac:dyDescent="0.25">
      <c r="A363" t="s">
        <v>1403</v>
      </c>
      <c r="B363" t="s">
        <v>138</v>
      </c>
      <c r="C363">
        <v>26</v>
      </c>
      <c r="D363" s="1">
        <v>46105</v>
      </c>
    </row>
    <row r="364" spans="1:4" x14ac:dyDescent="0.25">
      <c r="A364" t="s">
        <v>1404</v>
      </c>
      <c r="B364" t="s">
        <v>107</v>
      </c>
      <c r="C364">
        <v>25</v>
      </c>
      <c r="D364" s="1">
        <v>46075</v>
      </c>
    </row>
    <row r="365" spans="1:4" x14ac:dyDescent="0.25">
      <c r="A365" t="s">
        <v>1405</v>
      </c>
      <c r="B365" t="s">
        <v>134</v>
      </c>
      <c r="C365">
        <v>4</v>
      </c>
      <c r="D365" s="1">
        <v>46067</v>
      </c>
    </row>
    <row r="366" spans="1:4" x14ac:dyDescent="0.25">
      <c r="A366" t="s">
        <v>1406</v>
      </c>
      <c r="B366" t="s">
        <v>133</v>
      </c>
      <c r="C366">
        <v>20</v>
      </c>
      <c r="D366" s="1">
        <v>46116</v>
      </c>
    </row>
    <row r="367" spans="1:4" x14ac:dyDescent="0.25">
      <c r="A367" t="s">
        <v>1407</v>
      </c>
      <c r="B367" t="s">
        <v>90</v>
      </c>
      <c r="C367">
        <v>15</v>
      </c>
      <c r="D367" s="1">
        <v>46033</v>
      </c>
    </row>
    <row r="368" spans="1:4" x14ac:dyDescent="0.25">
      <c r="A368" t="s">
        <v>1408</v>
      </c>
      <c r="B368" t="s">
        <v>71</v>
      </c>
      <c r="C368">
        <v>22</v>
      </c>
      <c r="D368" s="1">
        <v>46109</v>
      </c>
    </row>
    <row r="369" spans="1:4" x14ac:dyDescent="0.25">
      <c r="A369" t="s">
        <v>1409</v>
      </c>
      <c r="B369" t="s">
        <v>69</v>
      </c>
      <c r="C369">
        <v>17</v>
      </c>
      <c r="D369" s="1">
        <v>46043</v>
      </c>
    </row>
    <row r="370" spans="1:4" x14ac:dyDescent="0.25">
      <c r="A370" t="s">
        <v>1410</v>
      </c>
      <c r="B370" t="s">
        <v>105</v>
      </c>
      <c r="C370">
        <v>5</v>
      </c>
      <c r="D370" s="1">
        <v>46039</v>
      </c>
    </row>
    <row r="371" spans="1:4" x14ac:dyDescent="0.25">
      <c r="A371" t="s">
        <v>1411</v>
      </c>
      <c r="B371" t="s">
        <v>94</v>
      </c>
      <c r="C371">
        <v>27</v>
      </c>
      <c r="D371" s="1">
        <v>46094</v>
      </c>
    </row>
    <row r="372" spans="1:4" x14ac:dyDescent="0.25">
      <c r="A372" t="s">
        <v>1412</v>
      </c>
      <c r="B372" t="s">
        <v>96</v>
      </c>
      <c r="C372">
        <v>11</v>
      </c>
      <c r="D372" s="1">
        <v>46050</v>
      </c>
    </row>
    <row r="373" spans="1:4" x14ac:dyDescent="0.25">
      <c r="A373" t="s">
        <v>1413</v>
      </c>
      <c r="B373" t="s">
        <v>87</v>
      </c>
      <c r="C373">
        <v>27</v>
      </c>
      <c r="D373" s="1">
        <v>46112</v>
      </c>
    </row>
    <row r="374" spans="1:4" x14ac:dyDescent="0.25">
      <c r="A374" t="s">
        <v>1414</v>
      </c>
      <c r="B374" t="s">
        <v>72</v>
      </c>
      <c r="C374">
        <v>3</v>
      </c>
      <c r="D374" s="1">
        <v>46088</v>
      </c>
    </row>
    <row r="375" spans="1:4" x14ac:dyDescent="0.25">
      <c r="A375" t="s">
        <v>1415</v>
      </c>
      <c r="B375" t="s">
        <v>132</v>
      </c>
      <c r="C375">
        <v>5</v>
      </c>
      <c r="D375" s="1">
        <v>46035</v>
      </c>
    </row>
    <row r="376" spans="1:4" x14ac:dyDescent="0.25">
      <c r="A376" t="s">
        <v>1416</v>
      </c>
      <c r="B376" t="s">
        <v>135</v>
      </c>
      <c r="C376">
        <v>22</v>
      </c>
      <c r="D376" s="1">
        <v>46107</v>
      </c>
    </row>
    <row r="377" spans="1:4" x14ac:dyDescent="0.25">
      <c r="A377" t="s">
        <v>1417</v>
      </c>
      <c r="B377" t="s">
        <v>90</v>
      </c>
      <c r="C377">
        <v>12</v>
      </c>
      <c r="D377" s="1">
        <v>46032</v>
      </c>
    </row>
    <row r="378" spans="1:4" x14ac:dyDescent="0.25">
      <c r="A378" t="s">
        <v>1418</v>
      </c>
      <c r="B378" t="s">
        <v>112</v>
      </c>
      <c r="C378">
        <v>7</v>
      </c>
      <c r="D378" s="1">
        <v>46050</v>
      </c>
    </row>
    <row r="379" spans="1:4" x14ac:dyDescent="0.25">
      <c r="A379" t="s">
        <v>1419</v>
      </c>
      <c r="B379" t="s">
        <v>47</v>
      </c>
      <c r="C379">
        <v>28</v>
      </c>
      <c r="D379" s="1">
        <v>46084</v>
      </c>
    </row>
    <row r="380" spans="1:4" x14ac:dyDescent="0.25">
      <c r="A380" t="s">
        <v>1420</v>
      </c>
      <c r="B380" t="s">
        <v>46</v>
      </c>
      <c r="C380">
        <v>27</v>
      </c>
      <c r="D380" s="1">
        <v>46079</v>
      </c>
    </row>
    <row r="381" spans="1:4" x14ac:dyDescent="0.25">
      <c r="A381" t="s">
        <v>1421</v>
      </c>
      <c r="B381" t="s">
        <v>119</v>
      </c>
      <c r="C381">
        <v>28</v>
      </c>
      <c r="D381" s="1">
        <v>46096</v>
      </c>
    </row>
    <row r="382" spans="1:4" x14ac:dyDescent="0.25">
      <c r="A382" t="s">
        <v>1422</v>
      </c>
      <c r="B382" t="s">
        <v>67</v>
      </c>
      <c r="C382">
        <v>10</v>
      </c>
      <c r="D382" s="1">
        <v>46048</v>
      </c>
    </row>
    <row r="383" spans="1:4" x14ac:dyDescent="0.25">
      <c r="A383" t="s">
        <v>1423</v>
      </c>
      <c r="B383" t="s">
        <v>127</v>
      </c>
      <c r="C383">
        <v>17</v>
      </c>
      <c r="D383" s="1">
        <v>46042</v>
      </c>
    </row>
    <row r="384" spans="1:4" x14ac:dyDescent="0.25">
      <c r="A384" t="s">
        <v>1424</v>
      </c>
      <c r="B384" t="s">
        <v>78</v>
      </c>
      <c r="C384">
        <v>30</v>
      </c>
      <c r="D384" s="1">
        <v>46061</v>
      </c>
    </row>
    <row r="385" spans="1:4" x14ac:dyDescent="0.25">
      <c r="A385" t="s">
        <v>1425</v>
      </c>
      <c r="B385" t="s">
        <v>33</v>
      </c>
      <c r="C385">
        <v>4</v>
      </c>
      <c r="D385" s="1">
        <v>46101</v>
      </c>
    </row>
    <row r="386" spans="1:4" x14ac:dyDescent="0.25">
      <c r="A386" t="s">
        <v>1426</v>
      </c>
      <c r="B386" t="s">
        <v>74</v>
      </c>
      <c r="C386">
        <v>1</v>
      </c>
      <c r="D386" s="1">
        <v>46060</v>
      </c>
    </row>
    <row r="387" spans="1:4" x14ac:dyDescent="0.25">
      <c r="A387" t="s">
        <v>1427</v>
      </c>
      <c r="B387" t="s">
        <v>112</v>
      </c>
      <c r="C387">
        <v>28</v>
      </c>
      <c r="D387" s="1">
        <v>46036</v>
      </c>
    </row>
    <row r="388" spans="1:4" x14ac:dyDescent="0.25">
      <c r="A388" t="s">
        <v>1428</v>
      </c>
      <c r="B388" t="s">
        <v>125</v>
      </c>
      <c r="C388">
        <v>25</v>
      </c>
      <c r="D388" s="1">
        <v>46109</v>
      </c>
    </row>
    <row r="389" spans="1:4" x14ac:dyDescent="0.25">
      <c r="A389" t="s">
        <v>1429</v>
      </c>
      <c r="B389" t="s">
        <v>67</v>
      </c>
      <c r="C389">
        <v>11</v>
      </c>
      <c r="D389" s="1">
        <v>46033</v>
      </c>
    </row>
    <row r="390" spans="1:4" x14ac:dyDescent="0.25">
      <c r="A390" t="s">
        <v>1430</v>
      </c>
      <c r="B390" t="s">
        <v>77</v>
      </c>
      <c r="C390">
        <v>17</v>
      </c>
      <c r="D390" s="1">
        <v>46074</v>
      </c>
    </row>
    <row r="391" spans="1:4" x14ac:dyDescent="0.25">
      <c r="A391" t="s">
        <v>1431</v>
      </c>
      <c r="B391" t="s">
        <v>61</v>
      </c>
      <c r="C391">
        <v>18</v>
      </c>
      <c r="D391" s="1">
        <v>46064</v>
      </c>
    </row>
    <row r="392" spans="1:4" x14ac:dyDescent="0.25">
      <c r="A392" t="s">
        <v>1432</v>
      </c>
      <c r="B392" t="s">
        <v>39</v>
      </c>
      <c r="C392">
        <v>25</v>
      </c>
      <c r="D392" s="1">
        <v>46032</v>
      </c>
    </row>
    <row r="393" spans="1:4" x14ac:dyDescent="0.25">
      <c r="A393" t="s">
        <v>1433</v>
      </c>
      <c r="B393" t="s">
        <v>94</v>
      </c>
      <c r="C393">
        <v>19</v>
      </c>
      <c r="D393" s="1">
        <v>46094</v>
      </c>
    </row>
    <row r="394" spans="1:4" x14ac:dyDescent="0.25">
      <c r="A394" t="s">
        <v>1434</v>
      </c>
      <c r="B394" t="s">
        <v>98</v>
      </c>
      <c r="C394">
        <v>6</v>
      </c>
      <c r="D394" s="1">
        <v>46087</v>
      </c>
    </row>
    <row r="395" spans="1:4" x14ac:dyDescent="0.25">
      <c r="A395" t="s">
        <v>1435</v>
      </c>
      <c r="B395" t="s">
        <v>109</v>
      </c>
      <c r="C395">
        <v>27</v>
      </c>
      <c r="D395" s="1">
        <v>46039</v>
      </c>
    </row>
    <row r="396" spans="1:4" x14ac:dyDescent="0.25">
      <c r="A396" t="s">
        <v>1436</v>
      </c>
      <c r="B396" t="s">
        <v>37</v>
      </c>
      <c r="C396">
        <v>18</v>
      </c>
      <c r="D396" s="1">
        <v>46094</v>
      </c>
    </row>
    <row r="397" spans="1:4" x14ac:dyDescent="0.25">
      <c r="A397" t="s">
        <v>1437</v>
      </c>
      <c r="B397" t="s">
        <v>92</v>
      </c>
      <c r="C397">
        <v>29</v>
      </c>
      <c r="D397" s="1">
        <v>46115</v>
      </c>
    </row>
    <row r="398" spans="1:4" x14ac:dyDescent="0.25">
      <c r="A398" t="s">
        <v>1438</v>
      </c>
      <c r="B398" t="s">
        <v>107</v>
      </c>
      <c r="C398">
        <v>30</v>
      </c>
      <c r="D398" s="1">
        <v>46090</v>
      </c>
    </row>
    <row r="399" spans="1:4" x14ac:dyDescent="0.25">
      <c r="A399" t="s">
        <v>1439</v>
      </c>
      <c r="B399" t="s">
        <v>89</v>
      </c>
      <c r="C399">
        <v>22</v>
      </c>
      <c r="D399" s="1">
        <v>46056</v>
      </c>
    </row>
    <row r="400" spans="1:4" x14ac:dyDescent="0.25">
      <c r="A400" t="s">
        <v>1440</v>
      </c>
      <c r="B400" t="s">
        <v>82</v>
      </c>
      <c r="C400">
        <v>3</v>
      </c>
      <c r="D400" s="1">
        <v>46052</v>
      </c>
    </row>
    <row r="401" spans="1:4" x14ac:dyDescent="0.25">
      <c r="A401" t="s">
        <v>1441</v>
      </c>
      <c r="B401" t="s">
        <v>75</v>
      </c>
      <c r="C401">
        <v>4</v>
      </c>
      <c r="D401" s="1">
        <v>46041</v>
      </c>
    </row>
    <row r="402" spans="1:4" x14ac:dyDescent="0.25">
      <c r="A402" t="s">
        <v>1442</v>
      </c>
      <c r="B402" t="s">
        <v>123</v>
      </c>
      <c r="C402">
        <v>20</v>
      </c>
      <c r="D402" s="1">
        <v>46118</v>
      </c>
    </row>
    <row r="403" spans="1:4" x14ac:dyDescent="0.25">
      <c r="A403" t="s">
        <v>1443</v>
      </c>
      <c r="B403" t="s">
        <v>117</v>
      </c>
      <c r="C403">
        <v>16</v>
      </c>
      <c r="D403" s="1">
        <v>46034</v>
      </c>
    </row>
    <row r="404" spans="1:4" x14ac:dyDescent="0.25">
      <c r="A404" t="s">
        <v>1444</v>
      </c>
      <c r="B404" t="s">
        <v>60</v>
      </c>
      <c r="C404">
        <v>25</v>
      </c>
      <c r="D404" s="1">
        <v>46069</v>
      </c>
    </row>
    <row r="405" spans="1:4" x14ac:dyDescent="0.25">
      <c r="A405" t="s">
        <v>1445</v>
      </c>
      <c r="B405" t="s">
        <v>76</v>
      </c>
      <c r="C405">
        <v>30</v>
      </c>
      <c r="D405" s="1">
        <v>46040</v>
      </c>
    </row>
    <row r="406" spans="1:4" x14ac:dyDescent="0.25">
      <c r="A406" t="s">
        <v>1446</v>
      </c>
      <c r="B406" t="s">
        <v>80</v>
      </c>
      <c r="C406">
        <v>5</v>
      </c>
      <c r="D406" s="1">
        <v>46033</v>
      </c>
    </row>
    <row r="407" spans="1:4" x14ac:dyDescent="0.25">
      <c r="A407" t="s">
        <v>1447</v>
      </c>
      <c r="B407" t="s">
        <v>73</v>
      </c>
      <c r="C407">
        <v>3</v>
      </c>
      <c r="D407" s="1">
        <v>46034</v>
      </c>
    </row>
    <row r="408" spans="1:4" x14ac:dyDescent="0.25">
      <c r="A408" t="s">
        <v>1448</v>
      </c>
      <c r="B408" t="s">
        <v>69</v>
      </c>
      <c r="C408">
        <v>15</v>
      </c>
      <c r="D408" s="1">
        <v>46050</v>
      </c>
    </row>
    <row r="409" spans="1:4" x14ac:dyDescent="0.25">
      <c r="A409" t="s">
        <v>1449</v>
      </c>
      <c r="B409" t="s">
        <v>123</v>
      </c>
      <c r="C409">
        <v>20</v>
      </c>
      <c r="D409" s="1">
        <v>46112</v>
      </c>
    </row>
    <row r="410" spans="1:4" x14ac:dyDescent="0.25">
      <c r="A410" t="s">
        <v>1450</v>
      </c>
      <c r="B410" t="s">
        <v>112</v>
      </c>
      <c r="C410">
        <v>22</v>
      </c>
      <c r="D410" s="1">
        <v>46057</v>
      </c>
    </row>
    <row r="411" spans="1:4" x14ac:dyDescent="0.25">
      <c r="A411" t="s">
        <v>1451</v>
      </c>
      <c r="B411" t="s">
        <v>41</v>
      </c>
      <c r="C411">
        <v>5</v>
      </c>
      <c r="D411" s="1">
        <v>46117</v>
      </c>
    </row>
    <row r="412" spans="1:4" x14ac:dyDescent="0.25">
      <c r="A412" t="s">
        <v>1452</v>
      </c>
      <c r="B412" t="s">
        <v>65</v>
      </c>
      <c r="C412">
        <v>27</v>
      </c>
      <c r="D412" s="1">
        <v>46117</v>
      </c>
    </row>
    <row r="413" spans="1:4" x14ac:dyDescent="0.25">
      <c r="A413" t="s">
        <v>1453</v>
      </c>
      <c r="B413" t="s">
        <v>55</v>
      </c>
      <c r="C413">
        <v>15</v>
      </c>
      <c r="D413" s="1">
        <v>46070</v>
      </c>
    </row>
    <row r="414" spans="1:4" x14ac:dyDescent="0.25">
      <c r="A414" t="s">
        <v>1454</v>
      </c>
      <c r="B414" t="s">
        <v>59</v>
      </c>
      <c r="C414">
        <v>11</v>
      </c>
      <c r="D414" s="1">
        <v>46031</v>
      </c>
    </row>
    <row r="415" spans="1:4" x14ac:dyDescent="0.25">
      <c r="A415" t="s">
        <v>1455</v>
      </c>
      <c r="B415" t="s">
        <v>136</v>
      </c>
      <c r="C415">
        <v>24</v>
      </c>
      <c r="D415" s="1">
        <v>46064</v>
      </c>
    </row>
    <row r="416" spans="1:4" x14ac:dyDescent="0.25">
      <c r="A416" t="s">
        <v>1456</v>
      </c>
      <c r="B416" t="s">
        <v>107</v>
      </c>
      <c r="C416">
        <v>26</v>
      </c>
      <c r="D416" s="1">
        <v>46060</v>
      </c>
    </row>
    <row r="417" spans="1:4" x14ac:dyDescent="0.25">
      <c r="A417" t="s">
        <v>1457</v>
      </c>
      <c r="B417" t="s">
        <v>79</v>
      </c>
      <c r="C417">
        <v>9</v>
      </c>
      <c r="D417" s="1">
        <v>46052</v>
      </c>
    </row>
    <row r="418" spans="1:4" x14ac:dyDescent="0.25">
      <c r="A418" t="s">
        <v>1458</v>
      </c>
      <c r="B418" t="s">
        <v>139</v>
      </c>
      <c r="C418">
        <v>29</v>
      </c>
      <c r="D418" s="1">
        <v>46053</v>
      </c>
    </row>
    <row r="419" spans="1:4" x14ac:dyDescent="0.25">
      <c r="A419" t="s">
        <v>1459</v>
      </c>
      <c r="B419" t="s">
        <v>110</v>
      </c>
      <c r="C419">
        <v>9</v>
      </c>
      <c r="D419" s="1">
        <v>46111</v>
      </c>
    </row>
    <row r="420" spans="1:4" x14ac:dyDescent="0.25">
      <c r="A420" t="s">
        <v>1460</v>
      </c>
      <c r="B420" t="s">
        <v>135</v>
      </c>
      <c r="C420">
        <v>19</v>
      </c>
      <c r="D420" s="1">
        <v>46099</v>
      </c>
    </row>
    <row r="421" spans="1:4" x14ac:dyDescent="0.25">
      <c r="A421" t="s">
        <v>1461</v>
      </c>
      <c r="B421" t="s">
        <v>81</v>
      </c>
      <c r="C421">
        <v>1</v>
      </c>
      <c r="D421" s="1">
        <v>46030</v>
      </c>
    </row>
    <row r="422" spans="1:4" x14ac:dyDescent="0.25">
      <c r="A422" t="s">
        <v>1462</v>
      </c>
      <c r="B422" t="s">
        <v>132</v>
      </c>
      <c r="C422">
        <v>17</v>
      </c>
      <c r="D422" s="1">
        <v>46042</v>
      </c>
    </row>
    <row r="423" spans="1:4" x14ac:dyDescent="0.25">
      <c r="A423" t="s">
        <v>1463</v>
      </c>
      <c r="B423" t="s">
        <v>126</v>
      </c>
      <c r="C423">
        <v>7</v>
      </c>
      <c r="D423" s="1">
        <v>46083</v>
      </c>
    </row>
    <row r="424" spans="1:4" x14ac:dyDescent="0.25">
      <c r="A424" t="s">
        <v>1464</v>
      </c>
      <c r="B424" t="s">
        <v>127</v>
      </c>
      <c r="C424">
        <v>25</v>
      </c>
      <c r="D424" s="1">
        <v>46086</v>
      </c>
    </row>
    <row r="425" spans="1:4" x14ac:dyDescent="0.25">
      <c r="A425" t="s">
        <v>1465</v>
      </c>
      <c r="B425" t="s">
        <v>42</v>
      </c>
      <c r="C425">
        <v>7</v>
      </c>
      <c r="D425" s="1">
        <v>46091</v>
      </c>
    </row>
    <row r="426" spans="1:4" x14ac:dyDescent="0.25">
      <c r="A426" t="s">
        <v>1466</v>
      </c>
      <c r="B426" t="s">
        <v>39</v>
      </c>
      <c r="C426">
        <v>9</v>
      </c>
      <c r="D426" s="1">
        <v>46059</v>
      </c>
    </row>
    <row r="427" spans="1:4" x14ac:dyDescent="0.25">
      <c r="A427" t="s">
        <v>1467</v>
      </c>
      <c r="B427" t="s">
        <v>100</v>
      </c>
      <c r="C427">
        <v>28</v>
      </c>
      <c r="D427" s="1">
        <v>46074</v>
      </c>
    </row>
    <row r="428" spans="1:4" x14ac:dyDescent="0.25">
      <c r="A428" t="s">
        <v>1468</v>
      </c>
      <c r="B428" t="s">
        <v>137</v>
      </c>
      <c r="C428">
        <v>18</v>
      </c>
      <c r="D428" s="1">
        <v>46034</v>
      </c>
    </row>
    <row r="429" spans="1:4" x14ac:dyDescent="0.25">
      <c r="A429" t="s">
        <v>1469</v>
      </c>
      <c r="B429" t="s">
        <v>139</v>
      </c>
      <c r="C429">
        <v>6</v>
      </c>
      <c r="D429" s="1">
        <v>46092</v>
      </c>
    </row>
    <row r="430" spans="1:4" x14ac:dyDescent="0.25">
      <c r="A430" t="s">
        <v>1470</v>
      </c>
      <c r="B430" t="s">
        <v>138</v>
      </c>
      <c r="C430">
        <v>28</v>
      </c>
      <c r="D430" s="1">
        <v>46042</v>
      </c>
    </row>
    <row r="431" spans="1:4" x14ac:dyDescent="0.25">
      <c r="A431" t="s">
        <v>1471</v>
      </c>
      <c r="B431" t="s">
        <v>69</v>
      </c>
      <c r="C431">
        <v>22</v>
      </c>
      <c r="D431" s="1">
        <v>46107</v>
      </c>
    </row>
    <row r="432" spans="1:4" x14ac:dyDescent="0.25">
      <c r="A432" t="s">
        <v>1472</v>
      </c>
      <c r="B432" t="s">
        <v>131</v>
      </c>
      <c r="C432">
        <v>20</v>
      </c>
      <c r="D432" s="1">
        <v>46066</v>
      </c>
    </row>
    <row r="433" spans="1:4" x14ac:dyDescent="0.25">
      <c r="A433" t="s">
        <v>1473</v>
      </c>
      <c r="B433" t="s">
        <v>123</v>
      </c>
      <c r="C433">
        <v>24</v>
      </c>
      <c r="D433" s="1">
        <v>46050</v>
      </c>
    </row>
    <row r="434" spans="1:4" x14ac:dyDescent="0.25">
      <c r="A434" t="s">
        <v>1474</v>
      </c>
      <c r="B434" t="s">
        <v>96</v>
      </c>
      <c r="C434">
        <v>29</v>
      </c>
      <c r="D434" s="1">
        <v>46050</v>
      </c>
    </row>
    <row r="435" spans="1:4" x14ac:dyDescent="0.25">
      <c r="A435" t="s">
        <v>1475</v>
      </c>
      <c r="B435" t="s">
        <v>83</v>
      </c>
      <c r="C435">
        <v>28</v>
      </c>
      <c r="D435" s="1">
        <v>46102</v>
      </c>
    </row>
    <row r="436" spans="1:4" x14ac:dyDescent="0.25">
      <c r="A436" t="s">
        <v>1476</v>
      </c>
      <c r="B436" t="s">
        <v>138</v>
      </c>
      <c r="C436">
        <v>19</v>
      </c>
      <c r="D436" s="1">
        <v>46042</v>
      </c>
    </row>
    <row r="437" spans="1:4" x14ac:dyDescent="0.25">
      <c r="A437" t="s">
        <v>1477</v>
      </c>
      <c r="B437" t="s">
        <v>135</v>
      </c>
      <c r="C437">
        <v>6</v>
      </c>
      <c r="D437" s="1">
        <v>46110</v>
      </c>
    </row>
    <row r="438" spans="1:4" x14ac:dyDescent="0.25">
      <c r="A438" t="s">
        <v>1478</v>
      </c>
      <c r="B438" t="s">
        <v>53</v>
      </c>
      <c r="C438">
        <v>26</v>
      </c>
      <c r="D438" s="1">
        <v>46060</v>
      </c>
    </row>
    <row r="439" spans="1:4" x14ac:dyDescent="0.25">
      <c r="A439" t="s">
        <v>1479</v>
      </c>
      <c r="B439" t="s">
        <v>119</v>
      </c>
      <c r="C439">
        <v>7</v>
      </c>
      <c r="D439" s="1">
        <v>46079</v>
      </c>
    </row>
    <row r="440" spans="1:4" x14ac:dyDescent="0.25">
      <c r="A440" t="s">
        <v>1480</v>
      </c>
      <c r="B440" t="s">
        <v>129</v>
      </c>
      <c r="C440">
        <v>25</v>
      </c>
      <c r="D440" s="1">
        <v>46077</v>
      </c>
    </row>
    <row r="441" spans="1:4" x14ac:dyDescent="0.25">
      <c r="A441" t="s">
        <v>1481</v>
      </c>
      <c r="B441" t="s">
        <v>111</v>
      </c>
      <c r="C441">
        <v>26</v>
      </c>
      <c r="D441" s="1">
        <v>46065</v>
      </c>
    </row>
    <row r="442" spans="1:4" x14ac:dyDescent="0.25">
      <c r="A442" t="s">
        <v>1482</v>
      </c>
      <c r="B442" t="s">
        <v>116</v>
      </c>
      <c r="C442">
        <v>10</v>
      </c>
      <c r="D442" s="1">
        <v>46112</v>
      </c>
    </row>
    <row r="443" spans="1:4" x14ac:dyDescent="0.25">
      <c r="A443" t="s">
        <v>1483</v>
      </c>
      <c r="B443" t="s">
        <v>33</v>
      </c>
      <c r="C443">
        <v>18</v>
      </c>
      <c r="D443" s="1">
        <v>46087</v>
      </c>
    </row>
    <row r="444" spans="1:4" x14ac:dyDescent="0.25">
      <c r="A444" t="s">
        <v>1484</v>
      </c>
      <c r="B444" t="s">
        <v>76</v>
      </c>
      <c r="C444">
        <v>4</v>
      </c>
      <c r="D444" s="1">
        <v>46114</v>
      </c>
    </row>
    <row r="445" spans="1:4" x14ac:dyDescent="0.25">
      <c r="A445" t="s">
        <v>1485</v>
      </c>
      <c r="B445" t="s">
        <v>139</v>
      </c>
      <c r="C445">
        <v>10</v>
      </c>
      <c r="D445" s="1">
        <v>46076</v>
      </c>
    </row>
    <row r="446" spans="1:4" x14ac:dyDescent="0.25">
      <c r="A446" t="s">
        <v>1486</v>
      </c>
      <c r="B446" t="s">
        <v>63</v>
      </c>
      <c r="C446">
        <v>15</v>
      </c>
      <c r="D446" s="1">
        <v>46081</v>
      </c>
    </row>
    <row r="447" spans="1:4" x14ac:dyDescent="0.25">
      <c r="A447" t="s">
        <v>1487</v>
      </c>
      <c r="B447" t="s">
        <v>77</v>
      </c>
      <c r="C447">
        <v>5</v>
      </c>
      <c r="D447" s="1">
        <v>46087</v>
      </c>
    </row>
    <row r="448" spans="1:4" x14ac:dyDescent="0.25">
      <c r="A448" t="s">
        <v>1488</v>
      </c>
      <c r="B448" t="s">
        <v>56</v>
      </c>
      <c r="C448">
        <v>8</v>
      </c>
      <c r="D448" s="1">
        <v>46086</v>
      </c>
    </row>
    <row r="449" spans="1:4" x14ac:dyDescent="0.25">
      <c r="A449" t="s">
        <v>1489</v>
      </c>
      <c r="B449" t="s">
        <v>66</v>
      </c>
      <c r="C449">
        <v>10</v>
      </c>
      <c r="D449" s="1">
        <v>46087</v>
      </c>
    </row>
    <row r="450" spans="1:4" x14ac:dyDescent="0.25">
      <c r="A450" t="s">
        <v>1490</v>
      </c>
      <c r="B450" t="s">
        <v>133</v>
      </c>
      <c r="C450">
        <v>23</v>
      </c>
      <c r="D450" s="1">
        <v>46072</v>
      </c>
    </row>
    <row r="451" spans="1:4" x14ac:dyDescent="0.25">
      <c r="A451" t="s">
        <v>1491</v>
      </c>
      <c r="B451" t="s">
        <v>45</v>
      </c>
      <c r="C451">
        <v>12</v>
      </c>
      <c r="D451" s="1">
        <v>46035</v>
      </c>
    </row>
    <row r="452" spans="1:4" x14ac:dyDescent="0.25">
      <c r="A452" t="s">
        <v>1492</v>
      </c>
      <c r="B452" t="s">
        <v>39</v>
      </c>
      <c r="C452">
        <v>7</v>
      </c>
      <c r="D452" s="1">
        <v>46106</v>
      </c>
    </row>
    <row r="453" spans="1:4" x14ac:dyDescent="0.25">
      <c r="A453" t="s">
        <v>1493</v>
      </c>
      <c r="B453" t="s">
        <v>129</v>
      </c>
      <c r="C453">
        <v>12</v>
      </c>
      <c r="D453" s="1">
        <v>46067</v>
      </c>
    </row>
    <row r="454" spans="1:4" x14ac:dyDescent="0.25">
      <c r="A454" t="s">
        <v>1494</v>
      </c>
      <c r="B454" t="s">
        <v>101</v>
      </c>
      <c r="C454">
        <v>18</v>
      </c>
      <c r="D454" s="1">
        <v>46061</v>
      </c>
    </row>
    <row r="455" spans="1:4" x14ac:dyDescent="0.25">
      <c r="A455" t="s">
        <v>1495</v>
      </c>
      <c r="B455" t="s">
        <v>54</v>
      </c>
      <c r="C455">
        <v>19</v>
      </c>
      <c r="D455" s="1">
        <v>46099</v>
      </c>
    </row>
    <row r="456" spans="1:4" x14ac:dyDescent="0.25">
      <c r="A456" t="s">
        <v>1496</v>
      </c>
      <c r="B456" t="s">
        <v>89</v>
      </c>
      <c r="C456">
        <v>29</v>
      </c>
      <c r="D456" s="1">
        <v>46116</v>
      </c>
    </row>
    <row r="457" spans="1:4" x14ac:dyDescent="0.25">
      <c r="A457" t="s">
        <v>1497</v>
      </c>
      <c r="B457" t="s">
        <v>61</v>
      </c>
      <c r="C457">
        <v>11</v>
      </c>
      <c r="D457" s="1">
        <v>46117</v>
      </c>
    </row>
    <row r="458" spans="1:4" x14ac:dyDescent="0.25">
      <c r="A458" t="s">
        <v>1498</v>
      </c>
      <c r="B458" t="s">
        <v>61</v>
      </c>
      <c r="C458">
        <v>3</v>
      </c>
      <c r="D458" s="1">
        <v>46057</v>
      </c>
    </row>
    <row r="459" spans="1:4" x14ac:dyDescent="0.25">
      <c r="A459" t="s">
        <v>1499</v>
      </c>
      <c r="B459" t="s">
        <v>57</v>
      </c>
      <c r="C459">
        <v>29</v>
      </c>
      <c r="D459" s="1">
        <v>46050</v>
      </c>
    </row>
    <row r="460" spans="1:4" x14ac:dyDescent="0.25">
      <c r="A460" t="s">
        <v>1500</v>
      </c>
      <c r="B460" t="s">
        <v>79</v>
      </c>
      <c r="C460">
        <v>18</v>
      </c>
      <c r="D460" s="1">
        <v>46078</v>
      </c>
    </row>
    <row r="461" spans="1:4" x14ac:dyDescent="0.25">
      <c r="A461" t="s">
        <v>1501</v>
      </c>
      <c r="B461" t="s">
        <v>122</v>
      </c>
      <c r="C461">
        <v>16</v>
      </c>
      <c r="D461" s="1">
        <v>46109</v>
      </c>
    </row>
    <row r="462" spans="1:4" x14ac:dyDescent="0.25">
      <c r="A462" t="s">
        <v>1502</v>
      </c>
      <c r="B462" t="s">
        <v>54</v>
      </c>
      <c r="C462">
        <v>22</v>
      </c>
      <c r="D462" s="1">
        <v>46088</v>
      </c>
    </row>
    <row r="463" spans="1:4" x14ac:dyDescent="0.25">
      <c r="A463" t="s">
        <v>1503</v>
      </c>
      <c r="B463" t="s">
        <v>37</v>
      </c>
      <c r="C463">
        <v>29</v>
      </c>
      <c r="D463" s="1">
        <v>46048</v>
      </c>
    </row>
    <row r="464" spans="1:4" x14ac:dyDescent="0.25">
      <c r="A464" t="s">
        <v>1504</v>
      </c>
      <c r="B464" t="s">
        <v>124</v>
      </c>
      <c r="C464">
        <v>14</v>
      </c>
      <c r="D464" s="1">
        <v>46054</v>
      </c>
    </row>
    <row r="465" spans="1:4" x14ac:dyDescent="0.25">
      <c r="A465" t="s">
        <v>1505</v>
      </c>
      <c r="B465" t="s">
        <v>125</v>
      </c>
      <c r="C465">
        <v>1</v>
      </c>
      <c r="D465" s="1">
        <v>46042</v>
      </c>
    </row>
    <row r="466" spans="1:4" x14ac:dyDescent="0.25">
      <c r="A466" t="s">
        <v>1506</v>
      </c>
      <c r="B466" t="s">
        <v>66</v>
      </c>
      <c r="C466">
        <v>29</v>
      </c>
      <c r="D466" s="1">
        <v>46066</v>
      </c>
    </row>
    <row r="467" spans="1:4" x14ac:dyDescent="0.25">
      <c r="A467" t="s">
        <v>1507</v>
      </c>
      <c r="B467" t="s">
        <v>64</v>
      </c>
      <c r="C467">
        <v>16</v>
      </c>
      <c r="D467" s="1">
        <v>46106</v>
      </c>
    </row>
    <row r="468" spans="1:4" x14ac:dyDescent="0.25">
      <c r="A468" t="s">
        <v>1508</v>
      </c>
      <c r="B468" t="s">
        <v>96</v>
      </c>
      <c r="C468">
        <v>27</v>
      </c>
      <c r="D468" s="1">
        <v>46100</v>
      </c>
    </row>
    <row r="469" spans="1:4" x14ac:dyDescent="0.25">
      <c r="A469" t="s">
        <v>1509</v>
      </c>
      <c r="B469" t="s">
        <v>43</v>
      </c>
      <c r="C469">
        <v>14</v>
      </c>
      <c r="D469" s="1">
        <v>46071</v>
      </c>
    </row>
    <row r="470" spans="1:4" x14ac:dyDescent="0.25">
      <c r="A470" t="s">
        <v>1510</v>
      </c>
      <c r="B470" t="s">
        <v>53</v>
      </c>
      <c r="C470">
        <v>22</v>
      </c>
      <c r="D470" s="1">
        <v>46032</v>
      </c>
    </row>
    <row r="471" spans="1:4" x14ac:dyDescent="0.25">
      <c r="A471" t="s">
        <v>1511</v>
      </c>
      <c r="B471" t="s">
        <v>119</v>
      </c>
      <c r="C471">
        <v>15</v>
      </c>
      <c r="D471" s="1">
        <v>46057</v>
      </c>
    </row>
    <row r="472" spans="1:4" x14ac:dyDescent="0.25">
      <c r="A472" t="s">
        <v>1512</v>
      </c>
      <c r="B472" t="s">
        <v>131</v>
      </c>
      <c r="C472">
        <v>16</v>
      </c>
      <c r="D472" s="1">
        <v>46106</v>
      </c>
    </row>
    <row r="473" spans="1:4" x14ac:dyDescent="0.25">
      <c r="A473" t="s">
        <v>1513</v>
      </c>
      <c r="B473" t="s">
        <v>137</v>
      </c>
      <c r="C473">
        <v>12</v>
      </c>
      <c r="D473" s="1">
        <v>46068</v>
      </c>
    </row>
    <row r="474" spans="1:4" x14ac:dyDescent="0.25">
      <c r="A474" t="s">
        <v>1514</v>
      </c>
      <c r="B474" t="s">
        <v>104</v>
      </c>
      <c r="C474">
        <v>27</v>
      </c>
      <c r="D474" s="1">
        <v>46116</v>
      </c>
    </row>
    <row r="475" spans="1:4" x14ac:dyDescent="0.25">
      <c r="A475" t="s">
        <v>1515</v>
      </c>
      <c r="B475" t="s">
        <v>78</v>
      </c>
      <c r="C475">
        <v>13</v>
      </c>
      <c r="D475" s="1">
        <v>46095</v>
      </c>
    </row>
    <row r="476" spans="1:4" x14ac:dyDescent="0.25">
      <c r="A476" t="s">
        <v>1516</v>
      </c>
      <c r="B476" t="s">
        <v>98</v>
      </c>
      <c r="C476">
        <v>28</v>
      </c>
      <c r="D476" s="1">
        <v>46081</v>
      </c>
    </row>
    <row r="477" spans="1:4" x14ac:dyDescent="0.25">
      <c r="A477" t="s">
        <v>1517</v>
      </c>
      <c r="B477" t="s">
        <v>122</v>
      </c>
      <c r="C477">
        <v>1</v>
      </c>
      <c r="D477" s="1">
        <v>46115</v>
      </c>
    </row>
    <row r="478" spans="1:4" x14ac:dyDescent="0.25">
      <c r="A478" t="s">
        <v>1518</v>
      </c>
      <c r="B478" t="s">
        <v>134</v>
      </c>
      <c r="C478">
        <v>5</v>
      </c>
      <c r="D478" s="1">
        <v>46050</v>
      </c>
    </row>
    <row r="479" spans="1:4" x14ac:dyDescent="0.25">
      <c r="A479" t="s">
        <v>1519</v>
      </c>
      <c r="B479" t="s">
        <v>66</v>
      </c>
      <c r="C479">
        <v>11</v>
      </c>
      <c r="D479" s="1">
        <v>46060</v>
      </c>
    </row>
    <row r="480" spans="1:4" x14ac:dyDescent="0.25">
      <c r="A480" t="s">
        <v>1520</v>
      </c>
      <c r="B480" t="s">
        <v>124</v>
      </c>
      <c r="C480">
        <v>28</v>
      </c>
      <c r="D480" s="1">
        <v>46090</v>
      </c>
    </row>
    <row r="481" spans="1:4" x14ac:dyDescent="0.25">
      <c r="A481" t="s">
        <v>1521</v>
      </c>
      <c r="B481" t="s">
        <v>58</v>
      </c>
      <c r="C481">
        <v>14</v>
      </c>
      <c r="D481" s="1">
        <v>46041</v>
      </c>
    </row>
    <row r="482" spans="1:4" x14ac:dyDescent="0.25">
      <c r="A482" t="s">
        <v>1522</v>
      </c>
      <c r="B482" t="s">
        <v>54</v>
      </c>
      <c r="C482">
        <v>11</v>
      </c>
      <c r="D482" s="1">
        <v>46104</v>
      </c>
    </row>
    <row r="483" spans="1:4" x14ac:dyDescent="0.25">
      <c r="A483" t="s">
        <v>1523</v>
      </c>
      <c r="B483" t="s">
        <v>99</v>
      </c>
      <c r="C483">
        <v>14</v>
      </c>
      <c r="D483" s="1">
        <v>46068</v>
      </c>
    </row>
    <row r="484" spans="1:4" x14ac:dyDescent="0.25">
      <c r="A484" t="s">
        <v>1524</v>
      </c>
      <c r="B484" t="s">
        <v>133</v>
      </c>
      <c r="C484">
        <v>18</v>
      </c>
      <c r="D484" s="1">
        <v>46093</v>
      </c>
    </row>
    <row r="485" spans="1:4" x14ac:dyDescent="0.25">
      <c r="A485" t="s">
        <v>1525</v>
      </c>
      <c r="B485" t="s">
        <v>81</v>
      </c>
      <c r="C485">
        <v>19</v>
      </c>
      <c r="D485" s="1">
        <v>46069</v>
      </c>
    </row>
    <row r="486" spans="1:4" x14ac:dyDescent="0.25">
      <c r="A486" t="s">
        <v>1526</v>
      </c>
      <c r="B486" t="s">
        <v>99</v>
      </c>
      <c r="C486">
        <v>16</v>
      </c>
      <c r="D486" s="1">
        <v>46063</v>
      </c>
    </row>
    <row r="487" spans="1:4" x14ac:dyDescent="0.25">
      <c r="A487" t="s">
        <v>1527</v>
      </c>
      <c r="B487" t="s">
        <v>93</v>
      </c>
      <c r="C487">
        <v>14</v>
      </c>
      <c r="D487" s="1">
        <v>46062</v>
      </c>
    </row>
    <row r="488" spans="1:4" x14ac:dyDescent="0.25">
      <c r="A488" t="s">
        <v>1528</v>
      </c>
      <c r="B488" t="s">
        <v>86</v>
      </c>
      <c r="C488">
        <v>13</v>
      </c>
      <c r="D488" s="1">
        <v>46061</v>
      </c>
    </row>
    <row r="489" spans="1:4" x14ac:dyDescent="0.25">
      <c r="A489" t="s">
        <v>1529</v>
      </c>
      <c r="B489" t="s">
        <v>90</v>
      </c>
      <c r="C489">
        <v>24</v>
      </c>
      <c r="D489" s="1">
        <v>46100</v>
      </c>
    </row>
    <row r="490" spans="1:4" x14ac:dyDescent="0.25">
      <c r="A490" t="s">
        <v>1530</v>
      </c>
      <c r="B490" t="s">
        <v>89</v>
      </c>
      <c r="C490">
        <v>2</v>
      </c>
      <c r="D490" s="1">
        <v>46049</v>
      </c>
    </row>
    <row r="491" spans="1:4" x14ac:dyDescent="0.25">
      <c r="A491" t="s">
        <v>1531</v>
      </c>
      <c r="B491" t="s">
        <v>74</v>
      </c>
      <c r="C491">
        <v>28</v>
      </c>
      <c r="D491" s="1">
        <v>46082</v>
      </c>
    </row>
    <row r="492" spans="1:4" x14ac:dyDescent="0.25">
      <c r="A492" t="s">
        <v>1532</v>
      </c>
      <c r="B492" t="s">
        <v>105</v>
      </c>
      <c r="C492">
        <v>11</v>
      </c>
      <c r="D492" s="1">
        <v>46096</v>
      </c>
    </row>
    <row r="493" spans="1:4" x14ac:dyDescent="0.25">
      <c r="A493" t="s">
        <v>1533</v>
      </c>
      <c r="B493" t="s">
        <v>101</v>
      </c>
      <c r="C493">
        <v>23</v>
      </c>
      <c r="D493" s="1">
        <v>46113</v>
      </c>
    </row>
    <row r="494" spans="1:4" x14ac:dyDescent="0.25">
      <c r="A494" t="s">
        <v>1534</v>
      </c>
      <c r="B494" t="s">
        <v>68</v>
      </c>
      <c r="C494">
        <v>1</v>
      </c>
      <c r="D494" s="1">
        <v>46048</v>
      </c>
    </row>
    <row r="495" spans="1:4" x14ac:dyDescent="0.25">
      <c r="A495" t="s">
        <v>1535</v>
      </c>
      <c r="B495" t="s">
        <v>45</v>
      </c>
      <c r="C495">
        <v>20</v>
      </c>
      <c r="D495" s="1">
        <v>46053</v>
      </c>
    </row>
    <row r="496" spans="1:4" x14ac:dyDescent="0.25">
      <c r="A496" t="s">
        <v>1536</v>
      </c>
      <c r="B496" t="s">
        <v>126</v>
      </c>
      <c r="C496">
        <v>7</v>
      </c>
      <c r="D496" s="1">
        <v>46039</v>
      </c>
    </row>
    <row r="497" spans="1:4" x14ac:dyDescent="0.25">
      <c r="A497" t="s">
        <v>1537</v>
      </c>
      <c r="B497" t="s">
        <v>83</v>
      </c>
      <c r="C497">
        <v>3</v>
      </c>
      <c r="D497" s="1">
        <v>46036</v>
      </c>
    </row>
    <row r="498" spans="1:4" x14ac:dyDescent="0.25">
      <c r="A498" t="s">
        <v>1538</v>
      </c>
      <c r="B498" t="s">
        <v>105</v>
      </c>
      <c r="C498">
        <v>6</v>
      </c>
      <c r="D498" s="1">
        <v>46072</v>
      </c>
    </row>
    <row r="499" spans="1:4" x14ac:dyDescent="0.25">
      <c r="A499" t="s">
        <v>1539</v>
      </c>
      <c r="B499" t="s">
        <v>86</v>
      </c>
      <c r="C499">
        <v>22</v>
      </c>
      <c r="D499" s="1">
        <v>46089</v>
      </c>
    </row>
    <row r="500" spans="1:4" x14ac:dyDescent="0.25">
      <c r="A500" t="s">
        <v>1540</v>
      </c>
      <c r="B500" t="s">
        <v>106</v>
      </c>
      <c r="C500">
        <v>9</v>
      </c>
      <c r="D500" s="1">
        <v>46081</v>
      </c>
    </row>
    <row r="501" spans="1:4" x14ac:dyDescent="0.25">
      <c r="A501" t="s">
        <v>1541</v>
      </c>
      <c r="B501" t="s">
        <v>90</v>
      </c>
      <c r="C501">
        <v>2</v>
      </c>
      <c r="D501" s="1">
        <v>46112</v>
      </c>
    </row>
    <row r="502" spans="1:4" x14ac:dyDescent="0.25">
      <c r="A502" t="s">
        <v>1542</v>
      </c>
      <c r="B502" t="s">
        <v>57</v>
      </c>
      <c r="C502">
        <v>17</v>
      </c>
      <c r="D502" s="1">
        <v>46047</v>
      </c>
    </row>
    <row r="503" spans="1:4" x14ac:dyDescent="0.25">
      <c r="A503" t="s">
        <v>1543</v>
      </c>
      <c r="B503" t="s">
        <v>51</v>
      </c>
      <c r="C503">
        <v>4</v>
      </c>
      <c r="D503" s="1">
        <v>46075</v>
      </c>
    </row>
    <row r="504" spans="1:4" x14ac:dyDescent="0.25">
      <c r="A504" t="s">
        <v>1544</v>
      </c>
      <c r="B504" t="s">
        <v>47</v>
      </c>
      <c r="C504">
        <v>3</v>
      </c>
      <c r="D504" s="1">
        <v>46034</v>
      </c>
    </row>
    <row r="505" spans="1:4" x14ac:dyDescent="0.25">
      <c r="A505" t="s">
        <v>1545</v>
      </c>
      <c r="B505" t="s">
        <v>85</v>
      </c>
      <c r="C505">
        <v>7</v>
      </c>
      <c r="D505" s="1">
        <v>46049</v>
      </c>
    </row>
    <row r="506" spans="1:4" x14ac:dyDescent="0.25">
      <c r="A506" t="s">
        <v>1546</v>
      </c>
      <c r="B506" t="s">
        <v>60</v>
      </c>
      <c r="C506">
        <v>23</v>
      </c>
      <c r="D506" s="1">
        <v>46093</v>
      </c>
    </row>
    <row r="507" spans="1:4" x14ac:dyDescent="0.25">
      <c r="A507" t="s">
        <v>1547</v>
      </c>
      <c r="B507" t="s">
        <v>115</v>
      </c>
      <c r="C507">
        <v>19</v>
      </c>
      <c r="D507" s="1">
        <v>46064</v>
      </c>
    </row>
    <row r="508" spans="1:4" x14ac:dyDescent="0.25">
      <c r="A508" t="s">
        <v>1548</v>
      </c>
      <c r="B508" t="s">
        <v>120</v>
      </c>
      <c r="C508">
        <v>17</v>
      </c>
      <c r="D508" s="1">
        <v>46051</v>
      </c>
    </row>
    <row r="509" spans="1:4" x14ac:dyDescent="0.25">
      <c r="A509" t="s">
        <v>1549</v>
      </c>
      <c r="B509" t="s">
        <v>64</v>
      </c>
      <c r="C509">
        <v>6</v>
      </c>
      <c r="D509" s="1">
        <v>46068</v>
      </c>
    </row>
    <row r="510" spans="1:4" x14ac:dyDescent="0.25">
      <c r="A510" t="s">
        <v>1550</v>
      </c>
      <c r="B510" t="s">
        <v>118</v>
      </c>
      <c r="C510">
        <v>13</v>
      </c>
      <c r="D510" s="1">
        <v>46114</v>
      </c>
    </row>
    <row r="511" spans="1:4" x14ac:dyDescent="0.25">
      <c r="A511" t="s">
        <v>1551</v>
      </c>
      <c r="B511" t="s">
        <v>105</v>
      </c>
      <c r="C511">
        <v>20</v>
      </c>
      <c r="D511" s="1">
        <v>46115</v>
      </c>
    </row>
    <row r="512" spans="1:4" x14ac:dyDescent="0.25">
      <c r="A512" t="s">
        <v>1552</v>
      </c>
      <c r="B512" t="s">
        <v>80</v>
      </c>
      <c r="C512">
        <v>12</v>
      </c>
      <c r="D512" s="1">
        <v>46077</v>
      </c>
    </row>
    <row r="513" spans="1:4" x14ac:dyDescent="0.25">
      <c r="A513" t="s">
        <v>1553</v>
      </c>
      <c r="B513" t="s">
        <v>115</v>
      </c>
      <c r="C513">
        <v>27</v>
      </c>
      <c r="D513" s="1">
        <v>46054</v>
      </c>
    </row>
    <row r="514" spans="1:4" x14ac:dyDescent="0.25">
      <c r="A514" t="s">
        <v>1554</v>
      </c>
      <c r="B514" t="s">
        <v>138</v>
      </c>
      <c r="C514">
        <v>3</v>
      </c>
      <c r="D514" s="1">
        <v>46099</v>
      </c>
    </row>
    <row r="515" spans="1:4" x14ac:dyDescent="0.25">
      <c r="A515" t="s">
        <v>1555</v>
      </c>
      <c r="B515" t="s">
        <v>81</v>
      </c>
      <c r="C515">
        <v>23</v>
      </c>
      <c r="D515" s="1">
        <v>46038</v>
      </c>
    </row>
    <row r="516" spans="1:4" x14ac:dyDescent="0.25">
      <c r="A516" t="s">
        <v>1556</v>
      </c>
      <c r="B516" t="s">
        <v>130</v>
      </c>
      <c r="C516">
        <v>18</v>
      </c>
      <c r="D516" s="1">
        <v>46071</v>
      </c>
    </row>
    <row r="517" spans="1:4" x14ac:dyDescent="0.25">
      <c r="A517" t="s">
        <v>1557</v>
      </c>
      <c r="B517" t="s">
        <v>130</v>
      </c>
      <c r="C517">
        <v>23</v>
      </c>
      <c r="D517" s="1">
        <v>46099</v>
      </c>
    </row>
    <row r="518" spans="1:4" x14ac:dyDescent="0.25">
      <c r="A518" t="s">
        <v>1558</v>
      </c>
      <c r="B518" t="s">
        <v>105</v>
      </c>
      <c r="C518">
        <v>12</v>
      </c>
      <c r="D518" s="1">
        <v>46100</v>
      </c>
    </row>
    <row r="519" spans="1:4" x14ac:dyDescent="0.25">
      <c r="A519" t="s">
        <v>1559</v>
      </c>
      <c r="B519" t="s">
        <v>123</v>
      </c>
      <c r="C519">
        <v>15</v>
      </c>
      <c r="D519" s="1">
        <v>46116</v>
      </c>
    </row>
    <row r="520" spans="1:4" x14ac:dyDescent="0.25">
      <c r="A520" t="s">
        <v>1560</v>
      </c>
      <c r="B520" t="s">
        <v>128</v>
      </c>
      <c r="C520">
        <v>7</v>
      </c>
      <c r="D520" s="1">
        <v>46036</v>
      </c>
    </row>
    <row r="521" spans="1:4" x14ac:dyDescent="0.25">
      <c r="A521" t="s">
        <v>1561</v>
      </c>
      <c r="B521" t="s">
        <v>97</v>
      </c>
      <c r="C521">
        <v>3</v>
      </c>
      <c r="D521" s="1">
        <v>46085</v>
      </c>
    </row>
    <row r="522" spans="1:4" x14ac:dyDescent="0.25">
      <c r="A522" t="s">
        <v>1562</v>
      </c>
      <c r="B522" t="s">
        <v>79</v>
      </c>
      <c r="C522">
        <v>8</v>
      </c>
      <c r="D522" s="1">
        <v>46081</v>
      </c>
    </row>
    <row r="523" spans="1:4" x14ac:dyDescent="0.25">
      <c r="A523" t="s">
        <v>1563</v>
      </c>
      <c r="B523" t="s">
        <v>134</v>
      </c>
      <c r="C523">
        <v>27</v>
      </c>
      <c r="D523" s="1">
        <v>46041</v>
      </c>
    </row>
    <row r="524" spans="1:4" x14ac:dyDescent="0.25">
      <c r="A524" t="s">
        <v>1564</v>
      </c>
      <c r="B524" t="s">
        <v>136</v>
      </c>
      <c r="C524">
        <v>4</v>
      </c>
      <c r="D524" s="1">
        <v>46101</v>
      </c>
    </row>
    <row r="525" spans="1:4" x14ac:dyDescent="0.25">
      <c r="A525" t="s">
        <v>1565</v>
      </c>
      <c r="B525" t="s">
        <v>110</v>
      </c>
      <c r="C525">
        <v>20</v>
      </c>
      <c r="D525" s="1">
        <v>46075</v>
      </c>
    </row>
    <row r="526" spans="1:4" x14ac:dyDescent="0.25">
      <c r="A526" t="s">
        <v>1566</v>
      </c>
      <c r="B526" t="s">
        <v>119</v>
      </c>
      <c r="C526">
        <v>18</v>
      </c>
      <c r="D526" s="1">
        <v>46077</v>
      </c>
    </row>
    <row r="527" spans="1:4" x14ac:dyDescent="0.25">
      <c r="A527" t="s">
        <v>1567</v>
      </c>
      <c r="B527" t="s">
        <v>127</v>
      </c>
      <c r="C527">
        <v>20</v>
      </c>
      <c r="D527" s="1">
        <v>46099</v>
      </c>
    </row>
    <row r="528" spans="1:4" x14ac:dyDescent="0.25">
      <c r="A528" t="s">
        <v>1568</v>
      </c>
      <c r="B528" t="s">
        <v>54</v>
      </c>
      <c r="C528">
        <v>22</v>
      </c>
      <c r="D528" s="1">
        <v>46046</v>
      </c>
    </row>
    <row r="529" spans="1:4" x14ac:dyDescent="0.25">
      <c r="A529" t="s">
        <v>1569</v>
      </c>
      <c r="B529" t="s">
        <v>115</v>
      </c>
      <c r="C529">
        <v>3</v>
      </c>
      <c r="D529" s="1">
        <v>46043</v>
      </c>
    </row>
    <row r="530" spans="1:4" x14ac:dyDescent="0.25">
      <c r="A530" t="s">
        <v>1570</v>
      </c>
      <c r="B530" t="s">
        <v>132</v>
      </c>
      <c r="C530">
        <v>4</v>
      </c>
      <c r="D530" s="1">
        <v>46110</v>
      </c>
    </row>
    <row r="531" spans="1:4" x14ac:dyDescent="0.25">
      <c r="A531" t="s">
        <v>1571</v>
      </c>
      <c r="B531" t="s">
        <v>46</v>
      </c>
      <c r="C531">
        <v>7</v>
      </c>
      <c r="D531" s="1">
        <v>46098</v>
      </c>
    </row>
    <row r="532" spans="1:4" x14ac:dyDescent="0.25">
      <c r="A532" t="s">
        <v>1572</v>
      </c>
      <c r="B532" t="s">
        <v>107</v>
      </c>
      <c r="C532">
        <v>7</v>
      </c>
      <c r="D532" s="1">
        <v>46094</v>
      </c>
    </row>
    <row r="533" spans="1:4" x14ac:dyDescent="0.25">
      <c r="A533" t="s">
        <v>1573</v>
      </c>
      <c r="B533" t="s">
        <v>109</v>
      </c>
      <c r="C533">
        <v>11</v>
      </c>
      <c r="D533" s="1">
        <v>46054</v>
      </c>
    </row>
    <row r="534" spans="1:4" x14ac:dyDescent="0.25">
      <c r="A534" t="s">
        <v>1574</v>
      </c>
      <c r="B534" t="s">
        <v>88</v>
      </c>
      <c r="C534">
        <v>21</v>
      </c>
      <c r="D534" s="1">
        <v>46105</v>
      </c>
    </row>
    <row r="535" spans="1:4" x14ac:dyDescent="0.25">
      <c r="A535" t="s">
        <v>1575</v>
      </c>
      <c r="B535" t="s">
        <v>109</v>
      </c>
      <c r="C535">
        <v>8</v>
      </c>
      <c r="D535" s="1">
        <v>46069</v>
      </c>
    </row>
    <row r="536" spans="1:4" x14ac:dyDescent="0.25">
      <c r="A536" t="s">
        <v>1576</v>
      </c>
      <c r="B536" t="s">
        <v>43</v>
      </c>
      <c r="C536">
        <v>13</v>
      </c>
      <c r="D536" s="1">
        <v>46071</v>
      </c>
    </row>
    <row r="537" spans="1:4" x14ac:dyDescent="0.25">
      <c r="A537" t="s">
        <v>1577</v>
      </c>
      <c r="B537" t="s">
        <v>105</v>
      </c>
      <c r="C537">
        <v>28</v>
      </c>
      <c r="D537" s="1">
        <v>46109</v>
      </c>
    </row>
    <row r="538" spans="1:4" x14ac:dyDescent="0.25">
      <c r="A538" t="s">
        <v>1578</v>
      </c>
      <c r="B538" t="s">
        <v>117</v>
      </c>
      <c r="C538">
        <v>21</v>
      </c>
      <c r="D538" s="1">
        <v>46036</v>
      </c>
    </row>
    <row r="539" spans="1:4" x14ac:dyDescent="0.25">
      <c r="A539" t="s">
        <v>1579</v>
      </c>
      <c r="B539" t="s">
        <v>110</v>
      </c>
      <c r="C539">
        <v>5</v>
      </c>
      <c r="D539" s="1">
        <v>46041</v>
      </c>
    </row>
    <row r="540" spans="1:4" x14ac:dyDescent="0.25">
      <c r="A540" t="s">
        <v>1580</v>
      </c>
      <c r="B540" t="s">
        <v>37</v>
      </c>
      <c r="C540">
        <v>11</v>
      </c>
      <c r="D540" s="1">
        <v>46115</v>
      </c>
    </row>
    <row r="541" spans="1:4" x14ac:dyDescent="0.25">
      <c r="A541" t="s">
        <v>1581</v>
      </c>
      <c r="B541" t="s">
        <v>64</v>
      </c>
      <c r="C541">
        <v>16</v>
      </c>
      <c r="D541" s="1">
        <v>46045</v>
      </c>
    </row>
    <row r="542" spans="1:4" x14ac:dyDescent="0.25">
      <c r="A542" t="s">
        <v>1582</v>
      </c>
      <c r="B542" t="s">
        <v>132</v>
      </c>
      <c r="C542">
        <v>22</v>
      </c>
      <c r="D542" s="1">
        <v>46110</v>
      </c>
    </row>
    <row r="543" spans="1:4" x14ac:dyDescent="0.25">
      <c r="A543" t="s">
        <v>1583</v>
      </c>
      <c r="B543" t="s">
        <v>136</v>
      </c>
      <c r="C543">
        <v>18</v>
      </c>
      <c r="D543" s="1">
        <v>46094</v>
      </c>
    </row>
    <row r="544" spans="1:4" x14ac:dyDescent="0.25">
      <c r="A544" t="s">
        <v>1584</v>
      </c>
      <c r="B544" t="s">
        <v>94</v>
      </c>
      <c r="C544">
        <v>3</v>
      </c>
      <c r="D544" s="1">
        <v>46106</v>
      </c>
    </row>
    <row r="545" spans="1:4" x14ac:dyDescent="0.25">
      <c r="A545" t="s">
        <v>1585</v>
      </c>
      <c r="B545" t="s">
        <v>62</v>
      </c>
      <c r="C545">
        <v>18</v>
      </c>
      <c r="D545" s="1">
        <v>46089</v>
      </c>
    </row>
    <row r="546" spans="1:4" x14ac:dyDescent="0.25">
      <c r="A546" t="s">
        <v>1586</v>
      </c>
      <c r="B546" t="s">
        <v>114</v>
      </c>
      <c r="C546">
        <v>11</v>
      </c>
      <c r="D546" s="1">
        <v>46079</v>
      </c>
    </row>
    <row r="547" spans="1:4" x14ac:dyDescent="0.25">
      <c r="A547" t="s">
        <v>1587</v>
      </c>
      <c r="B547" t="s">
        <v>66</v>
      </c>
      <c r="C547">
        <v>10</v>
      </c>
      <c r="D547" s="1">
        <v>46035</v>
      </c>
    </row>
    <row r="548" spans="1:4" x14ac:dyDescent="0.25">
      <c r="A548" t="s">
        <v>1588</v>
      </c>
      <c r="B548" t="s">
        <v>135</v>
      </c>
      <c r="C548">
        <v>17</v>
      </c>
      <c r="D548" s="1">
        <v>46107</v>
      </c>
    </row>
    <row r="549" spans="1:4" x14ac:dyDescent="0.25">
      <c r="A549" t="s">
        <v>1589</v>
      </c>
      <c r="B549" t="s">
        <v>41</v>
      </c>
      <c r="C549">
        <v>2</v>
      </c>
      <c r="D549" s="1">
        <v>46065</v>
      </c>
    </row>
    <row r="550" spans="1:4" x14ac:dyDescent="0.25">
      <c r="A550" t="s">
        <v>1590</v>
      </c>
      <c r="B550" t="s">
        <v>111</v>
      </c>
      <c r="C550">
        <v>11</v>
      </c>
      <c r="D550" s="1">
        <v>46082</v>
      </c>
    </row>
    <row r="551" spans="1:4" x14ac:dyDescent="0.25">
      <c r="A551" t="s">
        <v>1591</v>
      </c>
      <c r="B551" t="s">
        <v>58</v>
      </c>
      <c r="C551">
        <v>16</v>
      </c>
      <c r="D551" s="1">
        <v>46043</v>
      </c>
    </row>
    <row r="552" spans="1:4" x14ac:dyDescent="0.25">
      <c r="A552" t="s">
        <v>1592</v>
      </c>
      <c r="B552" t="s">
        <v>107</v>
      </c>
      <c r="C552">
        <v>26</v>
      </c>
      <c r="D552" s="1">
        <v>46098</v>
      </c>
    </row>
    <row r="553" spans="1:4" x14ac:dyDescent="0.25">
      <c r="A553" t="s">
        <v>1593</v>
      </c>
      <c r="B553" t="s">
        <v>70</v>
      </c>
      <c r="C553">
        <v>28</v>
      </c>
      <c r="D553" s="1">
        <v>46105</v>
      </c>
    </row>
    <row r="554" spans="1:4" x14ac:dyDescent="0.25">
      <c r="A554" t="s">
        <v>1594</v>
      </c>
      <c r="B554" t="s">
        <v>67</v>
      </c>
      <c r="C554">
        <v>12</v>
      </c>
      <c r="D554" s="1">
        <v>46089</v>
      </c>
    </row>
    <row r="555" spans="1:4" x14ac:dyDescent="0.25">
      <c r="A555" t="s">
        <v>1595</v>
      </c>
      <c r="B555" t="s">
        <v>124</v>
      </c>
      <c r="C555">
        <v>16</v>
      </c>
      <c r="D555" s="1">
        <v>46108</v>
      </c>
    </row>
    <row r="556" spans="1:4" x14ac:dyDescent="0.25">
      <c r="A556" t="s">
        <v>1596</v>
      </c>
      <c r="B556" t="s">
        <v>94</v>
      </c>
      <c r="C556">
        <v>12</v>
      </c>
      <c r="D556" s="1">
        <v>46074</v>
      </c>
    </row>
    <row r="557" spans="1:4" x14ac:dyDescent="0.25">
      <c r="A557" t="s">
        <v>1597</v>
      </c>
      <c r="B557" t="s">
        <v>75</v>
      </c>
      <c r="C557">
        <v>8</v>
      </c>
      <c r="D557" s="1">
        <v>46049</v>
      </c>
    </row>
    <row r="558" spans="1:4" x14ac:dyDescent="0.25">
      <c r="A558" t="s">
        <v>1598</v>
      </c>
      <c r="B558" t="s">
        <v>107</v>
      </c>
      <c r="C558">
        <v>27</v>
      </c>
      <c r="D558" s="1">
        <v>46106</v>
      </c>
    </row>
    <row r="559" spans="1:4" x14ac:dyDescent="0.25">
      <c r="A559" t="s">
        <v>1599</v>
      </c>
      <c r="B559" t="s">
        <v>111</v>
      </c>
      <c r="C559">
        <v>2</v>
      </c>
      <c r="D559" s="1">
        <v>46051</v>
      </c>
    </row>
    <row r="560" spans="1:4" x14ac:dyDescent="0.25">
      <c r="A560" t="s">
        <v>1600</v>
      </c>
      <c r="B560" t="s">
        <v>119</v>
      </c>
      <c r="C560">
        <v>22</v>
      </c>
      <c r="D560" s="1">
        <v>46073</v>
      </c>
    </row>
    <row r="561" spans="1:4" x14ac:dyDescent="0.25">
      <c r="A561" t="s">
        <v>1601</v>
      </c>
      <c r="B561" t="s">
        <v>120</v>
      </c>
      <c r="C561">
        <v>13</v>
      </c>
      <c r="D561" s="1">
        <v>46101</v>
      </c>
    </row>
    <row r="562" spans="1:4" x14ac:dyDescent="0.25">
      <c r="A562" t="s">
        <v>1602</v>
      </c>
      <c r="B562" t="s">
        <v>112</v>
      </c>
      <c r="C562">
        <v>10</v>
      </c>
      <c r="D562" s="1">
        <v>46099</v>
      </c>
    </row>
    <row r="563" spans="1:4" x14ac:dyDescent="0.25">
      <c r="A563" t="s">
        <v>1603</v>
      </c>
      <c r="B563" t="s">
        <v>70</v>
      </c>
      <c r="C563">
        <v>20</v>
      </c>
      <c r="D563" s="1">
        <v>46109</v>
      </c>
    </row>
    <row r="564" spans="1:4" x14ac:dyDescent="0.25">
      <c r="A564" t="s">
        <v>1604</v>
      </c>
      <c r="B564" t="s">
        <v>58</v>
      </c>
      <c r="C564">
        <v>10</v>
      </c>
      <c r="D564" s="1">
        <v>46050</v>
      </c>
    </row>
    <row r="565" spans="1:4" x14ac:dyDescent="0.25">
      <c r="A565" t="s">
        <v>1605</v>
      </c>
      <c r="B565" t="s">
        <v>94</v>
      </c>
      <c r="C565">
        <v>17</v>
      </c>
      <c r="D565" s="1">
        <v>46115</v>
      </c>
    </row>
    <row r="566" spans="1:4" x14ac:dyDescent="0.25">
      <c r="A566" t="s">
        <v>1606</v>
      </c>
      <c r="B566" t="s">
        <v>43</v>
      </c>
      <c r="C566">
        <v>7</v>
      </c>
      <c r="D566" s="1">
        <v>46090</v>
      </c>
    </row>
    <row r="567" spans="1:4" x14ac:dyDescent="0.25">
      <c r="A567" t="s">
        <v>1607</v>
      </c>
      <c r="B567" t="s">
        <v>39</v>
      </c>
      <c r="C567">
        <v>23</v>
      </c>
      <c r="D567" s="1">
        <v>46097</v>
      </c>
    </row>
    <row r="568" spans="1:4" x14ac:dyDescent="0.25">
      <c r="A568" t="s">
        <v>1608</v>
      </c>
      <c r="B568" t="s">
        <v>101</v>
      </c>
      <c r="C568">
        <v>24</v>
      </c>
      <c r="D568" s="1">
        <v>46060</v>
      </c>
    </row>
    <row r="569" spans="1:4" x14ac:dyDescent="0.25">
      <c r="A569" t="s">
        <v>1609</v>
      </c>
      <c r="B569" t="s">
        <v>99</v>
      </c>
      <c r="C569">
        <v>26</v>
      </c>
      <c r="D569" s="1">
        <v>46073</v>
      </c>
    </row>
    <row r="570" spans="1:4" x14ac:dyDescent="0.25">
      <c r="A570" t="s">
        <v>1610</v>
      </c>
      <c r="B570" t="s">
        <v>77</v>
      </c>
      <c r="C570">
        <v>28</v>
      </c>
      <c r="D570" s="1">
        <v>46069</v>
      </c>
    </row>
    <row r="571" spans="1:4" x14ac:dyDescent="0.25">
      <c r="A571" t="s">
        <v>1611</v>
      </c>
      <c r="B571" t="s">
        <v>54</v>
      </c>
      <c r="C571">
        <v>18</v>
      </c>
      <c r="D571" s="1">
        <v>46055</v>
      </c>
    </row>
    <row r="572" spans="1:4" x14ac:dyDescent="0.25">
      <c r="A572" t="s">
        <v>1612</v>
      </c>
      <c r="B572" t="s">
        <v>139</v>
      </c>
      <c r="C572">
        <v>10</v>
      </c>
      <c r="D572" s="1">
        <v>46083</v>
      </c>
    </row>
    <row r="573" spans="1:4" x14ac:dyDescent="0.25">
      <c r="A573" t="s">
        <v>1613</v>
      </c>
      <c r="B573" t="s">
        <v>55</v>
      </c>
      <c r="C573">
        <v>12</v>
      </c>
      <c r="D573" s="1">
        <v>46079</v>
      </c>
    </row>
    <row r="574" spans="1:4" x14ac:dyDescent="0.25">
      <c r="A574" t="s">
        <v>1614</v>
      </c>
      <c r="B574" t="s">
        <v>138</v>
      </c>
      <c r="C574">
        <v>5</v>
      </c>
      <c r="D574" s="1">
        <v>46103</v>
      </c>
    </row>
    <row r="575" spans="1:4" x14ac:dyDescent="0.25">
      <c r="A575" t="s">
        <v>1615</v>
      </c>
      <c r="B575" t="s">
        <v>69</v>
      </c>
      <c r="C575">
        <v>20</v>
      </c>
      <c r="D575" s="1">
        <v>46075</v>
      </c>
    </row>
    <row r="576" spans="1:4" x14ac:dyDescent="0.25">
      <c r="A576" t="s">
        <v>1616</v>
      </c>
      <c r="B576" t="s">
        <v>79</v>
      </c>
      <c r="C576">
        <v>2</v>
      </c>
      <c r="D576" s="1">
        <v>46108</v>
      </c>
    </row>
    <row r="577" spans="1:4" x14ac:dyDescent="0.25">
      <c r="A577" t="s">
        <v>1617</v>
      </c>
      <c r="B577" t="s">
        <v>86</v>
      </c>
      <c r="C577">
        <v>26</v>
      </c>
      <c r="D577" s="1">
        <v>46087</v>
      </c>
    </row>
    <row r="578" spans="1:4" x14ac:dyDescent="0.25">
      <c r="A578" t="s">
        <v>1618</v>
      </c>
      <c r="B578" t="s">
        <v>102</v>
      </c>
      <c r="C578">
        <v>27</v>
      </c>
      <c r="D578" s="1">
        <v>46073</v>
      </c>
    </row>
    <row r="579" spans="1:4" x14ac:dyDescent="0.25">
      <c r="A579" t="s">
        <v>1619</v>
      </c>
      <c r="B579" t="s">
        <v>80</v>
      </c>
      <c r="C579">
        <v>19</v>
      </c>
      <c r="D579" s="1">
        <v>46042</v>
      </c>
    </row>
    <row r="580" spans="1:4" x14ac:dyDescent="0.25">
      <c r="A580" t="s">
        <v>1620</v>
      </c>
      <c r="B580" t="s">
        <v>47</v>
      </c>
      <c r="C580">
        <v>6</v>
      </c>
      <c r="D580" s="1">
        <v>46115</v>
      </c>
    </row>
    <row r="581" spans="1:4" x14ac:dyDescent="0.25">
      <c r="A581" t="s">
        <v>1621</v>
      </c>
      <c r="B581" t="s">
        <v>130</v>
      </c>
      <c r="C581">
        <v>18</v>
      </c>
      <c r="D581" s="1">
        <v>46062</v>
      </c>
    </row>
    <row r="582" spans="1:4" x14ac:dyDescent="0.25">
      <c r="A582" t="s">
        <v>1622</v>
      </c>
      <c r="B582" t="s">
        <v>83</v>
      </c>
      <c r="C582">
        <v>7</v>
      </c>
      <c r="D582" s="1">
        <v>46053</v>
      </c>
    </row>
    <row r="583" spans="1:4" x14ac:dyDescent="0.25">
      <c r="A583" t="s">
        <v>1623</v>
      </c>
      <c r="B583" t="s">
        <v>135</v>
      </c>
      <c r="C583">
        <v>21</v>
      </c>
      <c r="D583" s="1">
        <v>46043</v>
      </c>
    </row>
    <row r="584" spans="1:4" x14ac:dyDescent="0.25">
      <c r="A584" t="s">
        <v>1624</v>
      </c>
      <c r="B584" t="s">
        <v>46</v>
      </c>
      <c r="C584">
        <v>26</v>
      </c>
      <c r="D584" s="1">
        <v>46087</v>
      </c>
    </row>
    <row r="585" spans="1:4" x14ac:dyDescent="0.25">
      <c r="A585" t="s">
        <v>1625</v>
      </c>
      <c r="B585" t="s">
        <v>126</v>
      </c>
      <c r="C585">
        <v>10</v>
      </c>
      <c r="D585" s="1">
        <v>46099</v>
      </c>
    </row>
    <row r="586" spans="1:4" x14ac:dyDescent="0.25">
      <c r="A586" t="s">
        <v>1626</v>
      </c>
      <c r="B586" t="s">
        <v>112</v>
      </c>
      <c r="C586">
        <v>13</v>
      </c>
      <c r="D586" s="1">
        <v>46080</v>
      </c>
    </row>
    <row r="587" spans="1:4" x14ac:dyDescent="0.25">
      <c r="A587" t="s">
        <v>1627</v>
      </c>
      <c r="B587" t="s">
        <v>46</v>
      </c>
      <c r="C587">
        <v>26</v>
      </c>
      <c r="D587" s="1">
        <v>46114</v>
      </c>
    </row>
    <row r="588" spans="1:4" x14ac:dyDescent="0.25">
      <c r="A588" t="s">
        <v>1628</v>
      </c>
      <c r="B588" t="s">
        <v>95</v>
      </c>
      <c r="C588">
        <v>10</v>
      </c>
      <c r="D588" s="1">
        <v>46034</v>
      </c>
    </row>
    <row r="589" spans="1:4" x14ac:dyDescent="0.25">
      <c r="A589" t="s">
        <v>1629</v>
      </c>
      <c r="B589" t="s">
        <v>121</v>
      </c>
      <c r="C589">
        <v>15</v>
      </c>
      <c r="D589" s="1">
        <v>46040</v>
      </c>
    </row>
    <row r="590" spans="1:4" x14ac:dyDescent="0.25">
      <c r="A590" t="s">
        <v>1630</v>
      </c>
      <c r="B590" t="s">
        <v>105</v>
      </c>
      <c r="C590">
        <v>6</v>
      </c>
      <c r="D590" s="1">
        <v>46068</v>
      </c>
    </row>
    <row r="591" spans="1:4" x14ac:dyDescent="0.25">
      <c r="A591" t="s">
        <v>1631</v>
      </c>
      <c r="B591" t="s">
        <v>119</v>
      </c>
      <c r="C591">
        <v>22</v>
      </c>
      <c r="D591" s="1">
        <v>46049</v>
      </c>
    </row>
    <row r="592" spans="1:4" x14ac:dyDescent="0.25">
      <c r="A592" t="s">
        <v>1632</v>
      </c>
      <c r="B592" t="s">
        <v>98</v>
      </c>
      <c r="C592">
        <v>19</v>
      </c>
      <c r="D592" s="1">
        <v>46112</v>
      </c>
    </row>
    <row r="593" spans="1:4" x14ac:dyDescent="0.25">
      <c r="A593" t="s">
        <v>1633</v>
      </c>
      <c r="B593" t="s">
        <v>86</v>
      </c>
      <c r="C593">
        <v>21</v>
      </c>
      <c r="D593" s="1">
        <v>46062</v>
      </c>
    </row>
    <row r="594" spans="1:4" x14ac:dyDescent="0.25">
      <c r="A594" t="s">
        <v>1634</v>
      </c>
      <c r="B594" t="s">
        <v>87</v>
      </c>
      <c r="C594">
        <v>26</v>
      </c>
      <c r="D594" s="1">
        <v>46052</v>
      </c>
    </row>
    <row r="595" spans="1:4" x14ac:dyDescent="0.25">
      <c r="A595" t="s">
        <v>1635</v>
      </c>
      <c r="B595" t="s">
        <v>53</v>
      </c>
      <c r="C595">
        <v>7</v>
      </c>
      <c r="D595" s="1">
        <v>46083</v>
      </c>
    </row>
    <row r="596" spans="1:4" x14ac:dyDescent="0.25">
      <c r="A596" t="s">
        <v>1636</v>
      </c>
      <c r="B596" t="s">
        <v>45</v>
      </c>
      <c r="C596">
        <v>6</v>
      </c>
      <c r="D596" s="1">
        <v>46060</v>
      </c>
    </row>
    <row r="597" spans="1:4" x14ac:dyDescent="0.25">
      <c r="A597" t="s">
        <v>1637</v>
      </c>
      <c r="B597" t="s">
        <v>80</v>
      </c>
      <c r="C597">
        <v>14</v>
      </c>
      <c r="D597" s="1">
        <v>46109</v>
      </c>
    </row>
    <row r="598" spans="1:4" x14ac:dyDescent="0.25">
      <c r="A598" t="s">
        <v>1638</v>
      </c>
      <c r="B598" t="s">
        <v>56</v>
      </c>
      <c r="C598">
        <v>27</v>
      </c>
      <c r="D598" s="1">
        <v>46062</v>
      </c>
    </row>
    <row r="599" spans="1:4" x14ac:dyDescent="0.25">
      <c r="A599" t="s">
        <v>1639</v>
      </c>
      <c r="B599" t="s">
        <v>113</v>
      </c>
      <c r="C599">
        <v>25</v>
      </c>
      <c r="D599" s="1">
        <v>46099</v>
      </c>
    </row>
    <row r="600" spans="1:4" x14ac:dyDescent="0.25">
      <c r="A600" t="s">
        <v>1640</v>
      </c>
      <c r="B600" t="s">
        <v>108</v>
      </c>
      <c r="C600">
        <v>27</v>
      </c>
      <c r="D600" s="1">
        <v>46082</v>
      </c>
    </row>
    <row r="601" spans="1:4" x14ac:dyDescent="0.25">
      <c r="A601" t="s">
        <v>1641</v>
      </c>
      <c r="B601" t="s">
        <v>58</v>
      </c>
      <c r="C601">
        <v>18</v>
      </c>
      <c r="D601" s="1">
        <v>46042</v>
      </c>
    </row>
    <row r="602" spans="1:4" x14ac:dyDescent="0.25">
      <c r="A602" t="s">
        <v>1642</v>
      </c>
      <c r="B602" t="s">
        <v>122</v>
      </c>
      <c r="C602">
        <v>16</v>
      </c>
      <c r="D602" s="1">
        <v>46094</v>
      </c>
    </row>
    <row r="603" spans="1:4" x14ac:dyDescent="0.25">
      <c r="A603" t="s">
        <v>1643</v>
      </c>
      <c r="B603" t="s">
        <v>83</v>
      </c>
      <c r="C603">
        <v>19</v>
      </c>
      <c r="D603" s="1">
        <v>46081</v>
      </c>
    </row>
    <row r="604" spans="1:4" x14ac:dyDescent="0.25">
      <c r="A604" t="s">
        <v>1644</v>
      </c>
      <c r="B604" t="s">
        <v>104</v>
      </c>
      <c r="C604">
        <v>27</v>
      </c>
      <c r="D604" s="1">
        <v>46077</v>
      </c>
    </row>
    <row r="605" spans="1:4" x14ac:dyDescent="0.25">
      <c r="A605" t="s">
        <v>1645</v>
      </c>
      <c r="B605" t="s">
        <v>124</v>
      </c>
      <c r="C605">
        <v>26</v>
      </c>
      <c r="D605" s="1">
        <v>46078</v>
      </c>
    </row>
    <row r="606" spans="1:4" x14ac:dyDescent="0.25">
      <c r="A606" t="s">
        <v>1646</v>
      </c>
      <c r="B606" t="s">
        <v>56</v>
      </c>
      <c r="C606">
        <v>23</v>
      </c>
      <c r="D606" s="1">
        <v>46103</v>
      </c>
    </row>
    <row r="607" spans="1:4" x14ac:dyDescent="0.25">
      <c r="A607" t="s">
        <v>1647</v>
      </c>
      <c r="B607" t="s">
        <v>79</v>
      </c>
      <c r="C607">
        <v>9</v>
      </c>
      <c r="D607" s="1">
        <v>46061</v>
      </c>
    </row>
    <row r="608" spans="1:4" x14ac:dyDescent="0.25">
      <c r="A608" t="s">
        <v>1648</v>
      </c>
      <c r="B608" t="s">
        <v>89</v>
      </c>
      <c r="C608">
        <v>29</v>
      </c>
      <c r="D608" s="1">
        <v>46092</v>
      </c>
    </row>
    <row r="609" spans="1:4" x14ac:dyDescent="0.25">
      <c r="A609" t="s">
        <v>1649</v>
      </c>
      <c r="B609" t="s">
        <v>97</v>
      </c>
      <c r="C609">
        <v>24</v>
      </c>
      <c r="D609" s="1">
        <v>46067</v>
      </c>
    </row>
    <row r="610" spans="1:4" x14ac:dyDescent="0.25">
      <c r="A610" t="s">
        <v>1650</v>
      </c>
      <c r="B610" t="s">
        <v>108</v>
      </c>
      <c r="C610">
        <v>29</v>
      </c>
      <c r="D610" s="1">
        <v>46079</v>
      </c>
    </row>
    <row r="611" spans="1:4" x14ac:dyDescent="0.25">
      <c r="A611" t="s">
        <v>1651</v>
      </c>
      <c r="B611" t="s">
        <v>69</v>
      </c>
      <c r="C611">
        <v>17</v>
      </c>
      <c r="D611" s="1">
        <v>46102</v>
      </c>
    </row>
    <row r="612" spans="1:4" x14ac:dyDescent="0.25">
      <c r="A612" t="s">
        <v>1652</v>
      </c>
      <c r="B612" t="s">
        <v>128</v>
      </c>
      <c r="C612">
        <v>3</v>
      </c>
      <c r="D612" s="1">
        <v>46061</v>
      </c>
    </row>
    <row r="613" spans="1:4" x14ac:dyDescent="0.25">
      <c r="A613" t="s">
        <v>1653</v>
      </c>
      <c r="B613" t="s">
        <v>80</v>
      </c>
      <c r="C613">
        <v>25</v>
      </c>
      <c r="D613" s="1">
        <v>46052</v>
      </c>
    </row>
    <row r="614" spans="1:4" x14ac:dyDescent="0.25">
      <c r="A614" t="s">
        <v>1654</v>
      </c>
      <c r="B614" t="s">
        <v>128</v>
      </c>
      <c r="C614">
        <v>5</v>
      </c>
      <c r="D614" s="1">
        <v>46082</v>
      </c>
    </row>
    <row r="615" spans="1:4" x14ac:dyDescent="0.25">
      <c r="A615" t="s">
        <v>1655</v>
      </c>
      <c r="B615" t="s">
        <v>114</v>
      </c>
      <c r="C615">
        <v>20</v>
      </c>
      <c r="D615" s="1">
        <v>46091</v>
      </c>
    </row>
    <row r="616" spans="1:4" x14ac:dyDescent="0.25">
      <c r="A616" t="s">
        <v>1656</v>
      </c>
      <c r="B616" t="s">
        <v>59</v>
      </c>
      <c r="C616">
        <v>23</v>
      </c>
      <c r="D616" s="1">
        <v>46079</v>
      </c>
    </row>
    <row r="617" spans="1:4" x14ac:dyDescent="0.25">
      <c r="A617" t="s">
        <v>1657</v>
      </c>
      <c r="B617" t="s">
        <v>50</v>
      </c>
      <c r="C617">
        <v>7</v>
      </c>
      <c r="D617" s="1">
        <v>46079</v>
      </c>
    </row>
    <row r="618" spans="1:4" x14ac:dyDescent="0.25">
      <c r="A618" t="s">
        <v>1658</v>
      </c>
      <c r="B618" t="s">
        <v>101</v>
      </c>
      <c r="C618">
        <v>4</v>
      </c>
      <c r="D618" s="1">
        <v>46107</v>
      </c>
    </row>
    <row r="619" spans="1:4" x14ac:dyDescent="0.25">
      <c r="A619" t="s">
        <v>1659</v>
      </c>
      <c r="B619" t="s">
        <v>139</v>
      </c>
      <c r="C619">
        <v>16</v>
      </c>
      <c r="D619" s="1">
        <v>46029</v>
      </c>
    </row>
    <row r="620" spans="1:4" x14ac:dyDescent="0.25">
      <c r="A620" t="s">
        <v>1660</v>
      </c>
      <c r="B620" t="s">
        <v>72</v>
      </c>
      <c r="C620">
        <v>20</v>
      </c>
      <c r="D620" s="1">
        <v>46102</v>
      </c>
    </row>
    <row r="621" spans="1:4" x14ac:dyDescent="0.25">
      <c r="A621" t="s">
        <v>1661</v>
      </c>
      <c r="B621" t="s">
        <v>57</v>
      </c>
      <c r="C621">
        <v>23</v>
      </c>
      <c r="D621" s="1">
        <v>46045</v>
      </c>
    </row>
    <row r="622" spans="1:4" x14ac:dyDescent="0.25">
      <c r="A622" t="s">
        <v>1662</v>
      </c>
      <c r="B622" t="s">
        <v>54</v>
      </c>
      <c r="C622">
        <v>13</v>
      </c>
      <c r="D622" s="1">
        <v>46045</v>
      </c>
    </row>
    <row r="623" spans="1:4" x14ac:dyDescent="0.25">
      <c r="A623" t="s">
        <v>1663</v>
      </c>
      <c r="B623" t="s">
        <v>129</v>
      </c>
      <c r="C623">
        <v>24</v>
      </c>
      <c r="D623" s="1">
        <v>46076</v>
      </c>
    </row>
    <row r="624" spans="1:4" x14ac:dyDescent="0.25">
      <c r="A624" t="s">
        <v>1664</v>
      </c>
      <c r="B624" t="s">
        <v>138</v>
      </c>
      <c r="C624">
        <v>11</v>
      </c>
      <c r="D624" s="1">
        <v>46117</v>
      </c>
    </row>
    <row r="625" spans="1:4" x14ac:dyDescent="0.25">
      <c r="A625" t="s">
        <v>1665</v>
      </c>
      <c r="B625" t="s">
        <v>61</v>
      </c>
      <c r="C625">
        <v>1</v>
      </c>
      <c r="D625" s="1">
        <v>46033</v>
      </c>
    </row>
    <row r="626" spans="1:4" x14ac:dyDescent="0.25">
      <c r="A626" t="s">
        <v>1666</v>
      </c>
      <c r="B626" t="s">
        <v>105</v>
      </c>
      <c r="C626">
        <v>1</v>
      </c>
      <c r="D626" s="1">
        <v>46065</v>
      </c>
    </row>
    <row r="627" spans="1:4" x14ac:dyDescent="0.25">
      <c r="A627" t="s">
        <v>1667</v>
      </c>
      <c r="B627" t="s">
        <v>96</v>
      </c>
      <c r="C627">
        <v>2</v>
      </c>
      <c r="D627" s="1">
        <v>46045</v>
      </c>
    </row>
    <row r="628" spans="1:4" x14ac:dyDescent="0.25">
      <c r="A628" t="s">
        <v>1668</v>
      </c>
      <c r="B628" t="s">
        <v>94</v>
      </c>
      <c r="C628">
        <v>27</v>
      </c>
      <c r="D628" s="1">
        <v>46091</v>
      </c>
    </row>
    <row r="629" spans="1:4" x14ac:dyDescent="0.25">
      <c r="A629" t="s">
        <v>1669</v>
      </c>
      <c r="B629" t="s">
        <v>82</v>
      </c>
      <c r="C629">
        <v>19</v>
      </c>
      <c r="D629" s="1">
        <v>46032</v>
      </c>
    </row>
    <row r="630" spans="1:4" x14ac:dyDescent="0.25">
      <c r="A630" t="s">
        <v>1670</v>
      </c>
      <c r="B630" t="s">
        <v>139</v>
      </c>
      <c r="C630">
        <v>10</v>
      </c>
      <c r="D630" s="1">
        <v>46109</v>
      </c>
    </row>
    <row r="631" spans="1:4" x14ac:dyDescent="0.25">
      <c r="A631" t="s">
        <v>1671</v>
      </c>
      <c r="B631" t="s">
        <v>48</v>
      </c>
      <c r="C631">
        <v>12</v>
      </c>
      <c r="D631" s="1">
        <v>46069</v>
      </c>
    </row>
    <row r="632" spans="1:4" x14ac:dyDescent="0.25">
      <c r="A632" t="s">
        <v>1672</v>
      </c>
      <c r="B632" t="s">
        <v>127</v>
      </c>
      <c r="C632">
        <v>30</v>
      </c>
      <c r="D632" s="1">
        <v>46113</v>
      </c>
    </row>
    <row r="633" spans="1:4" x14ac:dyDescent="0.25">
      <c r="A633" t="s">
        <v>1673</v>
      </c>
      <c r="B633" t="s">
        <v>121</v>
      </c>
      <c r="C633">
        <v>25</v>
      </c>
      <c r="D633" s="1">
        <v>46094</v>
      </c>
    </row>
    <row r="634" spans="1:4" x14ac:dyDescent="0.25">
      <c r="A634" t="s">
        <v>1674</v>
      </c>
      <c r="B634" t="s">
        <v>130</v>
      </c>
      <c r="C634">
        <v>21</v>
      </c>
      <c r="D634" s="1">
        <v>46094</v>
      </c>
    </row>
    <row r="635" spans="1:4" x14ac:dyDescent="0.25">
      <c r="A635" t="s">
        <v>1675</v>
      </c>
      <c r="B635" t="s">
        <v>65</v>
      </c>
      <c r="C635">
        <v>11</v>
      </c>
      <c r="D635" s="1">
        <v>46116</v>
      </c>
    </row>
    <row r="636" spans="1:4" x14ac:dyDescent="0.25">
      <c r="A636" t="s">
        <v>1676</v>
      </c>
      <c r="B636" t="s">
        <v>72</v>
      </c>
      <c r="C636">
        <v>17</v>
      </c>
      <c r="D636" s="1">
        <v>46056</v>
      </c>
    </row>
    <row r="637" spans="1:4" x14ac:dyDescent="0.25">
      <c r="A637" t="s">
        <v>1677</v>
      </c>
      <c r="B637" t="s">
        <v>99</v>
      </c>
      <c r="C637">
        <v>15</v>
      </c>
      <c r="D637" s="1">
        <v>46046</v>
      </c>
    </row>
    <row r="638" spans="1:4" x14ac:dyDescent="0.25">
      <c r="A638" t="s">
        <v>1678</v>
      </c>
      <c r="B638" t="s">
        <v>39</v>
      </c>
      <c r="C638">
        <v>19</v>
      </c>
      <c r="D638" s="1">
        <v>46086</v>
      </c>
    </row>
    <row r="639" spans="1:4" x14ac:dyDescent="0.25">
      <c r="A639" t="s">
        <v>1679</v>
      </c>
      <c r="B639" t="s">
        <v>85</v>
      </c>
      <c r="C639">
        <v>24</v>
      </c>
      <c r="D639" s="1">
        <v>46077</v>
      </c>
    </row>
    <row r="640" spans="1:4" x14ac:dyDescent="0.25">
      <c r="A640" t="s">
        <v>1680</v>
      </c>
      <c r="B640" t="s">
        <v>103</v>
      </c>
      <c r="C640">
        <v>5</v>
      </c>
      <c r="D640" s="1">
        <v>46068</v>
      </c>
    </row>
    <row r="641" spans="1:4" x14ac:dyDescent="0.25">
      <c r="A641" t="s">
        <v>1681</v>
      </c>
      <c r="B641" t="s">
        <v>68</v>
      </c>
      <c r="C641">
        <v>23</v>
      </c>
      <c r="D641" s="1">
        <v>46113</v>
      </c>
    </row>
    <row r="642" spans="1:4" x14ac:dyDescent="0.25">
      <c r="A642" t="s">
        <v>1682</v>
      </c>
      <c r="B642" t="s">
        <v>93</v>
      </c>
      <c r="C642">
        <v>12</v>
      </c>
      <c r="D642" s="1">
        <v>46069</v>
      </c>
    </row>
    <row r="643" spans="1:4" x14ac:dyDescent="0.25">
      <c r="A643" t="s">
        <v>1683</v>
      </c>
      <c r="B643" t="s">
        <v>138</v>
      </c>
      <c r="C643">
        <v>20</v>
      </c>
      <c r="D643" s="1">
        <v>46033</v>
      </c>
    </row>
    <row r="644" spans="1:4" x14ac:dyDescent="0.25">
      <c r="A644" t="s">
        <v>1684</v>
      </c>
      <c r="B644" t="s">
        <v>86</v>
      </c>
      <c r="C644">
        <v>27</v>
      </c>
      <c r="D644" s="1">
        <v>46076</v>
      </c>
    </row>
    <row r="645" spans="1:4" x14ac:dyDescent="0.25">
      <c r="A645" t="s">
        <v>1685</v>
      </c>
      <c r="B645" t="s">
        <v>53</v>
      </c>
      <c r="C645">
        <v>9</v>
      </c>
      <c r="D645" s="1">
        <v>46075</v>
      </c>
    </row>
    <row r="646" spans="1:4" x14ac:dyDescent="0.25">
      <c r="A646" t="s">
        <v>1686</v>
      </c>
      <c r="B646" t="s">
        <v>130</v>
      </c>
      <c r="C646">
        <v>3</v>
      </c>
      <c r="D646" s="1">
        <v>46035</v>
      </c>
    </row>
    <row r="647" spans="1:4" x14ac:dyDescent="0.25">
      <c r="A647" t="s">
        <v>1687</v>
      </c>
      <c r="B647" t="s">
        <v>88</v>
      </c>
      <c r="C647">
        <v>17</v>
      </c>
      <c r="D647" s="1">
        <v>46060</v>
      </c>
    </row>
    <row r="648" spans="1:4" x14ac:dyDescent="0.25">
      <c r="A648" t="s">
        <v>1688</v>
      </c>
      <c r="B648" t="s">
        <v>70</v>
      </c>
      <c r="C648">
        <v>24</v>
      </c>
      <c r="D648" s="1">
        <v>46041</v>
      </c>
    </row>
    <row r="649" spans="1:4" x14ac:dyDescent="0.25">
      <c r="A649" t="s">
        <v>1689</v>
      </c>
      <c r="B649" t="s">
        <v>62</v>
      </c>
      <c r="C649">
        <v>22</v>
      </c>
      <c r="D649" s="1">
        <v>46107</v>
      </c>
    </row>
    <row r="650" spans="1:4" x14ac:dyDescent="0.25">
      <c r="A650" t="s">
        <v>1690</v>
      </c>
      <c r="B650" t="s">
        <v>85</v>
      </c>
      <c r="C650">
        <v>28</v>
      </c>
      <c r="D650" s="1">
        <v>46099</v>
      </c>
    </row>
    <row r="651" spans="1:4" x14ac:dyDescent="0.25">
      <c r="A651" t="s">
        <v>1691</v>
      </c>
      <c r="B651" t="s">
        <v>47</v>
      </c>
      <c r="C651">
        <v>15</v>
      </c>
      <c r="D651" s="1">
        <v>46070</v>
      </c>
    </row>
    <row r="652" spans="1:4" x14ac:dyDescent="0.25">
      <c r="A652" t="s">
        <v>1692</v>
      </c>
      <c r="B652" t="s">
        <v>132</v>
      </c>
      <c r="C652">
        <v>26</v>
      </c>
      <c r="D652" s="1">
        <v>46029</v>
      </c>
    </row>
    <row r="653" spans="1:4" x14ac:dyDescent="0.25">
      <c r="A653" t="s">
        <v>1693</v>
      </c>
      <c r="B653" t="s">
        <v>137</v>
      </c>
      <c r="C653">
        <v>28</v>
      </c>
      <c r="D653" s="1">
        <v>46032</v>
      </c>
    </row>
    <row r="654" spans="1:4" x14ac:dyDescent="0.25">
      <c r="A654" t="s">
        <v>1694</v>
      </c>
      <c r="B654" t="s">
        <v>138</v>
      </c>
      <c r="C654">
        <v>17</v>
      </c>
      <c r="D654" s="1">
        <v>46057</v>
      </c>
    </row>
    <row r="655" spans="1:4" x14ac:dyDescent="0.25">
      <c r="A655" t="s">
        <v>1695</v>
      </c>
      <c r="B655" t="s">
        <v>67</v>
      </c>
      <c r="C655">
        <v>24</v>
      </c>
      <c r="D655" s="1">
        <v>46095</v>
      </c>
    </row>
    <row r="656" spans="1:4" x14ac:dyDescent="0.25">
      <c r="A656" t="s">
        <v>1696</v>
      </c>
      <c r="B656" t="s">
        <v>74</v>
      </c>
      <c r="C656">
        <v>6</v>
      </c>
      <c r="D656" s="1">
        <v>46111</v>
      </c>
    </row>
    <row r="657" spans="1:4" x14ac:dyDescent="0.25">
      <c r="A657" t="s">
        <v>1697</v>
      </c>
      <c r="B657" t="s">
        <v>90</v>
      </c>
      <c r="C657">
        <v>29</v>
      </c>
      <c r="D657" s="1">
        <v>46032</v>
      </c>
    </row>
    <row r="658" spans="1:4" x14ac:dyDescent="0.25">
      <c r="A658" t="s">
        <v>1698</v>
      </c>
      <c r="B658" t="s">
        <v>79</v>
      </c>
      <c r="C658">
        <v>4</v>
      </c>
      <c r="D658" s="1">
        <v>46069</v>
      </c>
    </row>
    <row r="659" spans="1:4" x14ac:dyDescent="0.25">
      <c r="A659" t="s">
        <v>1699</v>
      </c>
      <c r="B659" t="s">
        <v>54</v>
      </c>
      <c r="C659">
        <v>30</v>
      </c>
      <c r="D659" s="1">
        <v>46103</v>
      </c>
    </row>
    <row r="660" spans="1:4" x14ac:dyDescent="0.25">
      <c r="A660" t="s">
        <v>1700</v>
      </c>
      <c r="B660" t="s">
        <v>41</v>
      </c>
      <c r="C660">
        <v>23</v>
      </c>
      <c r="D660" s="1">
        <v>46102</v>
      </c>
    </row>
    <row r="661" spans="1:4" x14ac:dyDescent="0.25">
      <c r="A661" t="s">
        <v>1701</v>
      </c>
      <c r="B661" t="s">
        <v>42</v>
      </c>
      <c r="C661">
        <v>6</v>
      </c>
      <c r="D661" s="1">
        <v>46091</v>
      </c>
    </row>
    <row r="662" spans="1:4" x14ac:dyDescent="0.25">
      <c r="A662" t="s">
        <v>1702</v>
      </c>
      <c r="B662" t="s">
        <v>95</v>
      </c>
      <c r="C662">
        <v>26</v>
      </c>
      <c r="D662" s="1">
        <v>46041</v>
      </c>
    </row>
    <row r="663" spans="1:4" x14ac:dyDescent="0.25">
      <c r="A663" t="s">
        <v>1703</v>
      </c>
      <c r="B663" t="s">
        <v>42</v>
      </c>
      <c r="C663">
        <v>1</v>
      </c>
      <c r="D663" s="1">
        <v>46039</v>
      </c>
    </row>
    <row r="664" spans="1:4" x14ac:dyDescent="0.25">
      <c r="A664" t="s">
        <v>1704</v>
      </c>
      <c r="B664" t="s">
        <v>59</v>
      </c>
      <c r="C664">
        <v>7</v>
      </c>
      <c r="D664" s="1">
        <v>46072</v>
      </c>
    </row>
    <row r="665" spans="1:4" x14ac:dyDescent="0.25">
      <c r="A665" t="s">
        <v>1705</v>
      </c>
      <c r="B665" t="s">
        <v>139</v>
      </c>
      <c r="C665">
        <v>3</v>
      </c>
      <c r="D665" s="1">
        <v>46051</v>
      </c>
    </row>
    <row r="666" spans="1:4" x14ac:dyDescent="0.25">
      <c r="A666" t="s">
        <v>1706</v>
      </c>
      <c r="B666" t="s">
        <v>119</v>
      </c>
      <c r="C666">
        <v>3</v>
      </c>
      <c r="D666" s="1">
        <v>46064</v>
      </c>
    </row>
    <row r="667" spans="1:4" x14ac:dyDescent="0.25">
      <c r="A667" t="s">
        <v>1707</v>
      </c>
      <c r="B667" t="s">
        <v>106</v>
      </c>
      <c r="C667">
        <v>29</v>
      </c>
      <c r="D667" s="1">
        <v>46112</v>
      </c>
    </row>
    <row r="668" spans="1:4" x14ac:dyDescent="0.25">
      <c r="A668" t="s">
        <v>1708</v>
      </c>
      <c r="B668" t="s">
        <v>59</v>
      </c>
      <c r="C668">
        <v>16</v>
      </c>
      <c r="D668" s="1">
        <v>46064</v>
      </c>
    </row>
    <row r="669" spans="1:4" x14ac:dyDescent="0.25">
      <c r="A669" t="s">
        <v>1709</v>
      </c>
      <c r="B669" t="s">
        <v>58</v>
      </c>
      <c r="C669">
        <v>11</v>
      </c>
      <c r="D669" s="1">
        <v>46103</v>
      </c>
    </row>
    <row r="670" spans="1:4" x14ac:dyDescent="0.25">
      <c r="A670" t="s">
        <v>1710</v>
      </c>
      <c r="B670" t="s">
        <v>68</v>
      </c>
      <c r="C670">
        <v>6</v>
      </c>
      <c r="D670" s="1">
        <v>46096</v>
      </c>
    </row>
    <row r="671" spans="1:4" x14ac:dyDescent="0.25">
      <c r="A671" t="s">
        <v>1711</v>
      </c>
      <c r="B671" t="s">
        <v>135</v>
      </c>
      <c r="C671">
        <v>1</v>
      </c>
      <c r="D671" s="1">
        <v>46108</v>
      </c>
    </row>
    <row r="672" spans="1:4" x14ac:dyDescent="0.25">
      <c r="A672" t="s">
        <v>1712</v>
      </c>
      <c r="B672" t="s">
        <v>74</v>
      </c>
      <c r="C672">
        <v>8</v>
      </c>
      <c r="D672" s="1">
        <v>46102</v>
      </c>
    </row>
    <row r="673" spans="1:4" x14ac:dyDescent="0.25">
      <c r="A673" t="s">
        <v>1713</v>
      </c>
      <c r="B673" t="s">
        <v>126</v>
      </c>
      <c r="C673">
        <v>25</v>
      </c>
      <c r="D673" s="1">
        <v>46102</v>
      </c>
    </row>
    <row r="674" spans="1:4" x14ac:dyDescent="0.25">
      <c r="A674" t="s">
        <v>1714</v>
      </c>
      <c r="B674" t="s">
        <v>52</v>
      </c>
      <c r="C674">
        <v>5</v>
      </c>
      <c r="D674" s="1">
        <v>46050</v>
      </c>
    </row>
    <row r="675" spans="1:4" x14ac:dyDescent="0.25">
      <c r="A675" t="s">
        <v>1715</v>
      </c>
      <c r="B675" t="s">
        <v>80</v>
      </c>
      <c r="C675">
        <v>26</v>
      </c>
      <c r="D675" s="1">
        <v>46044</v>
      </c>
    </row>
    <row r="676" spans="1:4" x14ac:dyDescent="0.25">
      <c r="A676" t="s">
        <v>1716</v>
      </c>
      <c r="B676" t="s">
        <v>118</v>
      </c>
      <c r="C676">
        <v>26</v>
      </c>
      <c r="D676" s="1">
        <v>46060</v>
      </c>
    </row>
    <row r="677" spans="1:4" x14ac:dyDescent="0.25">
      <c r="A677" t="s">
        <v>1717</v>
      </c>
      <c r="B677" t="s">
        <v>124</v>
      </c>
      <c r="C677">
        <v>29</v>
      </c>
      <c r="D677" s="1">
        <v>46114</v>
      </c>
    </row>
    <row r="678" spans="1:4" x14ac:dyDescent="0.25">
      <c r="A678" t="s">
        <v>1718</v>
      </c>
      <c r="B678" t="s">
        <v>115</v>
      </c>
      <c r="C678">
        <v>18</v>
      </c>
      <c r="D678" s="1">
        <v>46065</v>
      </c>
    </row>
    <row r="679" spans="1:4" x14ac:dyDescent="0.25">
      <c r="A679" t="s">
        <v>1719</v>
      </c>
      <c r="B679" t="s">
        <v>39</v>
      </c>
      <c r="C679">
        <v>20</v>
      </c>
      <c r="D679" s="1">
        <v>46096</v>
      </c>
    </row>
    <row r="680" spans="1:4" x14ac:dyDescent="0.25">
      <c r="A680" t="s">
        <v>1720</v>
      </c>
      <c r="B680" t="s">
        <v>116</v>
      </c>
      <c r="C680">
        <v>13</v>
      </c>
      <c r="D680" s="1">
        <v>46029</v>
      </c>
    </row>
    <row r="681" spans="1:4" x14ac:dyDescent="0.25">
      <c r="A681" t="s">
        <v>1721</v>
      </c>
      <c r="B681" t="s">
        <v>62</v>
      </c>
      <c r="C681">
        <v>2</v>
      </c>
      <c r="D681" s="1">
        <v>46113</v>
      </c>
    </row>
    <row r="682" spans="1:4" x14ac:dyDescent="0.25">
      <c r="A682" t="s">
        <v>1722</v>
      </c>
      <c r="B682" t="s">
        <v>128</v>
      </c>
      <c r="C682">
        <v>13</v>
      </c>
      <c r="D682" s="1">
        <v>46113</v>
      </c>
    </row>
    <row r="683" spans="1:4" x14ac:dyDescent="0.25">
      <c r="A683" t="s">
        <v>1723</v>
      </c>
      <c r="B683" t="s">
        <v>86</v>
      </c>
      <c r="C683">
        <v>20</v>
      </c>
      <c r="D683" s="1">
        <v>46057</v>
      </c>
    </row>
    <row r="684" spans="1:4" x14ac:dyDescent="0.25">
      <c r="A684" t="s">
        <v>1724</v>
      </c>
      <c r="B684" t="s">
        <v>138</v>
      </c>
      <c r="C684">
        <v>11</v>
      </c>
      <c r="D684" s="1">
        <v>46089</v>
      </c>
    </row>
    <row r="685" spans="1:4" x14ac:dyDescent="0.25">
      <c r="A685" t="s">
        <v>1725</v>
      </c>
      <c r="B685" t="s">
        <v>67</v>
      </c>
      <c r="C685">
        <v>5</v>
      </c>
      <c r="D685" s="1">
        <v>46117</v>
      </c>
    </row>
    <row r="686" spans="1:4" x14ac:dyDescent="0.25">
      <c r="A686" t="s">
        <v>1726</v>
      </c>
      <c r="B686" t="s">
        <v>123</v>
      </c>
      <c r="C686">
        <v>13</v>
      </c>
      <c r="D686" s="1">
        <v>46084</v>
      </c>
    </row>
    <row r="687" spans="1:4" x14ac:dyDescent="0.25">
      <c r="A687" t="s">
        <v>1727</v>
      </c>
      <c r="B687" t="s">
        <v>91</v>
      </c>
      <c r="C687">
        <v>19</v>
      </c>
      <c r="D687" s="1">
        <v>46111</v>
      </c>
    </row>
    <row r="688" spans="1:4" x14ac:dyDescent="0.25">
      <c r="A688" t="s">
        <v>1728</v>
      </c>
      <c r="B688" t="s">
        <v>122</v>
      </c>
      <c r="C688">
        <v>24</v>
      </c>
      <c r="D688" s="1">
        <v>46049</v>
      </c>
    </row>
    <row r="689" spans="1:4" x14ac:dyDescent="0.25">
      <c r="A689" t="s">
        <v>1729</v>
      </c>
      <c r="B689" t="s">
        <v>55</v>
      </c>
      <c r="C689">
        <v>30</v>
      </c>
      <c r="D689" s="1">
        <v>46105</v>
      </c>
    </row>
    <row r="690" spans="1:4" x14ac:dyDescent="0.25">
      <c r="A690" t="s">
        <v>1730</v>
      </c>
      <c r="B690" t="s">
        <v>121</v>
      </c>
      <c r="C690">
        <v>15</v>
      </c>
      <c r="D690" s="1">
        <v>46098</v>
      </c>
    </row>
    <row r="691" spans="1:4" x14ac:dyDescent="0.25">
      <c r="A691" t="s">
        <v>1731</v>
      </c>
      <c r="B691" t="s">
        <v>47</v>
      </c>
      <c r="C691">
        <v>18</v>
      </c>
      <c r="D691" s="1">
        <v>46110</v>
      </c>
    </row>
    <row r="692" spans="1:4" x14ac:dyDescent="0.25">
      <c r="A692" t="s">
        <v>1732</v>
      </c>
      <c r="B692" t="s">
        <v>131</v>
      </c>
      <c r="C692">
        <v>22</v>
      </c>
      <c r="D692" s="1">
        <v>46036</v>
      </c>
    </row>
    <row r="693" spans="1:4" x14ac:dyDescent="0.25">
      <c r="A693" t="s">
        <v>1733</v>
      </c>
      <c r="B693" t="s">
        <v>85</v>
      </c>
      <c r="C693">
        <v>22</v>
      </c>
      <c r="D693" s="1">
        <v>46109</v>
      </c>
    </row>
    <row r="694" spans="1:4" x14ac:dyDescent="0.25">
      <c r="A694" t="s">
        <v>1734</v>
      </c>
      <c r="B694" t="s">
        <v>113</v>
      </c>
      <c r="C694">
        <v>23</v>
      </c>
      <c r="D694" s="1">
        <v>46067</v>
      </c>
    </row>
    <row r="695" spans="1:4" x14ac:dyDescent="0.25">
      <c r="A695" t="s">
        <v>1735</v>
      </c>
      <c r="B695" t="s">
        <v>96</v>
      </c>
      <c r="C695">
        <v>8</v>
      </c>
      <c r="D695" s="1">
        <v>46046</v>
      </c>
    </row>
    <row r="696" spans="1:4" x14ac:dyDescent="0.25">
      <c r="A696" t="s">
        <v>1736</v>
      </c>
      <c r="B696" t="s">
        <v>110</v>
      </c>
      <c r="C696">
        <v>5</v>
      </c>
      <c r="D696" s="1">
        <v>46054</v>
      </c>
    </row>
    <row r="697" spans="1:4" x14ac:dyDescent="0.25">
      <c r="A697" t="s">
        <v>1737</v>
      </c>
      <c r="B697" t="s">
        <v>137</v>
      </c>
      <c r="C697">
        <v>25</v>
      </c>
      <c r="D697" s="1">
        <v>46064</v>
      </c>
    </row>
    <row r="698" spans="1:4" x14ac:dyDescent="0.25">
      <c r="A698" t="s">
        <v>1738</v>
      </c>
      <c r="B698" t="s">
        <v>98</v>
      </c>
      <c r="C698">
        <v>25</v>
      </c>
      <c r="D698" s="1">
        <v>46118</v>
      </c>
    </row>
    <row r="699" spans="1:4" x14ac:dyDescent="0.25">
      <c r="A699" t="s">
        <v>1739</v>
      </c>
      <c r="B699" t="s">
        <v>109</v>
      </c>
      <c r="C699">
        <v>4</v>
      </c>
      <c r="D699" s="1">
        <v>46032</v>
      </c>
    </row>
    <row r="700" spans="1:4" x14ac:dyDescent="0.25">
      <c r="A700" t="s">
        <v>1740</v>
      </c>
      <c r="B700" t="s">
        <v>43</v>
      </c>
      <c r="C700">
        <v>15</v>
      </c>
      <c r="D700" s="1">
        <v>46088</v>
      </c>
    </row>
    <row r="701" spans="1:4" x14ac:dyDescent="0.25">
      <c r="A701" t="s">
        <v>1741</v>
      </c>
      <c r="B701" t="s">
        <v>88</v>
      </c>
      <c r="C701">
        <v>3</v>
      </c>
      <c r="D701" s="1">
        <v>46089</v>
      </c>
    </row>
    <row r="702" spans="1:4" x14ac:dyDescent="0.25">
      <c r="A702" t="s">
        <v>1742</v>
      </c>
      <c r="B702" t="s">
        <v>128</v>
      </c>
      <c r="C702">
        <v>17</v>
      </c>
      <c r="D702" s="1">
        <v>46117</v>
      </c>
    </row>
    <row r="703" spans="1:4" x14ac:dyDescent="0.25">
      <c r="A703" t="s">
        <v>1743</v>
      </c>
      <c r="B703" t="s">
        <v>110</v>
      </c>
      <c r="C703">
        <v>30</v>
      </c>
      <c r="D703" s="1">
        <v>46034</v>
      </c>
    </row>
    <row r="704" spans="1:4" x14ac:dyDescent="0.25">
      <c r="A704" t="s">
        <v>1744</v>
      </c>
      <c r="B704" t="s">
        <v>64</v>
      </c>
      <c r="C704">
        <v>1</v>
      </c>
      <c r="D704" s="1">
        <v>46099</v>
      </c>
    </row>
    <row r="705" spans="1:4" x14ac:dyDescent="0.25">
      <c r="A705" t="s">
        <v>1745</v>
      </c>
      <c r="B705" t="s">
        <v>62</v>
      </c>
      <c r="C705">
        <v>18</v>
      </c>
      <c r="D705" s="1">
        <v>46054</v>
      </c>
    </row>
    <row r="706" spans="1:4" x14ac:dyDescent="0.25">
      <c r="A706" t="s">
        <v>1746</v>
      </c>
      <c r="B706" t="s">
        <v>59</v>
      </c>
      <c r="C706">
        <v>4</v>
      </c>
      <c r="D706" s="1">
        <v>46052</v>
      </c>
    </row>
    <row r="707" spans="1:4" x14ac:dyDescent="0.25">
      <c r="A707" t="s">
        <v>1747</v>
      </c>
      <c r="B707" t="s">
        <v>85</v>
      </c>
      <c r="C707">
        <v>2</v>
      </c>
      <c r="D707" s="1">
        <v>46093</v>
      </c>
    </row>
    <row r="708" spans="1:4" x14ac:dyDescent="0.25">
      <c r="A708" t="s">
        <v>1748</v>
      </c>
      <c r="B708" t="s">
        <v>99</v>
      </c>
      <c r="C708">
        <v>2</v>
      </c>
      <c r="D708" s="1">
        <v>46110</v>
      </c>
    </row>
    <row r="709" spans="1:4" x14ac:dyDescent="0.25">
      <c r="A709" t="s">
        <v>1749</v>
      </c>
      <c r="B709" t="s">
        <v>78</v>
      </c>
      <c r="C709">
        <v>13</v>
      </c>
      <c r="D709" s="1">
        <v>46075</v>
      </c>
    </row>
    <row r="710" spans="1:4" x14ac:dyDescent="0.25">
      <c r="A710" t="s">
        <v>1750</v>
      </c>
      <c r="B710" t="s">
        <v>101</v>
      </c>
      <c r="C710">
        <v>12</v>
      </c>
      <c r="D710" s="1">
        <v>46082</v>
      </c>
    </row>
    <row r="711" spans="1:4" x14ac:dyDescent="0.25">
      <c r="A711" t="s">
        <v>1751</v>
      </c>
      <c r="B711" t="s">
        <v>62</v>
      </c>
      <c r="C711">
        <v>19</v>
      </c>
      <c r="D711" s="1">
        <v>46105</v>
      </c>
    </row>
    <row r="712" spans="1:4" x14ac:dyDescent="0.25">
      <c r="A712" t="s">
        <v>1752</v>
      </c>
      <c r="B712" t="s">
        <v>47</v>
      </c>
      <c r="C712">
        <v>25</v>
      </c>
      <c r="D712" s="1">
        <v>46057</v>
      </c>
    </row>
    <row r="713" spans="1:4" x14ac:dyDescent="0.25">
      <c r="A713" t="s">
        <v>1753</v>
      </c>
      <c r="B713" t="s">
        <v>105</v>
      </c>
      <c r="C713">
        <v>17</v>
      </c>
      <c r="D713" s="1">
        <v>46032</v>
      </c>
    </row>
    <row r="714" spans="1:4" x14ac:dyDescent="0.25">
      <c r="A714" t="s">
        <v>1754</v>
      </c>
      <c r="B714" t="s">
        <v>96</v>
      </c>
      <c r="C714">
        <v>27</v>
      </c>
      <c r="D714" s="1">
        <v>46048</v>
      </c>
    </row>
    <row r="715" spans="1:4" x14ac:dyDescent="0.25">
      <c r="A715" t="s">
        <v>1755</v>
      </c>
      <c r="B715" t="s">
        <v>129</v>
      </c>
      <c r="C715">
        <v>29</v>
      </c>
      <c r="D715" s="1">
        <v>46091</v>
      </c>
    </row>
    <row r="716" spans="1:4" x14ac:dyDescent="0.25">
      <c r="A716" t="s">
        <v>1756</v>
      </c>
      <c r="B716" t="s">
        <v>137</v>
      </c>
      <c r="C716">
        <v>6</v>
      </c>
      <c r="D716" s="1">
        <v>46064</v>
      </c>
    </row>
    <row r="717" spans="1:4" x14ac:dyDescent="0.25">
      <c r="A717" t="s">
        <v>1757</v>
      </c>
      <c r="B717" t="s">
        <v>41</v>
      </c>
      <c r="C717">
        <v>11</v>
      </c>
      <c r="D717" s="1">
        <v>46101</v>
      </c>
    </row>
    <row r="718" spans="1:4" x14ac:dyDescent="0.25">
      <c r="A718" t="s">
        <v>1758</v>
      </c>
      <c r="B718" t="s">
        <v>125</v>
      </c>
      <c r="C718">
        <v>6</v>
      </c>
      <c r="D718" s="1">
        <v>46038</v>
      </c>
    </row>
    <row r="719" spans="1:4" x14ac:dyDescent="0.25">
      <c r="A719" t="s">
        <v>1759</v>
      </c>
      <c r="B719" t="s">
        <v>127</v>
      </c>
      <c r="C719">
        <v>6</v>
      </c>
      <c r="D719" s="1">
        <v>46067</v>
      </c>
    </row>
    <row r="720" spans="1:4" x14ac:dyDescent="0.25">
      <c r="A720" t="s">
        <v>1760</v>
      </c>
      <c r="B720" t="s">
        <v>53</v>
      </c>
      <c r="C720">
        <v>13</v>
      </c>
      <c r="D720" s="1">
        <v>46079</v>
      </c>
    </row>
    <row r="721" spans="1:4" x14ac:dyDescent="0.25">
      <c r="A721" t="s">
        <v>1761</v>
      </c>
      <c r="B721" t="s">
        <v>128</v>
      </c>
      <c r="C721">
        <v>11</v>
      </c>
      <c r="D721" s="1">
        <v>46088</v>
      </c>
    </row>
    <row r="722" spans="1:4" x14ac:dyDescent="0.25">
      <c r="A722" t="s">
        <v>1762</v>
      </c>
      <c r="B722" t="s">
        <v>87</v>
      </c>
      <c r="C722">
        <v>17</v>
      </c>
      <c r="D722" s="1">
        <v>46048</v>
      </c>
    </row>
    <row r="723" spans="1:4" x14ac:dyDescent="0.25">
      <c r="A723" t="s">
        <v>1763</v>
      </c>
      <c r="B723" t="s">
        <v>135</v>
      </c>
      <c r="C723">
        <v>1</v>
      </c>
      <c r="D723" s="1">
        <v>46078</v>
      </c>
    </row>
    <row r="724" spans="1:4" x14ac:dyDescent="0.25">
      <c r="A724" t="s">
        <v>1764</v>
      </c>
      <c r="B724" t="s">
        <v>111</v>
      </c>
      <c r="C724">
        <v>5</v>
      </c>
      <c r="D724" s="1">
        <v>46052</v>
      </c>
    </row>
    <row r="725" spans="1:4" x14ac:dyDescent="0.25">
      <c r="A725" t="s">
        <v>1765</v>
      </c>
      <c r="B725" t="s">
        <v>90</v>
      </c>
      <c r="C725">
        <v>8</v>
      </c>
      <c r="D725" s="1">
        <v>46109</v>
      </c>
    </row>
    <row r="726" spans="1:4" x14ac:dyDescent="0.25">
      <c r="A726" t="s">
        <v>1766</v>
      </c>
      <c r="B726" t="s">
        <v>116</v>
      </c>
      <c r="C726">
        <v>19</v>
      </c>
      <c r="D726" s="1">
        <v>46036</v>
      </c>
    </row>
    <row r="727" spans="1:4" x14ac:dyDescent="0.25">
      <c r="A727" t="s">
        <v>1767</v>
      </c>
      <c r="B727" t="s">
        <v>125</v>
      </c>
      <c r="C727">
        <v>19</v>
      </c>
      <c r="D727" s="1">
        <v>46118</v>
      </c>
    </row>
    <row r="728" spans="1:4" x14ac:dyDescent="0.25">
      <c r="A728" t="s">
        <v>1768</v>
      </c>
      <c r="B728" t="s">
        <v>79</v>
      </c>
      <c r="C728">
        <v>1</v>
      </c>
      <c r="D728" s="1">
        <v>46117</v>
      </c>
    </row>
    <row r="729" spans="1:4" x14ac:dyDescent="0.25">
      <c r="A729" t="s">
        <v>1769</v>
      </c>
      <c r="B729" t="s">
        <v>133</v>
      </c>
      <c r="C729">
        <v>21</v>
      </c>
      <c r="D729" s="1">
        <v>46118</v>
      </c>
    </row>
    <row r="730" spans="1:4" x14ac:dyDescent="0.25">
      <c r="A730" t="s">
        <v>1770</v>
      </c>
      <c r="B730" t="s">
        <v>57</v>
      </c>
      <c r="C730">
        <v>8</v>
      </c>
      <c r="D730" s="1">
        <v>46046</v>
      </c>
    </row>
    <row r="731" spans="1:4" x14ac:dyDescent="0.25">
      <c r="A731" t="s">
        <v>1771</v>
      </c>
      <c r="B731" t="s">
        <v>88</v>
      </c>
      <c r="C731">
        <v>28</v>
      </c>
      <c r="D731" s="1">
        <v>46080</v>
      </c>
    </row>
    <row r="732" spans="1:4" x14ac:dyDescent="0.25">
      <c r="A732" t="s">
        <v>1772</v>
      </c>
      <c r="B732" t="s">
        <v>37</v>
      </c>
      <c r="C732">
        <v>12</v>
      </c>
      <c r="D732" s="1">
        <v>46078</v>
      </c>
    </row>
    <row r="733" spans="1:4" x14ac:dyDescent="0.25">
      <c r="A733" t="s">
        <v>1773</v>
      </c>
      <c r="B733" t="s">
        <v>46</v>
      </c>
      <c r="C733">
        <v>30</v>
      </c>
      <c r="D733" s="1">
        <v>46110</v>
      </c>
    </row>
    <row r="734" spans="1:4" x14ac:dyDescent="0.25">
      <c r="A734" t="s">
        <v>1774</v>
      </c>
      <c r="B734" t="s">
        <v>58</v>
      </c>
      <c r="C734">
        <v>4</v>
      </c>
      <c r="D734" s="1">
        <v>46102</v>
      </c>
    </row>
    <row r="735" spans="1:4" x14ac:dyDescent="0.25">
      <c r="A735" t="s">
        <v>1775</v>
      </c>
      <c r="B735" t="s">
        <v>138</v>
      </c>
      <c r="C735">
        <v>27</v>
      </c>
      <c r="D735" s="1">
        <v>46077</v>
      </c>
    </row>
    <row r="736" spans="1:4" x14ac:dyDescent="0.25">
      <c r="A736" t="s">
        <v>1776</v>
      </c>
      <c r="B736" t="s">
        <v>55</v>
      </c>
      <c r="C736">
        <v>23</v>
      </c>
      <c r="D736" s="1">
        <v>46062</v>
      </c>
    </row>
    <row r="737" spans="1:4" x14ac:dyDescent="0.25">
      <c r="A737" t="s">
        <v>1777</v>
      </c>
      <c r="B737" t="s">
        <v>137</v>
      </c>
      <c r="C737">
        <v>19</v>
      </c>
      <c r="D737" s="1">
        <v>46029</v>
      </c>
    </row>
    <row r="738" spans="1:4" x14ac:dyDescent="0.25">
      <c r="A738" t="s">
        <v>1778</v>
      </c>
      <c r="B738" t="s">
        <v>139</v>
      </c>
      <c r="C738">
        <v>24</v>
      </c>
      <c r="D738" s="1">
        <v>46065</v>
      </c>
    </row>
    <row r="739" spans="1:4" x14ac:dyDescent="0.25">
      <c r="A739" t="s">
        <v>1779</v>
      </c>
      <c r="B739" t="s">
        <v>85</v>
      </c>
      <c r="C739">
        <v>25</v>
      </c>
      <c r="D739" s="1">
        <v>46068</v>
      </c>
    </row>
    <row r="740" spans="1:4" x14ac:dyDescent="0.25">
      <c r="A740" t="s">
        <v>1780</v>
      </c>
      <c r="B740" t="s">
        <v>54</v>
      </c>
      <c r="C740">
        <v>13</v>
      </c>
      <c r="D740" s="1">
        <v>46075</v>
      </c>
    </row>
    <row r="741" spans="1:4" x14ac:dyDescent="0.25">
      <c r="A741" t="s">
        <v>1781</v>
      </c>
      <c r="B741" t="s">
        <v>114</v>
      </c>
      <c r="C741">
        <v>11</v>
      </c>
      <c r="D741" s="1">
        <v>46118</v>
      </c>
    </row>
    <row r="742" spans="1:4" x14ac:dyDescent="0.25">
      <c r="A742" t="s">
        <v>1782</v>
      </c>
      <c r="B742" t="s">
        <v>120</v>
      </c>
      <c r="C742">
        <v>10</v>
      </c>
      <c r="D742" s="1">
        <v>46099</v>
      </c>
    </row>
    <row r="743" spans="1:4" x14ac:dyDescent="0.25">
      <c r="A743" t="s">
        <v>1783</v>
      </c>
      <c r="B743" t="s">
        <v>76</v>
      </c>
      <c r="C743">
        <v>26</v>
      </c>
      <c r="D743" s="1">
        <v>46042</v>
      </c>
    </row>
    <row r="744" spans="1:4" x14ac:dyDescent="0.25">
      <c r="A744" t="s">
        <v>1784</v>
      </c>
      <c r="B744" t="s">
        <v>78</v>
      </c>
      <c r="C744">
        <v>10</v>
      </c>
      <c r="D744" s="1">
        <v>46087</v>
      </c>
    </row>
    <row r="745" spans="1:4" x14ac:dyDescent="0.25">
      <c r="A745" t="s">
        <v>1785</v>
      </c>
      <c r="B745" t="s">
        <v>85</v>
      </c>
      <c r="C745">
        <v>6</v>
      </c>
      <c r="D745" s="1">
        <v>46045</v>
      </c>
    </row>
    <row r="746" spans="1:4" x14ac:dyDescent="0.25">
      <c r="A746" t="s">
        <v>1786</v>
      </c>
      <c r="B746" t="s">
        <v>99</v>
      </c>
      <c r="C746">
        <v>25</v>
      </c>
      <c r="D746" s="1">
        <v>46037</v>
      </c>
    </row>
    <row r="747" spans="1:4" x14ac:dyDescent="0.25">
      <c r="A747" t="s">
        <v>1787</v>
      </c>
      <c r="B747" t="s">
        <v>99</v>
      </c>
      <c r="C747">
        <v>1</v>
      </c>
      <c r="D747" s="1">
        <v>46059</v>
      </c>
    </row>
    <row r="748" spans="1:4" x14ac:dyDescent="0.25">
      <c r="A748" t="s">
        <v>1788</v>
      </c>
      <c r="B748" t="s">
        <v>93</v>
      </c>
      <c r="C748">
        <v>5</v>
      </c>
      <c r="D748" s="1">
        <v>46098</v>
      </c>
    </row>
    <row r="749" spans="1:4" x14ac:dyDescent="0.25">
      <c r="A749" t="s">
        <v>1789</v>
      </c>
      <c r="B749" t="s">
        <v>125</v>
      </c>
      <c r="C749">
        <v>13</v>
      </c>
      <c r="D749" s="1">
        <v>46071</v>
      </c>
    </row>
    <row r="750" spans="1:4" x14ac:dyDescent="0.25">
      <c r="A750" t="s">
        <v>1790</v>
      </c>
      <c r="B750" t="s">
        <v>70</v>
      </c>
      <c r="C750">
        <v>23</v>
      </c>
      <c r="D750" s="1">
        <v>46034</v>
      </c>
    </row>
    <row r="751" spans="1:4" x14ac:dyDescent="0.25">
      <c r="A751" t="s">
        <v>1791</v>
      </c>
      <c r="B751" t="s">
        <v>109</v>
      </c>
      <c r="C751">
        <v>26</v>
      </c>
      <c r="D751" s="1">
        <v>46042</v>
      </c>
    </row>
    <row r="752" spans="1:4" x14ac:dyDescent="0.25">
      <c r="A752" t="s">
        <v>1792</v>
      </c>
      <c r="B752" t="s">
        <v>134</v>
      </c>
      <c r="C752">
        <v>20</v>
      </c>
      <c r="D752" s="1">
        <v>46113</v>
      </c>
    </row>
    <row r="753" spans="1:4" x14ac:dyDescent="0.25">
      <c r="A753" t="s">
        <v>1793</v>
      </c>
      <c r="B753" t="s">
        <v>133</v>
      </c>
      <c r="C753">
        <v>19</v>
      </c>
      <c r="D753" s="1">
        <v>46089</v>
      </c>
    </row>
    <row r="754" spans="1:4" x14ac:dyDescent="0.25">
      <c r="A754" t="s">
        <v>1794</v>
      </c>
      <c r="B754" t="s">
        <v>128</v>
      </c>
      <c r="C754">
        <v>20</v>
      </c>
      <c r="D754" s="1">
        <v>46065</v>
      </c>
    </row>
    <row r="755" spans="1:4" x14ac:dyDescent="0.25">
      <c r="A755" t="s">
        <v>1795</v>
      </c>
      <c r="B755" t="s">
        <v>82</v>
      </c>
      <c r="C755">
        <v>30</v>
      </c>
      <c r="D755" s="1">
        <v>46063</v>
      </c>
    </row>
    <row r="756" spans="1:4" x14ac:dyDescent="0.25">
      <c r="A756" t="s">
        <v>1796</v>
      </c>
      <c r="B756" t="s">
        <v>86</v>
      </c>
      <c r="C756">
        <v>6</v>
      </c>
      <c r="D756" s="1">
        <v>46104</v>
      </c>
    </row>
    <row r="757" spans="1:4" x14ac:dyDescent="0.25">
      <c r="A757" t="s">
        <v>1797</v>
      </c>
      <c r="B757" t="s">
        <v>76</v>
      </c>
      <c r="C757">
        <v>12</v>
      </c>
      <c r="D757" s="1">
        <v>46080</v>
      </c>
    </row>
    <row r="758" spans="1:4" x14ac:dyDescent="0.25">
      <c r="A758" t="s">
        <v>1798</v>
      </c>
      <c r="B758" t="s">
        <v>121</v>
      </c>
      <c r="C758">
        <v>25</v>
      </c>
      <c r="D758" s="1">
        <v>46044</v>
      </c>
    </row>
    <row r="759" spans="1:4" x14ac:dyDescent="0.25">
      <c r="A759" t="s">
        <v>1799</v>
      </c>
      <c r="B759" t="s">
        <v>117</v>
      </c>
      <c r="C759">
        <v>11</v>
      </c>
      <c r="D759" s="1">
        <v>46070</v>
      </c>
    </row>
    <row r="760" spans="1:4" x14ac:dyDescent="0.25">
      <c r="A760" t="s">
        <v>1800</v>
      </c>
      <c r="B760" t="s">
        <v>139</v>
      </c>
      <c r="C760">
        <v>23</v>
      </c>
      <c r="D760" s="1">
        <v>46080</v>
      </c>
    </row>
    <row r="761" spans="1:4" x14ac:dyDescent="0.25">
      <c r="A761" t="s">
        <v>1801</v>
      </c>
      <c r="B761" t="s">
        <v>116</v>
      </c>
      <c r="C761">
        <v>5</v>
      </c>
      <c r="D761" s="1">
        <v>46075</v>
      </c>
    </row>
    <row r="762" spans="1:4" x14ac:dyDescent="0.25">
      <c r="A762" t="s">
        <v>1802</v>
      </c>
      <c r="B762" t="s">
        <v>117</v>
      </c>
      <c r="C762">
        <v>8</v>
      </c>
      <c r="D762" s="1">
        <v>46086</v>
      </c>
    </row>
    <row r="763" spans="1:4" x14ac:dyDescent="0.25">
      <c r="A763" t="s">
        <v>1803</v>
      </c>
      <c r="B763" t="s">
        <v>57</v>
      </c>
      <c r="C763">
        <v>27</v>
      </c>
      <c r="D763" s="1">
        <v>46057</v>
      </c>
    </row>
    <row r="764" spans="1:4" x14ac:dyDescent="0.25">
      <c r="A764" t="s">
        <v>1804</v>
      </c>
      <c r="B764" t="s">
        <v>73</v>
      </c>
      <c r="C764">
        <v>4</v>
      </c>
      <c r="D764" s="1">
        <v>46056</v>
      </c>
    </row>
    <row r="765" spans="1:4" x14ac:dyDescent="0.25">
      <c r="A765" t="s">
        <v>1805</v>
      </c>
      <c r="B765" t="s">
        <v>80</v>
      </c>
      <c r="C765">
        <v>28</v>
      </c>
      <c r="D765" s="1">
        <v>46116</v>
      </c>
    </row>
    <row r="766" spans="1:4" x14ac:dyDescent="0.25">
      <c r="A766" t="s">
        <v>1806</v>
      </c>
      <c r="B766" t="s">
        <v>79</v>
      </c>
      <c r="C766">
        <v>10</v>
      </c>
      <c r="D766" s="1">
        <v>46060</v>
      </c>
    </row>
    <row r="767" spans="1:4" x14ac:dyDescent="0.25">
      <c r="A767" t="s">
        <v>1807</v>
      </c>
      <c r="B767" t="s">
        <v>126</v>
      </c>
      <c r="C767">
        <v>20</v>
      </c>
      <c r="D767" s="1">
        <v>46076</v>
      </c>
    </row>
    <row r="768" spans="1:4" x14ac:dyDescent="0.25">
      <c r="A768" t="s">
        <v>1808</v>
      </c>
      <c r="B768" t="s">
        <v>137</v>
      </c>
      <c r="C768">
        <v>22</v>
      </c>
      <c r="D768" s="1">
        <v>46102</v>
      </c>
    </row>
    <row r="769" spans="1:4" x14ac:dyDescent="0.25">
      <c r="A769" t="s">
        <v>1809</v>
      </c>
      <c r="B769" t="s">
        <v>129</v>
      </c>
      <c r="C769">
        <v>27</v>
      </c>
      <c r="D769" s="1">
        <v>46039</v>
      </c>
    </row>
    <row r="770" spans="1:4" x14ac:dyDescent="0.25">
      <c r="A770" t="s">
        <v>1810</v>
      </c>
      <c r="B770" t="s">
        <v>33</v>
      </c>
      <c r="C770">
        <v>1</v>
      </c>
      <c r="D770" s="1">
        <v>46066</v>
      </c>
    </row>
    <row r="771" spans="1:4" x14ac:dyDescent="0.25">
      <c r="A771" t="s">
        <v>1811</v>
      </c>
      <c r="B771" t="s">
        <v>122</v>
      </c>
      <c r="C771">
        <v>17</v>
      </c>
      <c r="D771" s="1">
        <v>46096</v>
      </c>
    </row>
    <row r="772" spans="1:4" x14ac:dyDescent="0.25">
      <c r="A772" t="s">
        <v>1812</v>
      </c>
      <c r="B772" t="s">
        <v>54</v>
      </c>
      <c r="C772">
        <v>26</v>
      </c>
      <c r="D772" s="1">
        <v>46050</v>
      </c>
    </row>
    <row r="773" spans="1:4" x14ac:dyDescent="0.25">
      <c r="A773" t="s">
        <v>1813</v>
      </c>
      <c r="B773" t="s">
        <v>75</v>
      </c>
      <c r="C773">
        <v>20</v>
      </c>
      <c r="D773" s="1">
        <v>46037</v>
      </c>
    </row>
    <row r="774" spans="1:4" x14ac:dyDescent="0.25">
      <c r="A774" t="s">
        <v>1814</v>
      </c>
      <c r="B774" t="s">
        <v>96</v>
      </c>
      <c r="C774">
        <v>30</v>
      </c>
      <c r="D774" s="1">
        <v>46059</v>
      </c>
    </row>
    <row r="775" spans="1:4" x14ac:dyDescent="0.25">
      <c r="A775" t="s">
        <v>1815</v>
      </c>
      <c r="B775" t="s">
        <v>89</v>
      </c>
      <c r="C775">
        <v>5</v>
      </c>
      <c r="D775" s="1">
        <v>46112</v>
      </c>
    </row>
    <row r="776" spans="1:4" x14ac:dyDescent="0.25">
      <c r="A776" t="s">
        <v>1816</v>
      </c>
      <c r="B776" t="s">
        <v>126</v>
      </c>
      <c r="C776">
        <v>23</v>
      </c>
      <c r="D776" s="1">
        <v>46092</v>
      </c>
    </row>
    <row r="777" spans="1:4" x14ac:dyDescent="0.25">
      <c r="A777" t="s">
        <v>1817</v>
      </c>
      <c r="B777" t="s">
        <v>130</v>
      </c>
      <c r="C777">
        <v>19</v>
      </c>
      <c r="D777" s="1">
        <v>46029</v>
      </c>
    </row>
    <row r="778" spans="1:4" x14ac:dyDescent="0.25">
      <c r="A778" t="s">
        <v>1818</v>
      </c>
      <c r="B778" t="s">
        <v>134</v>
      </c>
      <c r="C778">
        <v>28</v>
      </c>
      <c r="D778" s="1">
        <v>46094</v>
      </c>
    </row>
    <row r="779" spans="1:4" x14ac:dyDescent="0.25">
      <c r="A779" t="s">
        <v>1819</v>
      </c>
      <c r="B779" t="s">
        <v>76</v>
      </c>
      <c r="C779">
        <v>11</v>
      </c>
      <c r="D779" s="1">
        <v>46043</v>
      </c>
    </row>
    <row r="780" spans="1:4" x14ac:dyDescent="0.25">
      <c r="A780" t="s">
        <v>1820</v>
      </c>
      <c r="B780" t="s">
        <v>116</v>
      </c>
      <c r="C780">
        <v>24</v>
      </c>
      <c r="D780" s="1">
        <v>46112</v>
      </c>
    </row>
    <row r="781" spans="1:4" x14ac:dyDescent="0.25">
      <c r="A781" t="s">
        <v>1821</v>
      </c>
      <c r="B781" t="s">
        <v>123</v>
      </c>
      <c r="C781">
        <v>1</v>
      </c>
      <c r="D781" s="1">
        <v>46106</v>
      </c>
    </row>
    <row r="782" spans="1:4" x14ac:dyDescent="0.25">
      <c r="A782" t="s">
        <v>1822</v>
      </c>
      <c r="B782" t="s">
        <v>98</v>
      </c>
      <c r="C782">
        <v>30</v>
      </c>
      <c r="D782" s="1">
        <v>46048</v>
      </c>
    </row>
    <row r="783" spans="1:4" x14ac:dyDescent="0.25">
      <c r="A783" t="s">
        <v>1823</v>
      </c>
      <c r="B783" t="s">
        <v>96</v>
      </c>
      <c r="C783">
        <v>12</v>
      </c>
      <c r="D783" s="1">
        <v>46118</v>
      </c>
    </row>
    <row r="784" spans="1:4" x14ac:dyDescent="0.25">
      <c r="A784" t="s">
        <v>1824</v>
      </c>
      <c r="B784" t="s">
        <v>83</v>
      </c>
      <c r="C784">
        <v>28</v>
      </c>
      <c r="D784" s="1">
        <v>46055</v>
      </c>
    </row>
    <row r="785" spans="1:4" x14ac:dyDescent="0.25">
      <c r="A785" t="s">
        <v>1825</v>
      </c>
      <c r="B785" t="s">
        <v>89</v>
      </c>
      <c r="C785">
        <v>16</v>
      </c>
      <c r="D785" s="1">
        <v>46066</v>
      </c>
    </row>
    <row r="786" spans="1:4" x14ac:dyDescent="0.25">
      <c r="A786" t="s">
        <v>1826</v>
      </c>
      <c r="B786" t="s">
        <v>85</v>
      </c>
      <c r="C786">
        <v>12</v>
      </c>
      <c r="D786" s="1">
        <v>46034</v>
      </c>
    </row>
    <row r="787" spans="1:4" x14ac:dyDescent="0.25">
      <c r="A787" t="s">
        <v>1827</v>
      </c>
      <c r="B787" t="s">
        <v>66</v>
      </c>
      <c r="C787">
        <v>3</v>
      </c>
      <c r="D787" s="1">
        <v>46055</v>
      </c>
    </row>
    <row r="788" spans="1:4" x14ac:dyDescent="0.25">
      <c r="A788" t="s">
        <v>1828</v>
      </c>
      <c r="B788" t="s">
        <v>66</v>
      </c>
      <c r="C788">
        <v>2</v>
      </c>
      <c r="D788" s="1">
        <v>46039</v>
      </c>
    </row>
    <row r="789" spans="1:4" x14ac:dyDescent="0.25">
      <c r="A789" t="s">
        <v>1829</v>
      </c>
      <c r="B789" t="s">
        <v>63</v>
      </c>
      <c r="C789">
        <v>24</v>
      </c>
      <c r="D789" s="1">
        <v>46114</v>
      </c>
    </row>
    <row r="790" spans="1:4" x14ac:dyDescent="0.25">
      <c r="A790" t="s">
        <v>1830</v>
      </c>
      <c r="B790" t="s">
        <v>97</v>
      </c>
      <c r="C790">
        <v>28</v>
      </c>
      <c r="D790" s="1">
        <v>46107</v>
      </c>
    </row>
    <row r="791" spans="1:4" x14ac:dyDescent="0.25">
      <c r="A791" t="s">
        <v>1831</v>
      </c>
      <c r="B791" t="s">
        <v>118</v>
      </c>
      <c r="C791">
        <v>28</v>
      </c>
      <c r="D791" s="1">
        <v>46084</v>
      </c>
    </row>
    <row r="792" spans="1:4" x14ac:dyDescent="0.25">
      <c r="A792" t="s">
        <v>1832</v>
      </c>
      <c r="B792" t="s">
        <v>77</v>
      </c>
      <c r="C792">
        <v>12</v>
      </c>
      <c r="D792" s="1">
        <v>46064</v>
      </c>
    </row>
    <row r="793" spans="1:4" x14ac:dyDescent="0.25">
      <c r="A793" t="s">
        <v>1833</v>
      </c>
      <c r="B793" t="s">
        <v>119</v>
      </c>
      <c r="C793">
        <v>6</v>
      </c>
      <c r="D793" s="1">
        <v>46077</v>
      </c>
    </row>
    <row r="794" spans="1:4" x14ac:dyDescent="0.25">
      <c r="A794" t="s">
        <v>1834</v>
      </c>
      <c r="B794" t="s">
        <v>95</v>
      </c>
      <c r="C794">
        <v>2</v>
      </c>
      <c r="D794" s="1">
        <v>46035</v>
      </c>
    </row>
    <row r="795" spans="1:4" x14ac:dyDescent="0.25">
      <c r="A795" t="s">
        <v>1835</v>
      </c>
      <c r="B795" t="s">
        <v>46</v>
      </c>
      <c r="C795">
        <v>21</v>
      </c>
      <c r="D795" s="1">
        <v>46089</v>
      </c>
    </row>
    <row r="796" spans="1:4" x14ac:dyDescent="0.25">
      <c r="A796" t="s">
        <v>1836</v>
      </c>
      <c r="B796" t="s">
        <v>81</v>
      </c>
      <c r="C796">
        <v>1</v>
      </c>
      <c r="D796" s="1">
        <v>46095</v>
      </c>
    </row>
    <row r="797" spans="1:4" x14ac:dyDescent="0.25">
      <c r="A797" t="s">
        <v>1837</v>
      </c>
      <c r="B797" t="s">
        <v>128</v>
      </c>
      <c r="C797">
        <v>1</v>
      </c>
      <c r="D797" s="1">
        <v>46074</v>
      </c>
    </row>
    <row r="798" spans="1:4" x14ac:dyDescent="0.25">
      <c r="A798" t="s">
        <v>1838</v>
      </c>
      <c r="B798" t="s">
        <v>68</v>
      </c>
      <c r="C798">
        <v>17</v>
      </c>
      <c r="D798" s="1">
        <v>46102</v>
      </c>
    </row>
    <row r="799" spans="1:4" x14ac:dyDescent="0.25">
      <c r="A799" t="s">
        <v>1839</v>
      </c>
      <c r="B799" t="s">
        <v>67</v>
      </c>
      <c r="C799">
        <v>16</v>
      </c>
      <c r="D799" s="1">
        <v>46089</v>
      </c>
    </row>
    <row r="800" spans="1:4" x14ac:dyDescent="0.25">
      <c r="A800" t="s">
        <v>1840</v>
      </c>
      <c r="B800" t="s">
        <v>82</v>
      </c>
      <c r="C800">
        <v>2</v>
      </c>
      <c r="D800" s="1">
        <v>46113</v>
      </c>
    </row>
    <row r="801" spans="1:4" x14ac:dyDescent="0.25">
      <c r="A801" t="s">
        <v>1841</v>
      </c>
      <c r="B801" t="s">
        <v>112</v>
      </c>
      <c r="C801">
        <v>24</v>
      </c>
      <c r="D801" s="1">
        <v>46100</v>
      </c>
    </row>
    <row r="802" spans="1:4" x14ac:dyDescent="0.25">
      <c r="A802" t="s">
        <v>1842</v>
      </c>
      <c r="B802" t="s">
        <v>47</v>
      </c>
      <c r="C802">
        <v>30</v>
      </c>
      <c r="D802" s="1">
        <v>46078</v>
      </c>
    </row>
    <row r="803" spans="1:4" x14ac:dyDescent="0.25">
      <c r="A803" t="s">
        <v>1843</v>
      </c>
      <c r="B803" t="s">
        <v>88</v>
      </c>
      <c r="C803">
        <v>15</v>
      </c>
      <c r="D803" s="1">
        <v>46048</v>
      </c>
    </row>
    <row r="804" spans="1:4" x14ac:dyDescent="0.25">
      <c r="A804" t="s">
        <v>1844</v>
      </c>
      <c r="B804" t="s">
        <v>56</v>
      </c>
      <c r="C804">
        <v>17</v>
      </c>
      <c r="D804" s="1">
        <v>46049</v>
      </c>
    </row>
    <row r="805" spans="1:4" x14ac:dyDescent="0.25">
      <c r="A805" t="s">
        <v>1845</v>
      </c>
      <c r="B805" t="s">
        <v>50</v>
      </c>
      <c r="C805">
        <v>3</v>
      </c>
      <c r="D805" s="1">
        <v>46062</v>
      </c>
    </row>
    <row r="806" spans="1:4" x14ac:dyDescent="0.25">
      <c r="A806" t="s">
        <v>1846</v>
      </c>
      <c r="B806" t="s">
        <v>131</v>
      </c>
      <c r="C806">
        <v>26</v>
      </c>
      <c r="D806" s="1">
        <v>46048</v>
      </c>
    </row>
    <row r="807" spans="1:4" x14ac:dyDescent="0.25">
      <c r="A807" t="s">
        <v>1847</v>
      </c>
      <c r="B807" t="s">
        <v>87</v>
      </c>
      <c r="C807">
        <v>30</v>
      </c>
      <c r="D807" s="1">
        <v>46047</v>
      </c>
    </row>
    <row r="808" spans="1:4" x14ac:dyDescent="0.25">
      <c r="A808" t="s">
        <v>1848</v>
      </c>
      <c r="B808" t="s">
        <v>66</v>
      </c>
      <c r="C808">
        <v>19</v>
      </c>
      <c r="D808" s="1">
        <v>46088</v>
      </c>
    </row>
    <row r="809" spans="1:4" x14ac:dyDescent="0.25">
      <c r="A809" t="s">
        <v>1849</v>
      </c>
      <c r="B809" t="s">
        <v>138</v>
      </c>
      <c r="C809">
        <v>22</v>
      </c>
      <c r="D809" s="1">
        <v>46056</v>
      </c>
    </row>
    <row r="810" spans="1:4" x14ac:dyDescent="0.25">
      <c r="A810" t="s">
        <v>1850</v>
      </c>
      <c r="B810" t="s">
        <v>57</v>
      </c>
      <c r="C810">
        <v>14</v>
      </c>
      <c r="D810" s="1">
        <v>46046</v>
      </c>
    </row>
    <row r="811" spans="1:4" x14ac:dyDescent="0.25">
      <c r="A811" t="s">
        <v>1851</v>
      </c>
      <c r="B811" t="s">
        <v>73</v>
      </c>
      <c r="C811">
        <v>9</v>
      </c>
      <c r="D811" s="1">
        <v>46117</v>
      </c>
    </row>
    <row r="812" spans="1:4" x14ac:dyDescent="0.25">
      <c r="A812" t="s">
        <v>1852</v>
      </c>
      <c r="B812" t="s">
        <v>110</v>
      </c>
      <c r="C812">
        <v>3</v>
      </c>
      <c r="D812" s="1">
        <v>46101</v>
      </c>
    </row>
    <row r="813" spans="1:4" x14ac:dyDescent="0.25">
      <c r="A813" t="s">
        <v>1853</v>
      </c>
      <c r="B813" t="s">
        <v>63</v>
      </c>
      <c r="C813">
        <v>6</v>
      </c>
      <c r="D813" s="1">
        <v>46088</v>
      </c>
    </row>
    <row r="814" spans="1:4" x14ac:dyDescent="0.25">
      <c r="A814" t="s">
        <v>1854</v>
      </c>
      <c r="B814" t="s">
        <v>57</v>
      </c>
      <c r="C814">
        <v>14</v>
      </c>
      <c r="D814" s="1">
        <v>46088</v>
      </c>
    </row>
    <row r="815" spans="1:4" x14ac:dyDescent="0.25">
      <c r="A815" t="s">
        <v>1855</v>
      </c>
      <c r="B815" t="s">
        <v>61</v>
      </c>
      <c r="C815">
        <v>21</v>
      </c>
      <c r="D815" s="1">
        <v>46096</v>
      </c>
    </row>
    <row r="816" spans="1:4" x14ac:dyDescent="0.25">
      <c r="A816" t="s">
        <v>1856</v>
      </c>
      <c r="B816" t="s">
        <v>107</v>
      </c>
      <c r="C816">
        <v>21</v>
      </c>
      <c r="D816" s="1">
        <v>46113</v>
      </c>
    </row>
    <row r="817" spans="1:4" x14ac:dyDescent="0.25">
      <c r="A817" t="s">
        <v>1857</v>
      </c>
      <c r="B817" t="s">
        <v>96</v>
      </c>
      <c r="C817">
        <v>24</v>
      </c>
      <c r="D817" s="1">
        <v>46046</v>
      </c>
    </row>
    <row r="818" spans="1:4" x14ac:dyDescent="0.25">
      <c r="A818" t="s">
        <v>1858</v>
      </c>
      <c r="B818" t="s">
        <v>57</v>
      </c>
      <c r="C818">
        <v>13</v>
      </c>
      <c r="D818" s="1">
        <v>46034</v>
      </c>
    </row>
    <row r="819" spans="1:4" x14ac:dyDescent="0.25">
      <c r="A819" t="s">
        <v>1859</v>
      </c>
      <c r="B819" t="s">
        <v>39</v>
      </c>
      <c r="C819">
        <v>15</v>
      </c>
      <c r="D819" s="1">
        <v>46084</v>
      </c>
    </row>
    <row r="820" spans="1:4" x14ac:dyDescent="0.25">
      <c r="A820" t="s">
        <v>1860</v>
      </c>
      <c r="B820" t="s">
        <v>64</v>
      </c>
      <c r="C820">
        <v>3</v>
      </c>
      <c r="D820" s="1">
        <v>46061</v>
      </c>
    </row>
    <row r="821" spans="1:4" x14ac:dyDescent="0.25">
      <c r="A821" t="s">
        <v>1861</v>
      </c>
      <c r="B821" t="s">
        <v>65</v>
      </c>
      <c r="C821">
        <v>16</v>
      </c>
      <c r="D821" s="1">
        <v>46081</v>
      </c>
    </row>
    <row r="822" spans="1:4" x14ac:dyDescent="0.25">
      <c r="A822" t="s">
        <v>1862</v>
      </c>
      <c r="B822" t="s">
        <v>83</v>
      </c>
      <c r="C822">
        <v>12</v>
      </c>
      <c r="D822" s="1">
        <v>46097</v>
      </c>
    </row>
    <row r="823" spans="1:4" x14ac:dyDescent="0.25">
      <c r="A823" t="s">
        <v>1863</v>
      </c>
      <c r="B823" t="s">
        <v>130</v>
      </c>
      <c r="C823">
        <v>11</v>
      </c>
      <c r="D823" s="1">
        <v>46070</v>
      </c>
    </row>
    <row r="824" spans="1:4" x14ac:dyDescent="0.25">
      <c r="A824" t="s">
        <v>1864</v>
      </c>
      <c r="B824" t="s">
        <v>117</v>
      </c>
      <c r="C824">
        <v>23</v>
      </c>
      <c r="D824" s="1">
        <v>46081</v>
      </c>
    </row>
    <row r="825" spans="1:4" x14ac:dyDescent="0.25">
      <c r="A825" t="s">
        <v>1865</v>
      </c>
      <c r="B825" t="s">
        <v>54</v>
      </c>
      <c r="C825">
        <v>17</v>
      </c>
      <c r="D825" s="1">
        <v>46044</v>
      </c>
    </row>
    <row r="826" spans="1:4" x14ac:dyDescent="0.25">
      <c r="A826" t="s">
        <v>1866</v>
      </c>
      <c r="B826" t="s">
        <v>118</v>
      </c>
      <c r="C826">
        <v>9</v>
      </c>
      <c r="D826" s="1">
        <v>46111</v>
      </c>
    </row>
    <row r="827" spans="1:4" x14ac:dyDescent="0.25">
      <c r="A827" t="s">
        <v>1867</v>
      </c>
      <c r="B827" t="s">
        <v>73</v>
      </c>
      <c r="C827">
        <v>9</v>
      </c>
      <c r="D827" s="1">
        <v>46040</v>
      </c>
    </row>
    <row r="828" spans="1:4" x14ac:dyDescent="0.25">
      <c r="A828" t="s">
        <v>1868</v>
      </c>
      <c r="B828" t="s">
        <v>112</v>
      </c>
      <c r="C828">
        <v>19</v>
      </c>
      <c r="D828" s="1">
        <v>46059</v>
      </c>
    </row>
    <row r="829" spans="1:4" x14ac:dyDescent="0.25">
      <c r="A829" t="s">
        <v>1869</v>
      </c>
      <c r="B829" t="s">
        <v>118</v>
      </c>
      <c r="C829">
        <v>23</v>
      </c>
      <c r="D829" s="1">
        <v>46073</v>
      </c>
    </row>
    <row r="830" spans="1:4" x14ac:dyDescent="0.25">
      <c r="A830" t="s">
        <v>1870</v>
      </c>
      <c r="B830" t="s">
        <v>79</v>
      </c>
      <c r="C830">
        <v>14</v>
      </c>
      <c r="D830" s="1">
        <v>46107</v>
      </c>
    </row>
    <row r="831" spans="1:4" x14ac:dyDescent="0.25">
      <c r="A831" t="s">
        <v>1871</v>
      </c>
      <c r="B831" t="s">
        <v>105</v>
      </c>
      <c r="C831">
        <v>9</v>
      </c>
      <c r="D831" s="1">
        <v>46057</v>
      </c>
    </row>
    <row r="832" spans="1:4" x14ac:dyDescent="0.25">
      <c r="A832" t="s">
        <v>1872</v>
      </c>
      <c r="B832" t="s">
        <v>138</v>
      </c>
      <c r="C832">
        <v>5</v>
      </c>
      <c r="D832" s="1">
        <v>46037</v>
      </c>
    </row>
    <row r="833" spans="1:4" x14ac:dyDescent="0.25">
      <c r="A833" t="s">
        <v>1873</v>
      </c>
      <c r="B833" t="s">
        <v>113</v>
      </c>
      <c r="C833">
        <v>27</v>
      </c>
      <c r="D833" s="1">
        <v>46090</v>
      </c>
    </row>
    <row r="834" spans="1:4" x14ac:dyDescent="0.25">
      <c r="A834" t="s">
        <v>1874</v>
      </c>
      <c r="B834" t="s">
        <v>67</v>
      </c>
      <c r="C834">
        <v>24</v>
      </c>
      <c r="D834" s="1">
        <v>46104</v>
      </c>
    </row>
    <row r="835" spans="1:4" x14ac:dyDescent="0.25">
      <c r="A835" t="s">
        <v>1875</v>
      </c>
      <c r="B835" t="s">
        <v>105</v>
      </c>
      <c r="C835">
        <v>12</v>
      </c>
      <c r="D835" s="1">
        <v>46104</v>
      </c>
    </row>
    <row r="836" spans="1:4" x14ac:dyDescent="0.25">
      <c r="A836" t="s">
        <v>1876</v>
      </c>
      <c r="B836" t="s">
        <v>113</v>
      </c>
      <c r="C836">
        <v>28</v>
      </c>
      <c r="D836" s="1">
        <v>46036</v>
      </c>
    </row>
    <row r="837" spans="1:4" x14ac:dyDescent="0.25">
      <c r="A837" t="s">
        <v>1877</v>
      </c>
      <c r="B837" t="s">
        <v>103</v>
      </c>
      <c r="C837">
        <v>23</v>
      </c>
      <c r="D837" s="1">
        <v>46033</v>
      </c>
    </row>
    <row r="838" spans="1:4" x14ac:dyDescent="0.25">
      <c r="A838" t="s">
        <v>1878</v>
      </c>
      <c r="B838" t="s">
        <v>101</v>
      </c>
      <c r="C838">
        <v>2</v>
      </c>
      <c r="D838" s="1">
        <v>46109</v>
      </c>
    </row>
    <row r="839" spans="1:4" x14ac:dyDescent="0.25">
      <c r="A839" t="s">
        <v>1879</v>
      </c>
      <c r="B839" t="s">
        <v>91</v>
      </c>
      <c r="C839">
        <v>25</v>
      </c>
      <c r="D839" s="1">
        <v>46091</v>
      </c>
    </row>
    <row r="840" spans="1:4" x14ac:dyDescent="0.25">
      <c r="A840" t="s">
        <v>1880</v>
      </c>
      <c r="B840" t="s">
        <v>71</v>
      </c>
      <c r="C840">
        <v>12</v>
      </c>
      <c r="D840" s="1">
        <v>46031</v>
      </c>
    </row>
    <row r="841" spans="1:4" x14ac:dyDescent="0.25">
      <c r="A841" t="s">
        <v>1881</v>
      </c>
      <c r="B841" t="s">
        <v>58</v>
      </c>
      <c r="C841">
        <v>17</v>
      </c>
      <c r="D841" s="1">
        <v>46117</v>
      </c>
    </row>
    <row r="842" spans="1:4" x14ac:dyDescent="0.25">
      <c r="A842" t="s">
        <v>1882</v>
      </c>
      <c r="B842" t="s">
        <v>89</v>
      </c>
      <c r="C842">
        <v>8</v>
      </c>
      <c r="D842" s="1">
        <v>46073</v>
      </c>
    </row>
    <row r="843" spans="1:4" x14ac:dyDescent="0.25">
      <c r="A843" t="s">
        <v>1883</v>
      </c>
      <c r="B843" t="s">
        <v>79</v>
      </c>
      <c r="C843">
        <v>4</v>
      </c>
      <c r="D843" s="1">
        <v>46069</v>
      </c>
    </row>
    <row r="844" spans="1:4" x14ac:dyDescent="0.25">
      <c r="A844" t="s">
        <v>1884</v>
      </c>
      <c r="B844" t="s">
        <v>57</v>
      </c>
      <c r="C844">
        <v>19</v>
      </c>
      <c r="D844" s="1">
        <v>46111</v>
      </c>
    </row>
    <row r="845" spans="1:4" x14ac:dyDescent="0.25">
      <c r="A845" t="s">
        <v>1885</v>
      </c>
      <c r="B845" t="s">
        <v>139</v>
      </c>
      <c r="C845">
        <v>21</v>
      </c>
      <c r="D845" s="1">
        <v>46061</v>
      </c>
    </row>
    <row r="846" spans="1:4" x14ac:dyDescent="0.25">
      <c r="A846" t="s">
        <v>1886</v>
      </c>
      <c r="B846" t="s">
        <v>48</v>
      </c>
      <c r="C846">
        <v>16</v>
      </c>
      <c r="D846" s="1">
        <v>46107</v>
      </c>
    </row>
    <row r="847" spans="1:4" x14ac:dyDescent="0.25">
      <c r="A847" t="s">
        <v>1887</v>
      </c>
      <c r="B847" t="s">
        <v>98</v>
      </c>
      <c r="C847">
        <v>5</v>
      </c>
      <c r="D847" s="1">
        <v>46069</v>
      </c>
    </row>
    <row r="848" spans="1:4" x14ac:dyDescent="0.25">
      <c r="A848" t="s">
        <v>1888</v>
      </c>
      <c r="B848" t="s">
        <v>71</v>
      </c>
      <c r="C848">
        <v>19</v>
      </c>
      <c r="D848" s="1">
        <v>46029</v>
      </c>
    </row>
    <row r="849" spans="1:4" x14ac:dyDescent="0.25">
      <c r="A849" t="s">
        <v>1889</v>
      </c>
      <c r="B849" t="s">
        <v>51</v>
      </c>
      <c r="C849">
        <v>11</v>
      </c>
      <c r="D849" s="1">
        <v>46118</v>
      </c>
    </row>
    <row r="850" spans="1:4" x14ac:dyDescent="0.25">
      <c r="A850" t="s">
        <v>1890</v>
      </c>
      <c r="B850" t="s">
        <v>124</v>
      </c>
      <c r="C850">
        <v>25</v>
      </c>
      <c r="D850" s="1">
        <v>46118</v>
      </c>
    </row>
    <row r="851" spans="1:4" x14ac:dyDescent="0.25">
      <c r="A851" t="s">
        <v>1891</v>
      </c>
      <c r="B851" t="s">
        <v>122</v>
      </c>
      <c r="C851">
        <v>11</v>
      </c>
      <c r="D851" s="1">
        <v>46046</v>
      </c>
    </row>
    <row r="852" spans="1:4" x14ac:dyDescent="0.25">
      <c r="A852" t="s">
        <v>1892</v>
      </c>
      <c r="B852" t="s">
        <v>78</v>
      </c>
      <c r="C852">
        <v>30</v>
      </c>
      <c r="D852" s="1">
        <v>46116</v>
      </c>
    </row>
    <row r="853" spans="1:4" x14ac:dyDescent="0.25">
      <c r="A853" t="s">
        <v>1893</v>
      </c>
      <c r="B853" t="s">
        <v>46</v>
      </c>
      <c r="C853">
        <v>30</v>
      </c>
      <c r="D853" s="1">
        <v>46050</v>
      </c>
    </row>
    <row r="854" spans="1:4" x14ac:dyDescent="0.25">
      <c r="A854" t="s">
        <v>1894</v>
      </c>
      <c r="B854" t="s">
        <v>60</v>
      </c>
      <c r="C854">
        <v>27</v>
      </c>
      <c r="D854" s="1">
        <v>46036</v>
      </c>
    </row>
    <row r="855" spans="1:4" x14ac:dyDescent="0.25">
      <c r="A855" t="s">
        <v>1895</v>
      </c>
      <c r="B855" t="s">
        <v>55</v>
      </c>
      <c r="C855">
        <v>5</v>
      </c>
      <c r="D855" s="1">
        <v>46064</v>
      </c>
    </row>
    <row r="856" spans="1:4" x14ac:dyDescent="0.25">
      <c r="A856" t="s">
        <v>1896</v>
      </c>
      <c r="B856" t="s">
        <v>89</v>
      </c>
      <c r="C856">
        <v>1</v>
      </c>
      <c r="D856" s="1">
        <v>46085</v>
      </c>
    </row>
    <row r="857" spans="1:4" x14ac:dyDescent="0.25">
      <c r="A857" t="s">
        <v>1897</v>
      </c>
      <c r="B857" t="s">
        <v>115</v>
      </c>
      <c r="C857">
        <v>30</v>
      </c>
      <c r="D857" s="1">
        <v>46046</v>
      </c>
    </row>
    <row r="858" spans="1:4" x14ac:dyDescent="0.25">
      <c r="A858" t="s">
        <v>1898</v>
      </c>
      <c r="B858" t="s">
        <v>88</v>
      </c>
      <c r="C858">
        <v>23</v>
      </c>
      <c r="D858" s="1">
        <v>46074</v>
      </c>
    </row>
    <row r="859" spans="1:4" x14ac:dyDescent="0.25">
      <c r="A859" t="s">
        <v>1899</v>
      </c>
      <c r="B859" t="s">
        <v>63</v>
      </c>
      <c r="C859">
        <v>10</v>
      </c>
      <c r="D859" s="1">
        <v>46045</v>
      </c>
    </row>
    <row r="860" spans="1:4" x14ac:dyDescent="0.25">
      <c r="A860" t="s">
        <v>1900</v>
      </c>
      <c r="B860" t="s">
        <v>123</v>
      </c>
      <c r="C860">
        <v>16</v>
      </c>
      <c r="D860" s="1">
        <v>46057</v>
      </c>
    </row>
    <row r="861" spans="1:4" x14ac:dyDescent="0.25">
      <c r="A861" t="s">
        <v>1901</v>
      </c>
      <c r="B861" t="s">
        <v>121</v>
      </c>
      <c r="C861">
        <v>3</v>
      </c>
      <c r="D861" s="1">
        <v>46061</v>
      </c>
    </row>
    <row r="862" spans="1:4" x14ac:dyDescent="0.25">
      <c r="A862" t="s">
        <v>1902</v>
      </c>
      <c r="B862" t="s">
        <v>58</v>
      </c>
      <c r="C862">
        <v>2</v>
      </c>
      <c r="D862" s="1">
        <v>46103</v>
      </c>
    </row>
    <row r="863" spans="1:4" x14ac:dyDescent="0.25">
      <c r="A863" t="s">
        <v>1903</v>
      </c>
      <c r="B863" t="s">
        <v>127</v>
      </c>
      <c r="C863">
        <v>24</v>
      </c>
      <c r="D863" s="1">
        <v>46118</v>
      </c>
    </row>
    <row r="864" spans="1:4" x14ac:dyDescent="0.25">
      <c r="A864" t="s">
        <v>1904</v>
      </c>
      <c r="B864" t="s">
        <v>89</v>
      </c>
      <c r="C864">
        <v>27</v>
      </c>
      <c r="D864" s="1">
        <v>46046</v>
      </c>
    </row>
    <row r="865" spans="1:4" x14ac:dyDescent="0.25">
      <c r="A865" t="s">
        <v>1905</v>
      </c>
      <c r="B865" t="s">
        <v>130</v>
      </c>
      <c r="C865">
        <v>22</v>
      </c>
      <c r="D865" s="1">
        <v>46064</v>
      </c>
    </row>
    <row r="866" spans="1:4" x14ac:dyDescent="0.25">
      <c r="A866" t="s">
        <v>1906</v>
      </c>
      <c r="B866" t="s">
        <v>84</v>
      </c>
      <c r="C866">
        <v>3</v>
      </c>
      <c r="D866" s="1">
        <v>46047</v>
      </c>
    </row>
    <row r="867" spans="1:4" x14ac:dyDescent="0.25">
      <c r="A867" t="s">
        <v>1907</v>
      </c>
      <c r="B867" t="s">
        <v>50</v>
      </c>
      <c r="C867">
        <v>18</v>
      </c>
      <c r="D867" s="1">
        <v>46032</v>
      </c>
    </row>
    <row r="868" spans="1:4" x14ac:dyDescent="0.25">
      <c r="A868" t="s">
        <v>1908</v>
      </c>
      <c r="B868" t="s">
        <v>132</v>
      </c>
      <c r="C868">
        <v>17</v>
      </c>
      <c r="D868" s="1">
        <v>46054</v>
      </c>
    </row>
    <row r="869" spans="1:4" x14ac:dyDescent="0.25">
      <c r="A869" t="s">
        <v>1909</v>
      </c>
      <c r="B869" t="s">
        <v>97</v>
      </c>
      <c r="C869">
        <v>11</v>
      </c>
      <c r="D869" s="1">
        <v>46050</v>
      </c>
    </row>
    <row r="870" spans="1:4" x14ac:dyDescent="0.25">
      <c r="A870" t="s">
        <v>1910</v>
      </c>
      <c r="B870" t="s">
        <v>120</v>
      </c>
      <c r="C870">
        <v>24</v>
      </c>
      <c r="D870" s="1">
        <v>46076</v>
      </c>
    </row>
    <row r="871" spans="1:4" x14ac:dyDescent="0.25">
      <c r="A871" t="s">
        <v>1911</v>
      </c>
      <c r="B871" t="s">
        <v>119</v>
      </c>
      <c r="C871">
        <v>12</v>
      </c>
      <c r="D871" s="1">
        <v>46102</v>
      </c>
    </row>
    <row r="872" spans="1:4" x14ac:dyDescent="0.25">
      <c r="A872" t="s">
        <v>1912</v>
      </c>
      <c r="B872" t="s">
        <v>82</v>
      </c>
      <c r="C872">
        <v>30</v>
      </c>
      <c r="D872" s="1">
        <v>46064</v>
      </c>
    </row>
    <row r="873" spans="1:4" x14ac:dyDescent="0.25">
      <c r="A873" t="s">
        <v>1913</v>
      </c>
      <c r="B873" t="s">
        <v>81</v>
      </c>
      <c r="C873">
        <v>17</v>
      </c>
      <c r="D873" s="1">
        <v>46112</v>
      </c>
    </row>
    <row r="874" spans="1:4" x14ac:dyDescent="0.25">
      <c r="A874" t="s">
        <v>1914</v>
      </c>
      <c r="B874" t="s">
        <v>122</v>
      </c>
      <c r="C874">
        <v>3</v>
      </c>
      <c r="D874" s="1">
        <v>46095</v>
      </c>
    </row>
    <row r="875" spans="1:4" x14ac:dyDescent="0.25">
      <c r="A875" t="s">
        <v>1915</v>
      </c>
      <c r="B875" t="s">
        <v>59</v>
      </c>
      <c r="C875">
        <v>29</v>
      </c>
      <c r="D875" s="1">
        <v>46040</v>
      </c>
    </row>
    <row r="876" spans="1:4" x14ac:dyDescent="0.25">
      <c r="A876" t="s">
        <v>1916</v>
      </c>
      <c r="B876" t="s">
        <v>118</v>
      </c>
      <c r="C876">
        <v>17</v>
      </c>
      <c r="D876" s="1">
        <v>46092</v>
      </c>
    </row>
    <row r="877" spans="1:4" x14ac:dyDescent="0.25">
      <c r="A877" t="s">
        <v>1917</v>
      </c>
      <c r="B877" t="s">
        <v>63</v>
      </c>
      <c r="C877">
        <v>27</v>
      </c>
      <c r="D877" s="1">
        <v>46037</v>
      </c>
    </row>
    <row r="878" spans="1:4" x14ac:dyDescent="0.25">
      <c r="A878" t="s">
        <v>1918</v>
      </c>
      <c r="B878" t="s">
        <v>112</v>
      </c>
      <c r="C878">
        <v>30</v>
      </c>
      <c r="D878" s="1">
        <v>46057</v>
      </c>
    </row>
    <row r="879" spans="1:4" x14ac:dyDescent="0.25">
      <c r="A879" t="s">
        <v>1919</v>
      </c>
      <c r="B879" t="s">
        <v>138</v>
      </c>
      <c r="C879">
        <v>25</v>
      </c>
      <c r="D879" s="1">
        <v>46039</v>
      </c>
    </row>
    <row r="880" spans="1:4" x14ac:dyDescent="0.25">
      <c r="A880" t="s">
        <v>1920</v>
      </c>
      <c r="B880" t="s">
        <v>124</v>
      </c>
      <c r="C880">
        <v>2</v>
      </c>
      <c r="D880" s="1">
        <v>46083</v>
      </c>
    </row>
    <row r="881" spans="1:4" x14ac:dyDescent="0.25">
      <c r="A881" t="s">
        <v>1921</v>
      </c>
      <c r="B881" t="s">
        <v>52</v>
      </c>
      <c r="C881">
        <v>21</v>
      </c>
      <c r="D881" s="1">
        <v>46085</v>
      </c>
    </row>
    <row r="882" spans="1:4" x14ac:dyDescent="0.25">
      <c r="A882" t="s">
        <v>1922</v>
      </c>
      <c r="B882" t="s">
        <v>75</v>
      </c>
      <c r="C882">
        <v>15</v>
      </c>
      <c r="D882" s="1">
        <v>46043</v>
      </c>
    </row>
    <row r="883" spans="1:4" x14ac:dyDescent="0.25">
      <c r="A883" t="s">
        <v>1923</v>
      </c>
      <c r="B883" t="s">
        <v>103</v>
      </c>
      <c r="C883">
        <v>22</v>
      </c>
      <c r="D883" s="1">
        <v>46078</v>
      </c>
    </row>
    <row r="884" spans="1:4" x14ac:dyDescent="0.25">
      <c r="A884" t="s">
        <v>1924</v>
      </c>
      <c r="B884" t="s">
        <v>80</v>
      </c>
      <c r="C884">
        <v>24</v>
      </c>
      <c r="D884" s="1">
        <v>46092</v>
      </c>
    </row>
    <row r="885" spans="1:4" x14ac:dyDescent="0.25">
      <c r="A885" t="s">
        <v>1925</v>
      </c>
      <c r="B885" t="s">
        <v>91</v>
      </c>
      <c r="C885">
        <v>25</v>
      </c>
      <c r="D885" s="1">
        <v>46111</v>
      </c>
    </row>
    <row r="886" spans="1:4" x14ac:dyDescent="0.25">
      <c r="A886" t="s">
        <v>1926</v>
      </c>
      <c r="B886" t="s">
        <v>77</v>
      </c>
      <c r="C886">
        <v>24</v>
      </c>
      <c r="D886" s="1">
        <v>46083</v>
      </c>
    </row>
    <row r="887" spans="1:4" x14ac:dyDescent="0.25">
      <c r="A887" t="s">
        <v>1927</v>
      </c>
      <c r="B887" t="s">
        <v>69</v>
      </c>
      <c r="C887">
        <v>15</v>
      </c>
      <c r="D887" s="1">
        <v>46053</v>
      </c>
    </row>
    <row r="888" spans="1:4" x14ac:dyDescent="0.25">
      <c r="A888" t="s">
        <v>1928</v>
      </c>
      <c r="B888" t="s">
        <v>131</v>
      </c>
      <c r="C888">
        <v>1</v>
      </c>
      <c r="D888" s="1">
        <v>46112</v>
      </c>
    </row>
    <row r="889" spans="1:4" x14ac:dyDescent="0.25">
      <c r="A889" t="s">
        <v>1929</v>
      </c>
      <c r="B889" t="s">
        <v>128</v>
      </c>
      <c r="C889">
        <v>20</v>
      </c>
      <c r="D889" s="1">
        <v>46073</v>
      </c>
    </row>
    <row r="890" spans="1:4" x14ac:dyDescent="0.25">
      <c r="A890" t="s">
        <v>1930</v>
      </c>
      <c r="B890" t="s">
        <v>39</v>
      </c>
      <c r="C890">
        <v>18</v>
      </c>
      <c r="D890" s="1">
        <v>46054</v>
      </c>
    </row>
    <row r="891" spans="1:4" x14ac:dyDescent="0.25">
      <c r="A891" t="s">
        <v>1931</v>
      </c>
      <c r="B891" t="s">
        <v>106</v>
      </c>
      <c r="C891">
        <v>18</v>
      </c>
      <c r="D891" s="1">
        <v>46058</v>
      </c>
    </row>
    <row r="892" spans="1:4" x14ac:dyDescent="0.25">
      <c r="A892" t="s">
        <v>1932</v>
      </c>
      <c r="B892" t="s">
        <v>55</v>
      </c>
      <c r="C892">
        <v>21</v>
      </c>
      <c r="D892" s="1">
        <v>46102</v>
      </c>
    </row>
    <row r="893" spans="1:4" x14ac:dyDescent="0.25">
      <c r="A893" t="s">
        <v>1933</v>
      </c>
      <c r="B893" t="s">
        <v>46</v>
      </c>
      <c r="C893">
        <v>23</v>
      </c>
      <c r="D893" s="1">
        <v>46090</v>
      </c>
    </row>
    <row r="894" spans="1:4" x14ac:dyDescent="0.25">
      <c r="A894" t="s">
        <v>1934</v>
      </c>
      <c r="B894" t="s">
        <v>133</v>
      </c>
      <c r="C894">
        <v>11</v>
      </c>
      <c r="D894" s="1">
        <v>46107</v>
      </c>
    </row>
    <row r="895" spans="1:4" x14ac:dyDescent="0.25">
      <c r="A895" t="s">
        <v>1935</v>
      </c>
      <c r="B895" t="s">
        <v>127</v>
      </c>
      <c r="C895">
        <v>21</v>
      </c>
      <c r="D895" s="1">
        <v>46114</v>
      </c>
    </row>
    <row r="896" spans="1:4" x14ac:dyDescent="0.25">
      <c r="A896" t="s">
        <v>1936</v>
      </c>
      <c r="B896" t="s">
        <v>55</v>
      </c>
      <c r="C896">
        <v>6</v>
      </c>
      <c r="D896" s="1">
        <v>46032</v>
      </c>
    </row>
    <row r="897" spans="1:4" x14ac:dyDescent="0.25">
      <c r="A897" t="s">
        <v>1937</v>
      </c>
      <c r="B897" t="s">
        <v>110</v>
      </c>
      <c r="C897">
        <v>19</v>
      </c>
      <c r="D897" s="1">
        <v>46098</v>
      </c>
    </row>
    <row r="898" spans="1:4" x14ac:dyDescent="0.25">
      <c r="A898" t="s">
        <v>1938</v>
      </c>
      <c r="B898" t="s">
        <v>67</v>
      </c>
      <c r="C898">
        <v>6</v>
      </c>
      <c r="D898" s="1">
        <v>46084</v>
      </c>
    </row>
    <row r="899" spans="1:4" x14ac:dyDescent="0.25">
      <c r="A899" t="s">
        <v>1939</v>
      </c>
      <c r="B899" t="s">
        <v>137</v>
      </c>
      <c r="C899">
        <v>8</v>
      </c>
      <c r="D899" s="1">
        <v>46099</v>
      </c>
    </row>
    <row r="900" spans="1:4" x14ac:dyDescent="0.25">
      <c r="A900" t="s">
        <v>1940</v>
      </c>
      <c r="B900" t="s">
        <v>87</v>
      </c>
      <c r="C900">
        <v>20</v>
      </c>
      <c r="D900" s="1">
        <v>46070</v>
      </c>
    </row>
    <row r="901" spans="1:4" x14ac:dyDescent="0.25">
      <c r="A901" t="s">
        <v>1941</v>
      </c>
      <c r="B901" t="s">
        <v>97</v>
      </c>
      <c r="C901">
        <v>24</v>
      </c>
      <c r="D901" s="1">
        <v>46030</v>
      </c>
    </row>
    <row r="902" spans="1:4" x14ac:dyDescent="0.25">
      <c r="A902" t="s">
        <v>1942</v>
      </c>
      <c r="B902" t="s">
        <v>69</v>
      </c>
      <c r="C902">
        <v>30</v>
      </c>
      <c r="D902" s="1">
        <v>46047</v>
      </c>
    </row>
    <row r="903" spans="1:4" x14ac:dyDescent="0.25">
      <c r="A903" t="s">
        <v>1943</v>
      </c>
      <c r="B903" t="s">
        <v>117</v>
      </c>
      <c r="C903">
        <v>9</v>
      </c>
      <c r="D903" s="1">
        <v>46093</v>
      </c>
    </row>
    <row r="904" spans="1:4" x14ac:dyDescent="0.25">
      <c r="A904" t="s">
        <v>1944</v>
      </c>
      <c r="B904" t="s">
        <v>109</v>
      </c>
      <c r="C904">
        <v>10</v>
      </c>
      <c r="D904" s="1">
        <v>46115</v>
      </c>
    </row>
    <row r="905" spans="1:4" x14ac:dyDescent="0.25">
      <c r="A905" t="s">
        <v>1945</v>
      </c>
      <c r="B905" t="s">
        <v>132</v>
      </c>
      <c r="C905">
        <v>27</v>
      </c>
      <c r="D905" s="1">
        <v>46064</v>
      </c>
    </row>
    <row r="906" spans="1:4" x14ac:dyDescent="0.25">
      <c r="A906" t="s">
        <v>1946</v>
      </c>
      <c r="B906" t="s">
        <v>104</v>
      </c>
      <c r="C906">
        <v>13</v>
      </c>
      <c r="D906" s="1">
        <v>46094</v>
      </c>
    </row>
    <row r="907" spans="1:4" x14ac:dyDescent="0.25">
      <c r="A907" t="s">
        <v>1947</v>
      </c>
      <c r="B907" t="s">
        <v>50</v>
      </c>
      <c r="C907">
        <v>26</v>
      </c>
      <c r="D907" s="1">
        <v>46032</v>
      </c>
    </row>
    <row r="908" spans="1:4" x14ac:dyDescent="0.25">
      <c r="A908" t="s">
        <v>1948</v>
      </c>
      <c r="B908" t="s">
        <v>113</v>
      </c>
      <c r="C908">
        <v>22</v>
      </c>
      <c r="D908" s="1">
        <v>46068</v>
      </c>
    </row>
    <row r="909" spans="1:4" x14ac:dyDescent="0.25">
      <c r="A909" t="s">
        <v>1949</v>
      </c>
      <c r="B909" t="s">
        <v>79</v>
      </c>
      <c r="C909">
        <v>23</v>
      </c>
      <c r="D909" s="1">
        <v>46081</v>
      </c>
    </row>
    <row r="910" spans="1:4" x14ac:dyDescent="0.25">
      <c r="A910" t="s">
        <v>1950</v>
      </c>
      <c r="B910" t="s">
        <v>80</v>
      </c>
      <c r="C910">
        <v>15</v>
      </c>
      <c r="D910" s="1">
        <v>46067</v>
      </c>
    </row>
    <row r="911" spans="1:4" x14ac:dyDescent="0.25">
      <c r="A911" t="s">
        <v>1951</v>
      </c>
      <c r="B911" t="s">
        <v>138</v>
      </c>
      <c r="C911">
        <v>10</v>
      </c>
      <c r="D911" s="1">
        <v>46102</v>
      </c>
    </row>
    <row r="912" spans="1:4" x14ac:dyDescent="0.25">
      <c r="A912" t="s">
        <v>1952</v>
      </c>
      <c r="B912" t="s">
        <v>99</v>
      </c>
      <c r="C912">
        <v>9</v>
      </c>
      <c r="D912" s="1">
        <v>46067</v>
      </c>
    </row>
    <row r="913" spans="1:4" x14ac:dyDescent="0.25">
      <c r="A913" t="s">
        <v>1953</v>
      </c>
      <c r="B913" t="s">
        <v>61</v>
      </c>
      <c r="C913">
        <v>24</v>
      </c>
      <c r="D913" s="1">
        <v>46103</v>
      </c>
    </row>
    <row r="914" spans="1:4" x14ac:dyDescent="0.25">
      <c r="A914" t="s">
        <v>1954</v>
      </c>
      <c r="B914" t="s">
        <v>117</v>
      </c>
      <c r="C914">
        <v>12</v>
      </c>
      <c r="D914" s="1">
        <v>46104</v>
      </c>
    </row>
    <row r="915" spans="1:4" x14ac:dyDescent="0.25">
      <c r="A915" t="s">
        <v>1955</v>
      </c>
      <c r="B915" t="s">
        <v>117</v>
      </c>
      <c r="C915">
        <v>4</v>
      </c>
      <c r="D915" s="1">
        <v>46104</v>
      </c>
    </row>
    <row r="916" spans="1:4" x14ac:dyDescent="0.25">
      <c r="A916" t="s">
        <v>1956</v>
      </c>
      <c r="B916" t="s">
        <v>105</v>
      </c>
      <c r="C916">
        <v>11</v>
      </c>
      <c r="D916" s="1">
        <v>46114</v>
      </c>
    </row>
    <row r="917" spans="1:4" x14ac:dyDescent="0.25">
      <c r="A917" t="s">
        <v>1957</v>
      </c>
      <c r="B917" t="s">
        <v>126</v>
      </c>
      <c r="C917">
        <v>24</v>
      </c>
      <c r="D917" s="1">
        <v>46032</v>
      </c>
    </row>
    <row r="918" spans="1:4" x14ac:dyDescent="0.25">
      <c r="A918" t="s">
        <v>1958</v>
      </c>
      <c r="B918" t="s">
        <v>86</v>
      </c>
      <c r="C918">
        <v>18</v>
      </c>
      <c r="D918" s="1">
        <v>46052</v>
      </c>
    </row>
    <row r="919" spans="1:4" x14ac:dyDescent="0.25">
      <c r="A919" t="s">
        <v>1959</v>
      </c>
      <c r="B919" t="s">
        <v>82</v>
      </c>
      <c r="C919">
        <v>20</v>
      </c>
      <c r="D919" s="1">
        <v>46118</v>
      </c>
    </row>
    <row r="920" spans="1:4" x14ac:dyDescent="0.25">
      <c r="A920" t="s">
        <v>1960</v>
      </c>
      <c r="B920" t="s">
        <v>37</v>
      </c>
      <c r="C920">
        <v>29</v>
      </c>
      <c r="D920" s="1">
        <v>46050</v>
      </c>
    </row>
    <row r="921" spans="1:4" x14ac:dyDescent="0.25">
      <c r="A921" t="s">
        <v>1961</v>
      </c>
      <c r="B921" t="s">
        <v>90</v>
      </c>
      <c r="C921">
        <v>17</v>
      </c>
      <c r="D921" s="1">
        <v>46033</v>
      </c>
    </row>
    <row r="922" spans="1:4" x14ac:dyDescent="0.25">
      <c r="A922" t="s">
        <v>1962</v>
      </c>
      <c r="B922" t="s">
        <v>115</v>
      </c>
      <c r="C922">
        <v>27</v>
      </c>
      <c r="D922" s="1">
        <v>46084</v>
      </c>
    </row>
    <row r="923" spans="1:4" x14ac:dyDescent="0.25">
      <c r="A923" t="s">
        <v>1963</v>
      </c>
      <c r="B923" t="s">
        <v>46</v>
      </c>
      <c r="C923">
        <v>29</v>
      </c>
      <c r="D923" s="1">
        <v>46051</v>
      </c>
    </row>
    <row r="924" spans="1:4" x14ac:dyDescent="0.25">
      <c r="A924" t="s">
        <v>1964</v>
      </c>
      <c r="B924" t="s">
        <v>78</v>
      </c>
      <c r="C924">
        <v>30</v>
      </c>
      <c r="D924" s="1">
        <v>46033</v>
      </c>
    </row>
    <row r="925" spans="1:4" x14ac:dyDescent="0.25">
      <c r="A925" t="s">
        <v>1965</v>
      </c>
      <c r="B925" t="s">
        <v>74</v>
      </c>
      <c r="C925">
        <v>26</v>
      </c>
      <c r="D925" s="1">
        <v>46043</v>
      </c>
    </row>
    <row r="926" spans="1:4" x14ac:dyDescent="0.25">
      <c r="A926" t="s">
        <v>1966</v>
      </c>
      <c r="B926" t="s">
        <v>120</v>
      </c>
      <c r="C926">
        <v>9</v>
      </c>
      <c r="D926" s="1">
        <v>46044</v>
      </c>
    </row>
    <row r="927" spans="1:4" x14ac:dyDescent="0.25">
      <c r="A927" t="s">
        <v>1967</v>
      </c>
      <c r="B927" t="s">
        <v>124</v>
      </c>
      <c r="C927">
        <v>8</v>
      </c>
      <c r="D927" s="1">
        <v>46073</v>
      </c>
    </row>
    <row r="928" spans="1:4" x14ac:dyDescent="0.25">
      <c r="A928" t="s">
        <v>1968</v>
      </c>
      <c r="B928" t="s">
        <v>72</v>
      </c>
      <c r="C928">
        <v>29</v>
      </c>
      <c r="D928" s="1">
        <v>46100</v>
      </c>
    </row>
    <row r="929" spans="1:4" x14ac:dyDescent="0.25">
      <c r="A929" t="s">
        <v>1969</v>
      </c>
      <c r="B929" t="s">
        <v>88</v>
      </c>
      <c r="C929">
        <v>8</v>
      </c>
      <c r="D929" s="1">
        <v>46074</v>
      </c>
    </row>
    <row r="930" spans="1:4" x14ac:dyDescent="0.25">
      <c r="A930" t="s">
        <v>1970</v>
      </c>
      <c r="B930" t="s">
        <v>93</v>
      </c>
      <c r="C930">
        <v>16</v>
      </c>
      <c r="D930" s="1">
        <v>46046</v>
      </c>
    </row>
    <row r="931" spans="1:4" x14ac:dyDescent="0.25">
      <c r="A931" t="s">
        <v>1971</v>
      </c>
      <c r="B931" t="s">
        <v>63</v>
      </c>
      <c r="C931">
        <v>15</v>
      </c>
      <c r="D931" s="1">
        <v>46048</v>
      </c>
    </row>
    <row r="932" spans="1:4" x14ac:dyDescent="0.25">
      <c r="A932" t="s">
        <v>1972</v>
      </c>
      <c r="B932" t="s">
        <v>77</v>
      </c>
      <c r="C932">
        <v>28</v>
      </c>
      <c r="D932" s="1">
        <v>46098</v>
      </c>
    </row>
    <row r="933" spans="1:4" x14ac:dyDescent="0.25">
      <c r="A933" t="s">
        <v>1973</v>
      </c>
      <c r="B933" t="s">
        <v>136</v>
      </c>
      <c r="C933">
        <v>5</v>
      </c>
      <c r="D933" s="1">
        <v>46101</v>
      </c>
    </row>
    <row r="934" spans="1:4" x14ac:dyDescent="0.25">
      <c r="A934" t="s">
        <v>1974</v>
      </c>
      <c r="B934" t="s">
        <v>53</v>
      </c>
      <c r="C934">
        <v>11</v>
      </c>
      <c r="D934" s="1">
        <v>46035</v>
      </c>
    </row>
    <row r="935" spans="1:4" x14ac:dyDescent="0.25">
      <c r="A935" t="s">
        <v>1975</v>
      </c>
      <c r="B935" t="s">
        <v>52</v>
      </c>
      <c r="C935">
        <v>8</v>
      </c>
      <c r="D935" s="1">
        <v>46114</v>
      </c>
    </row>
    <row r="936" spans="1:4" x14ac:dyDescent="0.25">
      <c r="A936" t="s">
        <v>1976</v>
      </c>
      <c r="B936" t="s">
        <v>81</v>
      </c>
      <c r="C936">
        <v>29</v>
      </c>
      <c r="D936" s="1">
        <v>46072</v>
      </c>
    </row>
    <row r="937" spans="1:4" x14ac:dyDescent="0.25">
      <c r="A937" t="s">
        <v>1977</v>
      </c>
      <c r="B937" t="s">
        <v>39</v>
      </c>
      <c r="C937">
        <v>28</v>
      </c>
      <c r="D937" s="1">
        <v>46037</v>
      </c>
    </row>
    <row r="938" spans="1:4" x14ac:dyDescent="0.25">
      <c r="A938" t="s">
        <v>1978</v>
      </c>
      <c r="B938" t="s">
        <v>43</v>
      </c>
      <c r="C938">
        <v>23</v>
      </c>
      <c r="D938" s="1">
        <v>46072</v>
      </c>
    </row>
    <row r="939" spans="1:4" x14ac:dyDescent="0.25">
      <c r="A939" t="s">
        <v>1979</v>
      </c>
      <c r="B939" t="s">
        <v>39</v>
      </c>
      <c r="C939">
        <v>8</v>
      </c>
      <c r="D939" s="1">
        <v>46092</v>
      </c>
    </row>
    <row r="940" spans="1:4" x14ac:dyDescent="0.25">
      <c r="A940" t="s">
        <v>1980</v>
      </c>
      <c r="B940" t="s">
        <v>81</v>
      </c>
      <c r="C940">
        <v>11</v>
      </c>
      <c r="D940" s="1">
        <v>46040</v>
      </c>
    </row>
    <row r="941" spans="1:4" x14ac:dyDescent="0.25">
      <c r="A941" t="s">
        <v>1981</v>
      </c>
      <c r="B941" t="s">
        <v>54</v>
      </c>
      <c r="C941">
        <v>20</v>
      </c>
      <c r="D941" s="1">
        <v>46113</v>
      </c>
    </row>
    <row r="942" spans="1:4" x14ac:dyDescent="0.25">
      <c r="A942" t="s">
        <v>1982</v>
      </c>
      <c r="B942" t="s">
        <v>42</v>
      </c>
      <c r="C942">
        <v>15</v>
      </c>
      <c r="D942" s="1">
        <v>46088</v>
      </c>
    </row>
    <row r="943" spans="1:4" x14ac:dyDescent="0.25">
      <c r="A943" t="s">
        <v>1983</v>
      </c>
      <c r="B943" t="s">
        <v>82</v>
      </c>
      <c r="C943">
        <v>29</v>
      </c>
      <c r="D943" s="1">
        <v>46103</v>
      </c>
    </row>
    <row r="944" spans="1:4" x14ac:dyDescent="0.25">
      <c r="A944" t="s">
        <v>1984</v>
      </c>
      <c r="B944" t="s">
        <v>100</v>
      </c>
      <c r="C944">
        <v>30</v>
      </c>
      <c r="D944" s="1">
        <v>46056</v>
      </c>
    </row>
    <row r="945" spans="1:4" x14ac:dyDescent="0.25">
      <c r="A945" t="s">
        <v>1985</v>
      </c>
      <c r="B945" t="s">
        <v>98</v>
      </c>
      <c r="C945">
        <v>20</v>
      </c>
      <c r="D945" s="1">
        <v>46090</v>
      </c>
    </row>
    <row r="946" spans="1:4" x14ac:dyDescent="0.25">
      <c r="A946" t="s">
        <v>1986</v>
      </c>
      <c r="B946" t="s">
        <v>76</v>
      </c>
      <c r="C946">
        <v>24</v>
      </c>
      <c r="D946" s="1">
        <v>46050</v>
      </c>
    </row>
    <row r="947" spans="1:4" x14ac:dyDescent="0.25">
      <c r="A947" t="s">
        <v>1987</v>
      </c>
      <c r="B947" t="s">
        <v>83</v>
      </c>
      <c r="C947">
        <v>11</v>
      </c>
      <c r="D947" s="1">
        <v>46088</v>
      </c>
    </row>
    <row r="948" spans="1:4" x14ac:dyDescent="0.25">
      <c r="A948" t="s">
        <v>1988</v>
      </c>
      <c r="B948" t="s">
        <v>120</v>
      </c>
      <c r="C948">
        <v>11</v>
      </c>
      <c r="D948" s="1">
        <v>46034</v>
      </c>
    </row>
    <row r="949" spans="1:4" x14ac:dyDescent="0.25">
      <c r="A949" t="s">
        <v>1989</v>
      </c>
      <c r="B949" t="s">
        <v>112</v>
      </c>
      <c r="C949">
        <v>23</v>
      </c>
      <c r="D949" s="1">
        <v>46100</v>
      </c>
    </row>
    <row r="950" spans="1:4" x14ac:dyDescent="0.25">
      <c r="A950" t="s">
        <v>1990</v>
      </c>
      <c r="B950" t="s">
        <v>135</v>
      </c>
      <c r="C950">
        <v>25</v>
      </c>
      <c r="D950" s="1">
        <v>46081</v>
      </c>
    </row>
    <row r="951" spans="1:4" x14ac:dyDescent="0.25">
      <c r="A951" t="s">
        <v>1991</v>
      </c>
      <c r="B951" t="s">
        <v>123</v>
      </c>
      <c r="C951">
        <v>3</v>
      </c>
      <c r="D951" s="1">
        <v>46116</v>
      </c>
    </row>
    <row r="952" spans="1:4" x14ac:dyDescent="0.25">
      <c r="A952" t="s">
        <v>1992</v>
      </c>
      <c r="B952" t="s">
        <v>124</v>
      </c>
      <c r="C952">
        <v>7</v>
      </c>
      <c r="D952" s="1">
        <v>46047</v>
      </c>
    </row>
    <row r="953" spans="1:4" x14ac:dyDescent="0.25">
      <c r="A953" t="s">
        <v>1993</v>
      </c>
      <c r="B953" t="s">
        <v>94</v>
      </c>
      <c r="C953">
        <v>27</v>
      </c>
      <c r="D953" s="1">
        <v>46102</v>
      </c>
    </row>
    <row r="954" spans="1:4" x14ac:dyDescent="0.25">
      <c r="A954" t="s">
        <v>1994</v>
      </c>
      <c r="B954" t="s">
        <v>122</v>
      </c>
      <c r="C954">
        <v>5</v>
      </c>
      <c r="D954" s="1">
        <v>46045</v>
      </c>
    </row>
    <row r="955" spans="1:4" x14ac:dyDescent="0.25">
      <c r="A955" t="s">
        <v>1995</v>
      </c>
      <c r="B955" t="s">
        <v>115</v>
      </c>
      <c r="C955">
        <v>10</v>
      </c>
      <c r="D955" s="1">
        <v>46060</v>
      </c>
    </row>
    <row r="956" spans="1:4" x14ac:dyDescent="0.25">
      <c r="A956" t="s">
        <v>1996</v>
      </c>
      <c r="B956" t="s">
        <v>41</v>
      </c>
      <c r="C956">
        <v>13</v>
      </c>
      <c r="D956" s="1">
        <v>46087</v>
      </c>
    </row>
    <row r="957" spans="1:4" x14ac:dyDescent="0.25">
      <c r="A957" t="s">
        <v>1997</v>
      </c>
      <c r="B957" t="s">
        <v>42</v>
      </c>
      <c r="C957">
        <v>3</v>
      </c>
      <c r="D957" s="1">
        <v>46070</v>
      </c>
    </row>
    <row r="958" spans="1:4" x14ac:dyDescent="0.25">
      <c r="A958" t="s">
        <v>1998</v>
      </c>
      <c r="B958" t="s">
        <v>77</v>
      </c>
      <c r="C958">
        <v>11</v>
      </c>
      <c r="D958" s="1">
        <v>46067</v>
      </c>
    </row>
    <row r="959" spans="1:4" x14ac:dyDescent="0.25">
      <c r="A959" t="s">
        <v>1999</v>
      </c>
      <c r="B959" t="s">
        <v>62</v>
      </c>
      <c r="C959">
        <v>23</v>
      </c>
      <c r="D959" s="1">
        <v>46111</v>
      </c>
    </row>
    <row r="960" spans="1:4" x14ac:dyDescent="0.25">
      <c r="A960" t="s">
        <v>2000</v>
      </c>
      <c r="B960" t="s">
        <v>97</v>
      </c>
      <c r="C960">
        <v>3</v>
      </c>
      <c r="D960" s="1">
        <v>46064</v>
      </c>
    </row>
    <row r="961" spans="1:4" x14ac:dyDescent="0.25">
      <c r="A961" t="s">
        <v>2001</v>
      </c>
      <c r="B961" t="s">
        <v>72</v>
      </c>
      <c r="C961">
        <v>18</v>
      </c>
      <c r="D961" s="1">
        <v>46076</v>
      </c>
    </row>
    <row r="962" spans="1:4" x14ac:dyDescent="0.25">
      <c r="A962" t="s">
        <v>2002</v>
      </c>
      <c r="B962" t="s">
        <v>122</v>
      </c>
      <c r="C962">
        <v>19</v>
      </c>
      <c r="D962" s="1">
        <v>46048</v>
      </c>
    </row>
    <row r="963" spans="1:4" x14ac:dyDescent="0.25">
      <c r="A963" t="s">
        <v>2003</v>
      </c>
      <c r="B963" t="s">
        <v>88</v>
      </c>
      <c r="C963">
        <v>17</v>
      </c>
      <c r="D963" s="1">
        <v>46039</v>
      </c>
    </row>
    <row r="964" spans="1:4" x14ac:dyDescent="0.25">
      <c r="A964" t="s">
        <v>2004</v>
      </c>
      <c r="B964" t="s">
        <v>90</v>
      </c>
      <c r="C964">
        <v>29</v>
      </c>
      <c r="D964" s="1">
        <v>46048</v>
      </c>
    </row>
    <row r="965" spans="1:4" x14ac:dyDescent="0.25">
      <c r="A965" t="s">
        <v>2005</v>
      </c>
      <c r="B965" t="s">
        <v>87</v>
      </c>
      <c r="C965">
        <v>30</v>
      </c>
      <c r="D965" s="1">
        <v>46050</v>
      </c>
    </row>
    <row r="966" spans="1:4" x14ac:dyDescent="0.25">
      <c r="A966" t="s">
        <v>2006</v>
      </c>
      <c r="B966" t="s">
        <v>120</v>
      </c>
      <c r="C966">
        <v>27</v>
      </c>
      <c r="D966" s="1">
        <v>46032</v>
      </c>
    </row>
    <row r="967" spans="1:4" x14ac:dyDescent="0.25">
      <c r="A967" t="s">
        <v>2007</v>
      </c>
      <c r="B967" t="s">
        <v>46</v>
      </c>
      <c r="C967">
        <v>9</v>
      </c>
      <c r="D967" s="1">
        <v>46029</v>
      </c>
    </row>
    <row r="968" spans="1:4" x14ac:dyDescent="0.25">
      <c r="A968" t="s">
        <v>2008</v>
      </c>
      <c r="B968" t="s">
        <v>64</v>
      </c>
      <c r="C968">
        <v>22</v>
      </c>
      <c r="D968" s="1">
        <v>46048</v>
      </c>
    </row>
    <row r="969" spans="1:4" x14ac:dyDescent="0.25">
      <c r="A969" t="s">
        <v>2009</v>
      </c>
      <c r="B969" t="s">
        <v>68</v>
      </c>
      <c r="C969">
        <v>22</v>
      </c>
      <c r="D969" s="1">
        <v>46098</v>
      </c>
    </row>
    <row r="970" spans="1:4" x14ac:dyDescent="0.25">
      <c r="A970" t="s">
        <v>2010</v>
      </c>
      <c r="B970" t="s">
        <v>137</v>
      </c>
      <c r="C970">
        <v>13</v>
      </c>
      <c r="D970" s="1">
        <v>46094</v>
      </c>
    </row>
    <row r="971" spans="1:4" x14ac:dyDescent="0.25">
      <c r="A971" t="s">
        <v>2011</v>
      </c>
      <c r="B971" t="s">
        <v>46</v>
      </c>
      <c r="C971">
        <v>17</v>
      </c>
      <c r="D971" s="1">
        <v>46092</v>
      </c>
    </row>
    <row r="972" spans="1:4" x14ac:dyDescent="0.25">
      <c r="A972" t="s">
        <v>2012</v>
      </c>
      <c r="B972" t="s">
        <v>50</v>
      </c>
      <c r="C972">
        <v>4</v>
      </c>
      <c r="D972" s="1">
        <v>46067</v>
      </c>
    </row>
    <row r="973" spans="1:4" x14ac:dyDescent="0.25">
      <c r="A973" t="s">
        <v>2013</v>
      </c>
      <c r="B973" t="s">
        <v>92</v>
      </c>
      <c r="C973">
        <v>8</v>
      </c>
      <c r="D973" s="1">
        <v>46072</v>
      </c>
    </row>
    <row r="974" spans="1:4" x14ac:dyDescent="0.25">
      <c r="A974" t="s">
        <v>2014</v>
      </c>
      <c r="B974" t="s">
        <v>118</v>
      </c>
      <c r="C974">
        <v>19</v>
      </c>
      <c r="D974" s="1">
        <v>46111</v>
      </c>
    </row>
    <row r="975" spans="1:4" x14ac:dyDescent="0.25">
      <c r="A975" t="s">
        <v>2015</v>
      </c>
      <c r="B975" t="s">
        <v>87</v>
      </c>
      <c r="C975">
        <v>16</v>
      </c>
      <c r="D975" s="1">
        <v>46035</v>
      </c>
    </row>
    <row r="976" spans="1:4" x14ac:dyDescent="0.25">
      <c r="A976" t="s">
        <v>2016</v>
      </c>
      <c r="B976" t="s">
        <v>116</v>
      </c>
      <c r="C976">
        <v>4</v>
      </c>
      <c r="D976" s="1">
        <v>46080</v>
      </c>
    </row>
    <row r="977" spans="1:4" x14ac:dyDescent="0.25">
      <c r="A977" t="s">
        <v>2017</v>
      </c>
      <c r="B977" t="s">
        <v>88</v>
      </c>
      <c r="C977">
        <v>24</v>
      </c>
      <c r="D977" s="1">
        <v>46043</v>
      </c>
    </row>
    <row r="978" spans="1:4" x14ac:dyDescent="0.25">
      <c r="A978" t="s">
        <v>2018</v>
      </c>
      <c r="B978" t="s">
        <v>117</v>
      </c>
      <c r="C978">
        <v>17</v>
      </c>
      <c r="D978" s="1">
        <v>46092</v>
      </c>
    </row>
    <row r="979" spans="1:4" x14ac:dyDescent="0.25">
      <c r="A979" t="s">
        <v>2019</v>
      </c>
      <c r="B979" t="s">
        <v>81</v>
      </c>
      <c r="C979">
        <v>12</v>
      </c>
      <c r="D979" s="1">
        <v>46046</v>
      </c>
    </row>
    <row r="980" spans="1:4" x14ac:dyDescent="0.25">
      <c r="A980" t="s">
        <v>2020</v>
      </c>
      <c r="B980" t="s">
        <v>116</v>
      </c>
      <c r="C980">
        <v>14</v>
      </c>
      <c r="D980" s="1">
        <v>46057</v>
      </c>
    </row>
    <row r="981" spans="1:4" x14ac:dyDescent="0.25">
      <c r="A981" t="s">
        <v>2021</v>
      </c>
      <c r="B981" t="s">
        <v>59</v>
      </c>
      <c r="C981">
        <v>24</v>
      </c>
      <c r="D981" s="1">
        <v>46093</v>
      </c>
    </row>
    <row r="982" spans="1:4" x14ac:dyDescent="0.25">
      <c r="A982" t="s">
        <v>2022</v>
      </c>
      <c r="B982" t="s">
        <v>43</v>
      </c>
      <c r="C982">
        <v>1</v>
      </c>
      <c r="D982" s="1">
        <v>46104</v>
      </c>
    </row>
    <row r="983" spans="1:4" x14ac:dyDescent="0.25">
      <c r="A983" t="s">
        <v>2023</v>
      </c>
      <c r="B983" t="s">
        <v>94</v>
      </c>
      <c r="C983">
        <v>2</v>
      </c>
      <c r="D983" s="1">
        <v>46104</v>
      </c>
    </row>
    <row r="984" spans="1:4" x14ac:dyDescent="0.25">
      <c r="A984" t="s">
        <v>2024</v>
      </c>
      <c r="B984" t="s">
        <v>80</v>
      </c>
      <c r="C984">
        <v>25</v>
      </c>
      <c r="D984" s="1">
        <v>46031</v>
      </c>
    </row>
    <row r="985" spans="1:4" x14ac:dyDescent="0.25">
      <c r="A985" t="s">
        <v>2025</v>
      </c>
      <c r="B985" t="s">
        <v>77</v>
      </c>
      <c r="C985">
        <v>21</v>
      </c>
      <c r="D985" s="1">
        <v>46053</v>
      </c>
    </row>
    <row r="986" spans="1:4" x14ac:dyDescent="0.25">
      <c r="A986" t="s">
        <v>2026</v>
      </c>
      <c r="B986" t="s">
        <v>126</v>
      </c>
      <c r="C986">
        <v>4</v>
      </c>
      <c r="D986" s="1">
        <v>46090</v>
      </c>
    </row>
    <row r="987" spans="1:4" x14ac:dyDescent="0.25">
      <c r="A987" t="s">
        <v>2027</v>
      </c>
      <c r="B987" t="s">
        <v>100</v>
      </c>
      <c r="C987">
        <v>18</v>
      </c>
      <c r="D987" s="1">
        <v>46098</v>
      </c>
    </row>
    <row r="988" spans="1:4" x14ac:dyDescent="0.25">
      <c r="A988" t="s">
        <v>2028</v>
      </c>
      <c r="B988" t="s">
        <v>64</v>
      </c>
      <c r="C988">
        <v>22</v>
      </c>
      <c r="D988" s="1">
        <v>46037</v>
      </c>
    </row>
    <row r="989" spans="1:4" x14ac:dyDescent="0.25">
      <c r="A989" t="s">
        <v>2029</v>
      </c>
      <c r="B989" t="s">
        <v>118</v>
      </c>
      <c r="C989">
        <v>2</v>
      </c>
      <c r="D989" s="1">
        <v>46075</v>
      </c>
    </row>
    <row r="990" spans="1:4" x14ac:dyDescent="0.25">
      <c r="A990" t="s">
        <v>2030</v>
      </c>
      <c r="B990" t="s">
        <v>86</v>
      </c>
      <c r="C990">
        <v>8</v>
      </c>
      <c r="D990" s="1">
        <v>46108</v>
      </c>
    </row>
    <row r="991" spans="1:4" x14ac:dyDescent="0.25">
      <c r="A991" t="s">
        <v>2031</v>
      </c>
      <c r="B991" t="s">
        <v>41</v>
      </c>
      <c r="C991">
        <v>5</v>
      </c>
      <c r="D991" s="1">
        <v>46030</v>
      </c>
    </row>
    <row r="992" spans="1:4" x14ac:dyDescent="0.25">
      <c r="A992" t="s">
        <v>2032</v>
      </c>
      <c r="B992" t="s">
        <v>127</v>
      </c>
      <c r="C992">
        <v>23</v>
      </c>
      <c r="D992" s="1">
        <v>46062</v>
      </c>
    </row>
    <row r="993" spans="1:4" x14ac:dyDescent="0.25">
      <c r="A993" t="s">
        <v>2033</v>
      </c>
      <c r="B993" t="s">
        <v>93</v>
      </c>
      <c r="C993">
        <v>10</v>
      </c>
      <c r="D993" s="1">
        <v>46096</v>
      </c>
    </row>
    <row r="994" spans="1:4" x14ac:dyDescent="0.25">
      <c r="A994" t="s">
        <v>2034</v>
      </c>
      <c r="B994" t="s">
        <v>106</v>
      </c>
      <c r="C994">
        <v>20</v>
      </c>
      <c r="D994" s="1">
        <v>46088</v>
      </c>
    </row>
    <row r="995" spans="1:4" x14ac:dyDescent="0.25">
      <c r="A995" t="s">
        <v>2035</v>
      </c>
      <c r="B995" t="s">
        <v>100</v>
      </c>
      <c r="C995">
        <v>7</v>
      </c>
      <c r="D995" s="1">
        <v>46096</v>
      </c>
    </row>
    <row r="996" spans="1:4" x14ac:dyDescent="0.25">
      <c r="A996" t="s">
        <v>2036</v>
      </c>
      <c r="B996" t="s">
        <v>116</v>
      </c>
      <c r="C996">
        <v>5</v>
      </c>
      <c r="D996" s="1">
        <v>46066</v>
      </c>
    </row>
    <row r="997" spans="1:4" x14ac:dyDescent="0.25">
      <c r="A997" t="s">
        <v>2037</v>
      </c>
      <c r="B997" t="s">
        <v>51</v>
      </c>
      <c r="C997">
        <v>13</v>
      </c>
      <c r="D997" s="1">
        <v>46029</v>
      </c>
    </row>
    <row r="998" spans="1:4" x14ac:dyDescent="0.25">
      <c r="A998" t="s">
        <v>2038</v>
      </c>
      <c r="B998" t="s">
        <v>134</v>
      </c>
      <c r="C998">
        <v>25</v>
      </c>
      <c r="D998" s="1">
        <v>46115</v>
      </c>
    </row>
    <row r="999" spans="1:4" x14ac:dyDescent="0.25">
      <c r="A999" t="s">
        <v>2039</v>
      </c>
      <c r="B999" t="s">
        <v>91</v>
      </c>
      <c r="C999">
        <v>17</v>
      </c>
      <c r="D999" s="1">
        <v>46105</v>
      </c>
    </row>
    <row r="1000" spans="1:4" x14ac:dyDescent="0.25">
      <c r="A1000" t="s">
        <v>2040</v>
      </c>
      <c r="B1000" t="s">
        <v>132</v>
      </c>
      <c r="C1000">
        <v>14</v>
      </c>
      <c r="D1000" s="1">
        <v>46104</v>
      </c>
    </row>
    <row r="1001" spans="1:4" x14ac:dyDescent="0.25">
      <c r="A1001" t="s">
        <v>2041</v>
      </c>
      <c r="B1001" t="s">
        <v>82</v>
      </c>
      <c r="C1001">
        <v>22</v>
      </c>
      <c r="D1001" s="1">
        <v>46086</v>
      </c>
    </row>
    <row r="1002" spans="1:4" x14ac:dyDescent="0.25">
      <c r="A1002" t="s">
        <v>2042</v>
      </c>
      <c r="B1002" t="s">
        <v>81</v>
      </c>
      <c r="C1002">
        <v>22</v>
      </c>
      <c r="D1002" s="1">
        <v>46052</v>
      </c>
    </row>
    <row r="1003" spans="1:4" x14ac:dyDescent="0.25">
      <c r="A1003" t="s">
        <v>2043</v>
      </c>
      <c r="B1003" t="s">
        <v>45</v>
      </c>
      <c r="C1003">
        <v>8</v>
      </c>
      <c r="D1003" s="1">
        <v>46104</v>
      </c>
    </row>
    <row r="1004" spans="1:4" x14ac:dyDescent="0.25">
      <c r="A1004" t="s">
        <v>2044</v>
      </c>
      <c r="B1004" t="s">
        <v>51</v>
      </c>
      <c r="C1004">
        <v>9</v>
      </c>
      <c r="D1004" s="1">
        <v>46053</v>
      </c>
    </row>
    <row r="1005" spans="1:4" x14ac:dyDescent="0.25">
      <c r="A1005" t="s">
        <v>2045</v>
      </c>
      <c r="B1005" t="s">
        <v>52</v>
      </c>
      <c r="C1005">
        <v>27</v>
      </c>
      <c r="D1005" s="1">
        <v>46068</v>
      </c>
    </row>
    <row r="1006" spans="1:4" x14ac:dyDescent="0.25">
      <c r="A1006" t="s">
        <v>2046</v>
      </c>
      <c r="B1006" t="s">
        <v>54</v>
      </c>
      <c r="C1006">
        <v>2</v>
      </c>
      <c r="D1006" s="1">
        <v>46111</v>
      </c>
    </row>
    <row r="1007" spans="1:4" x14ac:dyDescent="0.25">
      <c r="A1007" t="s">
        <v>2047</v>
      </c>
      <c r="B1007" t="s">
        <v>122</v>
      </c>
      <c r="C1007">
        <v>13</v>
      </c>
      <c r="D1007" s="1">
        <v>46048</v>
      </c>
    </row>
    <row r="1008" spans="1:4" x14ac:dyDescent="0.25">
      <c r="A1008" t="s">
        <v>2048</v>
      </c>
      <c r="B1008" t="s">
        <v>101</v>
      </c>
      <c r="C1008">
        <v>8</v>
      </c>
      <c r="D1008" s="1">
        <v>46053</v>
      </c>
    </row>
    <row r="1009" spans="1:4" x14ac:dyDescent="0.25">
      <c r="A1009" t="s">
        <v>2049</v>
      </c>
      <c r="B1009" t="s">
        <v>130</v>
      </c>
      <c r="C1009">
        <v>1</v>
      </c>
      <c r="D1009" s="1">
        <v>46055</v>
      </c>
    </row>
    <row r="1010" spans="1:4" x14ac:dyDescent="0.25">
      <c r="A1010" t="s">
        <v>2050</v>
      </c>
      <c r="B1010" t="s">
        <v>90</v>
      </c>
      <c r="C1010">
        <v>2</v>
      </c>
      <c r="D1010" s="1">
        <v>46037</v>
      </c>
    </row>
    <row r="1011" spans="1:4" x14ac:dyDescent="0.25">
      <c r="A1011" t="s">
        <v>2051</v>
      </c>
      <c r="B1011" t="s">
        <v>134</v>
      </c>
      <c r="C1011">
        <v>1</v>
      </c>
      <c r="D1011" s="1">
        <v>46069</v>
      </c>
    </row>
    <row r="1012" spans="1:4" x14ac:dyDescent="0.25">
      <c r="A1012" t="s">
        <v>2052</v>
      </c>
      <c r="B1012" t="s">
        <v>50</v>
      </c>
      <c r="C1012">
        <v>21</v>
      </c>
      <c r="D1012" s="1">
        <v>46089</v>
      </c>
    </row>
    <row r="1013" spans="1:4" x14ac:dyDescent="0.25">
      <c r="A1013" t="s">
        <v>2053</v>
      </c>
      <c r="B1013" t="s">
        <v>94</v>
      </c>
      <c r="C1013">
        <v>30</v>
      </c>
      <c r="D1013" s="1">
        <v>46099</v>
      </c>
    </row>
    <row r="1014" spans="1:4" x14ac:dyDescent="0.25">
      <c r="A1014" t="s">
        <v>2054</v>
      </c>
      <c r="B1014" t="s">
        <v>97</v>
      </c>
      <c r="C1014">
        <v>17</v>
      </c>
      <c r="D1014" s="1">
        <v>46094</v>
      </c>
    </row>
    <row r="1015" spans="1:4" x14ac:dyDescent="0.25">
      <c r="A1015" t="s">
        <v>2055</v>
      </c>
      <c r="B1015" t="s">
        <v>94</v>
      </c>
      <c r="C1015">
        <v>3</v>
      </c>
      <c r="D1015" s="1">
        <v>46038</v>
      </c>
    </row>
    <row r="1016" spans="1:4" x14ac:dyDescent="0.25">
      <c r="A1016" t="s">
        <v>2056</v>
      </c>
      <c r="B1016" t="s">
        <v>69</v>
      </c>
      <c r="C1016">
        <v>5</v>
      </c>
      <c r="D1016" s="1">
        <v>46118</v>
      </c>
    </row>
    <row r="1017" spans="1:4" x14ac:dyDescent="0.25">
      <c r="A1017" t="s">
        <v>2057</v>
      </c>
      <c r="B1017" t="s">
        <v>129</v>
      </c>
      <c r="C1017">
        <v>14</v>
      </c>
      <c r="D1017" s="1">
        <v>46077</v>
      </c>
    </row>
    <row r="1018" spans="1:4" x14ac:dyDescent="0.25">
      <c r="A1018" t="s">
        <v>2058</v>
      </c>
      <c r="B1018" t="s">
        <v>60</v>
      </c>
      <c r="C1018">
        <v>22</v>
      </c>
      <c r="D1018" s="1">
        <v>46114</v>
      </c>
    </row>
    <row r="1019" spans="1:4" x14ac:dyDescent="0.25">
      <c r="A1019" t="s">
        <v>2059</v>
      </c>
      <c r="B1019" t="s">
        <v>93</v>
      </c>
      <c r="C1019">
        <v>26</v>
      </c>
      <c r="D1019" s="1">
        <v>46104</v>
      </c>
    </row>
    <row r="1020" spans="1:4" x14ac:dyDescent="0.25">
      <c r="A1020" t="s">
        <v>2060</v>
      </c>
      <c r="B1020" t="s">
        <v>59</v>
      </c>
      <c r="C1020">
        <v>22</v>
      </c>
      <c r="D1020" s="1">
        <v>46042</v>
      </c>
    </row>
    <row r="1021" spans="1:4" x14ac:dyDescent="0.25">
      <c r="A1021" t="s">
        <v>2061</v>
      </c>
      <c r="B1021" t="s">
        <v>73</v>
      </c>
      <c r="C1021">
        <v>21</v>
      </c>
      <c r="D1021" s="1">
        <v>46066</v>
      </c>
    </row>
    <row r="1022" spans="1:4" x14ac:dyDescent="0.25">
      <c r="A1022" t="s">
        <v>2062</v>
      </c>
      <c r="B1022" t="s">
        <v>63</v>
      </c>
      <c r="C1022">
        <v>25</v>
      </c>
      <c r="D1022" s="1">
        <v>46092</v>
      </c>
    </row>
    <row r="1023" spans="1:4" x14ac:dyDescent="0.25">
      <c r="A1023" t="s">
        <v>2063</v>
      </c>
      <c r="B1023" t="s">
        <v>105</v>
      </c>
      <c r="C1023">
        <v>6</v>
      </c>
      <c r="D1023" s="1">
        <v>46033</v>
      </c>
    </row>
    <row r="1024" spans="1:4" x14ac:dyDescent="0.25">
      <c r="A1024" t="s">
        <v>2064</v>
      </c>
      <c r="B1024" t="s">
        <v>54</v>
      </c>
      <c r="C1024">
        <v>23</v>
      </c>
      <c r="D1024" s="1">
        <v>46090</v>
      </c>
    </row>
    <row r="1025" spans="1:4" x14ac:dyDescent="0.25">
      <c r="A1025" t="s">
        <v>2065</v>
      </c>
      <c r="B1025" t="s">
        <v>115</v>
      </c>
      <c r="C1025">
        <v>11</v>
      </c>
      <c r="D1025" s="1">
        <v>46029</v>
      </c>
    </row>
    <row r="1026" spans="1:4" x14ac:dyDescent="0.25">
      <c r="A1026" t="s">
        <v>2066</v>
      </c>
      <c r="B1026" t="s">
        <v>65</v>
      </c>
      <c r="C1026">
        <v>17</v>
      </c>
      <c r="D1026" s="1">
        <v>46063</v>
      </c>
    </row>
    <row r="1027" spans="1:4" x14ac:dyDescent="0.25">
      <c r="A1027" t="s">
        <v>2067</v>
      </c>
      <c r="B1027" t="s">
        <v>71</v>
      </c>
      <c r="C1027">
        <v>24</v>
      </c>
      <c r="D1027" s="1">
        <v>46082</v>
      </c>
    </row>
    <row r="1028" spans="1:4" x14ac:dyDescent="0.25">
      <c r="A1028" t="s">
        <v>2068</v>
      </c>
      <c r="B1028" t="s">
        <v>114</v>
      </c>
      <c r="C1028">
        <v>14</v>
      </c>
      <c r="D1028" s="1">
        <v>46038</v>
      </c>
    </row>
    <row r="1029" spans="1:4" x14ac:dyDescent="0.25">
      <c r="A1029" t="s">
        <v>2069</v>
      </c>
      <c r="B1029" t="s">
        <v>70</v>
      </c>
      <c r="C1029">
        <v>13</v>
      </c>
      <c r="D1029" s="1">
        <v>46035</v>
      </c>
    </row>
    <row r="1030" spans="1:4" x14ac:dyDescent="0.25">
      <c r="A1030" t="s">
        <v>2070</v>
      </c>
      <c r="B1030" t="s">
        <v>118</v>
      </c>
      <c r="C1030">
        <v>15</v>
      </c>
      <c r="D1030" s="1">
        <v>46043</v>
      </c>
    </row>
    <row r="1031" spans="1:4" x14ac:dyDescent="0.25">
      <c r="A1031" t="s">
        <v>2071</v>
      </c>
      <c r="B1031" t="s">
        <v>131</v>
      </c>
      <c r="C1031">
        <v>9</v>
      </c>
      <c r="D1031" s="1">
        <v>46073</v>
      </c>
    </row>
    <row r="1032" spans="1:4" x14ac:dyDescent="0.25">
      <c r="A1032" t="s">
        <v>2072</v>
      </c>
      <c r="B1032" t="s">
        <v>83</v>
      </c>
      <c r="C1032">
        <v>7</v>
      </c>
      <c r="D1032" s="1">
        <v>46056</v>
      </c>
    </row>
    <row r="1033" spans="1:4" x14ac:dyDescent="0.25">
      <c r="A1033" t="s">
        <v>2073</v>
      </c>
      <c r="B1033" t="s">
        <v>135</v>
      </c>
      <c r="C1033">
        <v>17</v>
      </c>
      <c r="D1033" s="1">
        <v>46045</v>
      </c>
    </row>
    <row r="1034" spans="1:4" x14ac:dyDescent="0.25">
      <c r="A1034" t="s">
        <v>2074</v>
      </c>
      <c r="B1034" t="s">
        <v>53</v>
      </c>
      <c r="C1034">
        <v>16</v>
      </c>
      <c r="D1034" s="1">
        <v>46114</v>
      </c>
    </row>
    <row r="1035" spans="1:4" x14ac:dyDescent="0.25">
      <c r="A1035" t="s">
        <v>2075</v>
      </c>
      <c r="B1035" t="s">
        <v>78</v>
      </c>
      <c r="C1035">
        <v>30</v>
      </c>
      <c r="D1035" s="1">
        <v>46049</v>
      </c>
    </row>
    <row r="1036" spans="1:4" x14ac:dyDescent="0.25">
      <c r="A1036" t="s">
        <v>2076</v>
      </c>
      <c r="B1036" t="s">
        <v>75</v>
      </c>
      <c r="C1036">
        <v>19</v>
      </c>
      <c r="D1036" s="1">
        <v>46029</v>
      </c>
    </row>
    <row r="1037" spans="1:4" x14ac:dyDescent="0.25">
      <c r="A1037" t="s">
        <v>2077</v>
      </c>
      <c r="B1037" t="s">
        <v>78</v>
      </c>
      <c r="C1037">
        <v>5</v>
      </c>
      <c r="D1037" s="1">
        <v>46041</v>
      </c>
    </row>
    <row r="1038" spans="1:4" x14ac:dyDescent="0.25">
      <c r="A1038" t="s">
        <v>2078</v>
      </c>
      <c r="B1038" t="s">
        <v>90</v>
      </c>
      <c r="C1038">
        <v>7</v>
      </c>
      <c r="D1038" s="1">
        <v>46066</v>
      </c>
    </row>
    <row r="1039" spans="1:4" x14ac:dyDescent="0.25">
      <c r="A1039" t="s">
        <v>2079</v>
      </c>
      <c r="B1039" t="s">
        <v>58</v>
      </c>
      <c r="C1039">
        <v>10</v>
      </c>
      <c r="D1039" s="1">
        <v>46114</v>
      </c>
    </row>
    <row r="1040" spans="1:4" x14ac:dyDescent="0.25">
      <c r="A1040" t="s">
        <v>2080</v>
      </c>
      <c r="B1040" t="s">
        <v>62</v>
      </c>
      <c r="C1040">
        <v>26</v>
      </c>
      <c r="D1040" s="1">
        <v>46087</v>
      </c>
    </row>
    <row r="1041" spans="1:4" x14ac:dyDescent="0.25">
      <c r="A1041" t="s">
        <v>2081</v>
      </c>
      <c r="B1041" t="s">
        <v>73</v>
      </c>
      <c r="C1041">
        <v>20</v>
      </c>
      <c r="D1041" s="1">
        <v>46049</v>
      </c>
    </row>
    <row r="1042" spans="1:4" x14ac:dyDescent="0.25">
      <c r="A1042" t="s">
        <v>2082</v>
      </c>
      <c r="B1042" t="s">
        <v>137</v>
      </c>
      <c r="C1042">
        <v>21</v>
      </c>
      <c r="D1042" s="1">
        <v>46060</v>
      </c>
    </row>
    <row r="1043" spans="1:4" x14ac:dyDescent="0.25">
      <c r="A1043" t="s">
        <v>2083</v>
      </c>
      <c r="B1043" t="s">
        <v>66</v>
      </c>
      <c r="C1043">
        <v>30</v>
      </c>
      <c r="D1043" s="1">
        <v>46066</v>
      </c>
    </row>
    <row r="1044" spans="1:4" x14ac:dyDescent="0.25">
      <c r="A1044" t="s">
        <v>2084</v>
      </c>
      <c r="B1044" t="s">
        <v>122</v>
      </c>
      <c r="C1044">
        <v>26</v>
      </c>
      <c r="D1044" s="1">
        <v>46053</v>
      </c>
    </row>
    <row r="1045" spans="1:4" x14ac:dyDescent="0.25">
      <c r="A1045" t="s">
        <v>2085</v>
      </c>
      <c r="B1045" t="s">
        <v>117</v>
      </c>
      <c r="C1045">
        <v>28</v>
      </c>
      <c r="D1045" s="1">
        <v>46068</v>
      </c>
    </row>
    <row r="1046" spans="1:4" x14ac:dyDescent="0.25">
      <c r="A1046" t="s">
        <v>2086</v>
      </c>
      <c r="B1046" t="s">
        <v>46</v>
      </c>
      <c r="C1046">
        <v>23</v>
      </c>
      <c r="D1046" s="1">
        <v>46036</v>
      </c>
    </row>
    <row r="1047" spans="1:4" x14ac:dyDescent="0.25">
      <c r="A1047" t="s">
        <v>2087</v>
      </c>
      <c r="B1047" t="s">
        <v>98</v>
      </c>
      <c r="C1047">
        <v>11</v>
      </c>
      <c r="D1047" s="1">
        <v>46114</v>
      </c>
    </row>
    <row r="1048" spans="1:4" x14ac:dyDescent="0.25">
      <c r="A1048" t="s">
        <v>2088</v>
      </c>
      <c r="B1048" t="s">
        <v>91</v>
      </c>
      <c r="C1048">
        <v>14</v>
      </c>
      <c r="D1048" s="1">
        <v>46067</v>
      </c>
    </row>
    <row r="1049" spans="1:4" x14ac:dyDescent="0.25">
      <c r="A1049" t="s">
        <v>2089</v>
      </c>
      <c r="B1049" t="s">
        <v>69</v>
      </c>
      <c r="C1049">
        <v>29</v>
      </c>
      <c r="D1049" s="1">
        <v>46039</v>
      </c>
    </row>
    <row r="1050" spans="1:4" x14ac:dyDescent="0.25">
      <c r="A1050" t="s">
        <v>2090</v>
      </c>
      <c r="B1050" t="s">
        <v>93</v>
      </c>
      <c r="C1050">
        <v>24</v>
      </c>
      <c r="D1050" s="1">
        <v>46035</v>
      </c>
    </row>
    <row r="1051" spans="1:4" x14ac:dyDescent="0.25">
      <c r="A1051" t="s">
        <v>2091</v>
      </c>
      <c r="B1051" t="s">
        <v>74</v>
      </c>
      <c r="C1051">
        <v>28</v>
      </c>
      <c r="D1051" s="1">
        <v>46100</v>
      </c>
    </row>
    <row r="1052" spans="1:4" x14ac:dyDescent="0.25">
      <c r="A1052" t="s">
        <v>2092</v>
      </c>
      <c r="B1052" t="s">
        <v>127</v>
      </c>
      <c r="C1052">
        <v>13</v>
      </c>
      <c r="D1052" s="1">
        <v>46055</v>
      </c>
    </row>
    <row r="1053" spans="1:4" x14ac:dyDescent="0.25">
      <c r="A1053" t="s">
        <v>2093</v>
      </c>
      <c r="B1053" t="s">
        <v>84</v>
      </c>
      <c r="C1053">
        <v>1</v>
      </c>
      <c r="D1053" s="1">
        <v>46062</v>
      </c>
    </row>
    <row r="1054" spans="1:4" x14ac:dyDescent="0.25">
      <c r="A1054" t="s">
        <v>2094</v>
      </c>
      <c r="B1054" t="s">
        <v>126</v>
      </c>
      <c r="C1054">
        <v>3</v>
      </c>
      <c r="D1054" s="1">
        <v>46105</v>
      </c>
    </row>
    <row r="1055" spans="1:4" x14ac:dyDescent="0.25">
      <c r="A1055" t="s">
        <v>2095</v>
      </c>
      <c r="B1055" t="s">
        <v>58</v>
      </c>
      <c r="C1055">
        <v>22</v>
      </c>
      <c r="D1055" s="1">
        <v>46099</v>
      </c>
    </row>
    <row r="1056" spans="1:4" x14ac:dyDescent="0.25">
      <c r="A1056" t="s">
        <v>2096</v>
      </c>
      <c r="B1056" t="s">
        <v>63</v>
      </c>
      <c r="C1056">
        <v>20</v>
      </c>
      <c r="D1056" s="1">
        <v>46078</v>
      </c>
    </row>
    <row r="1057" spans="1:4" x14ac:dyDescent="0.25">
      <c r="A1057" t="s">
        <v>2097</v>
      </c>
      <c r="B1057" t="s">
        <v>102</v>
      </c>
      <c r="C1057">
        <v>1</v>
      </c>
      <c r="D1057" s="1">
        <v>46043</v>
      </c>
    </row>
    <row r="1058" spans="1:4" x14ac:dyDescent="0.25">
      <c r="A1058" t="s">
        <v>2098</v>
      </c>
      <c r="B1058" t="s">
        <v>119</v>
      </c>
      <c r="C1058">
        <v>30</v>
      </c>
      <c r="D1058" s="1">
        <v>46112</v>
      </c>
    </row>
    <row r="1059" spans="1:4" x14ac:dyDescent="0.25">
      <c r="A1059" t="s">
        <v>2099</v>
      </c>
      <c r="B1059" t="s">
        <v>111</v>
      </c>
      <c r="C1059">
        <v>12</v>
      </c>
      <c r="D1059" s="1">
        <v>46049</v>
      </c>
    </row>
    <row r="1060" spans="1:4" x14ac:dyDescent="0.25">
      <c r="A1060" t="s">
        <v>2100</v>
      </c>
      <c r="B1060" t="s">
        <v>125</v>
      </c>
      <c r="C1060">
        <v>23</v>
      </c>
      <c r="D1060" s="1">
        <v>46062</v>
      </c>
    </row>
    <row r="1061" spans="1:4" x14ac:dyDescent="0.25">
      <c r="A1061" t="s">
        <v>2101</v>
      </c>
      <c r="B1061" t="s">
        <v>58</v>
      </c>
      <c r="C1061">
        <v>28</v>
      </c>
      <c r="D1061" s="1">
        <v>46064</v>
      </c>
    </row>
    <row r="1062" spans="1:4" x14ac:dyDescent="0.25">
      <c r="A1062" t="s">
        <v>2102</v>
      </c>
      <c r="B1062" t="s">
        <v>132</v>
      </c>
      <c r="C1062">
        <v>13</v>
      </c>
      <c r="D1062" s="1">
        <v>46107</v>
      </c>
    </row>
    <row r="1063" spans="1:4" x14ac:dyDescent="0.25">
      <c r="A1063" t="s">
        <v>2103</v>
      </c>
      <c r="B1063" t="s">
        <v>91</v>
      </c>
      <c r="C1063">
        <v>14</v>
      </c>
      <c r="D1063" s="1">
        <v>46111</v>
      </c>
    </row>
    <row r="1064" spans="1:4" x14ac:dyDescent="0.25">
      <c r="A1064" t="s">
        <v>2104</v>
      </c>
      <c r="B1064" t="s">
        <v>82</v>
      </c>
      <c r="C1064">
        <v>7</v>
      </c>
      <c r="D1064" s="1">
        <v>46050</v>
      </c>
    </row>
    <row r="1065" spans="1:4" x14ac:dyDescent="0.25">
      <c r="A1065" t="s">
        <v>2105</v>
      </c>
      <c r="B1065" t="s">
        <v>111</v>
      </c>
      <c r="C1065">
        <v>9</v>
      </c>
      <c r="D1065" s="1">
        <v>46050</v>
      </c>
    </row>
    <row r="1066" spans="1:4" x14ac:dyDescent="0.25">
      <c r="A1066" t="s">
        <v>2106</v>
      </c>
      <c r="B1066" t="s">
        <v>122</v>
      </c>
      <c r="C1066">
        <v>12</v>
      </c>
      <c r="D1066" s="1">
        <v>46089</v>
      </c>
    </row>
    <row r="1067" spans="1:4" x14ac:dyDescent="0.25">
      <c r="A1067" t="s">
        <v>2107</v>
      </c>
      <c r="B1067" t="s">
        <v>114</v>
      </c>
      <c r="C1067">
        <v>10</v>
      </c>
      <c r="D1067" s="1">
        <v>46083</v>
      </c>
    </row>
    <row r="1068" spans="1:4" x14ac:dyDescent="0.25">
      <c r="A1068" t="s">
        <v>2108</v>
      </c>
      <c r="B1068" t="s">
        <v>81</v>
      </c>
      <c r="C1068">
        <v>10</v>
      </c>
      <c r="D1068" s="1">
        <v>46079</v>
      </c>
    </row>
    <row r="1069" spans="1:4" x14ac:dyDescent="0.25">
      <c r="A1069" t="s">
        <v>2109</v>
      </c>
      <c r="B1069" t="s">
        <v>105</v>
      </c>
      <c r="C1069">
        <v>30</v>
      </c>
      <c r="D1069" s="1">
        <v>46086</v>
      </c>
    </row>
    <row r="1070" spans="1:4" x14ac:dyDescent="0.25">
      <c r="A1070" t="s">
        <v>2110</v>
      </c>
      <c r="B1070" t="s">
        <v>102</v>
      </c>
      <c r="C1070">
        <v>14</v>
      </c>
      <c r="D1070" s="1">
        <v>46042</v>
      </c>
    </row>
    <row r="1071" spans="1:4" x14ac:dyDescent="0.25">
      <c r="A1071" t="s">
        <v>2111</v>
      </c>
      <c r="B1071" t="s">
        <v>85</v>
      </c>
      <c r="C1071">
        <v>28</v>
      </c>
      <c r="D1071" s="1">
        <v>46102</v>
      </c>
    </row>
    <row r="1072" spans="1:4" x14ac:dyDescent="0.25">
      <c r="A1072" t="s">
        <v>2112</v>
      </c>
      <c r="B1072" t="s">
        <v>112</v>
      </c>
      <c r="C1072">
        <v>18</v>
      </c>
      <c r="D1072" s="1">
        <v>46116</v>
      </c>
    </row>
    <row r="1073" spans="1:4" x14ac:dyDescent="0.25">
      <c r="A1073" t="s">
        <v>2113</v>
      </c>
      <c r="B1073" t="s">
        <v>74</v>
      </c>
      <c r="C1073">
        <v>28</v>
      </c>
      <c r="D1073" s="1">
        <v>46039</v>
      </c>
    </row>
    <row r="1074" spans="1:4" x14ac:dyDescent="0.25">
      <c r="A1074" t="s">
        <v>2114</v>
      </c>
      <c r="B1074" t="s">
        <v>62</v>
      </c>
      <c r="C1074">
        <v>8</v>
      </c>
      <c r="D1074" s="1">
        <v>46091</v>
      </c>
    </row>
    <row r="1075" spans="1:4" x14ac:dyDescent="0.25">
      <c r="A1075" t="s">
        <v>2115</v>
      </c>
      <c r="B1075" t="s">
        <v>93</v>
      </c>
      <c r="C1075">
        <v>18</v>
      </c>
      <c r="D1075" s="1">
        <v>46061</v>
      </c>
    </row>
    <row r="1076" spans="1:4" x14ac:dyDescent="0.25">
      <c r="A1076" t="s">
        <v>2116</v>
      </c>
      <c r="B1076" t="s">
        <v>64</v>
      </c>
      <c r="C1076">
        <v>20</v>
      </c>
      <c r="D1076" s="1">
        <v>46090</v>
      </c>
    </row>
    <row r="1077" spans="1:4" x14ac:dyDescent="0.25">
      <c r="A1077" t="s">
        <v>2117</v>
      </c>
      <c r="B1077" t="s">
        <v>85</v>
      </c>
      <c r="C1077">
        <v>8</v>
      </c>
      <c r="D1077" s="1">
        <v>46032</v>
      </c>
    </row>
    <row r="1078" spans="1:4" x14ac:dyDescent="0.25">
      <c r="A1078" t="s">
        <v>2118</v>
      </c>
      <c r="B1078" t="s">
        <v>83</v>
      </c>
      <c r="C1078">
        <v>4</v>
      </c>
      <c r="D1078" s="1">
        <v>46035</v>
      </c>
    </row>
    <row r="1079" spans="1:4" x14ac:dyDescent="0.25">
      <c r="A1079" t="s">
        <v>2119</v>
      </c>
      <c r="B1079" t="s">
        <v>113</v>
      </c>
      <c r="C1079">
        <v>3</v>
      </c>
      <c r="D1079" s="1">
        <v>46108</v>
      </c>
    </row>
    <row r="1080" spans="1:4" x14ac:dyDescent="0.25">
      <c r="A1080" t="s">
        <v>2120</v>
      </c>
      <c r="B1080" t="s">
        <v>88</v>
      </c>
      <c r="C1080">
        <v>14</v>
      </c>
      <c r="D1080" s="1">
        <v>46095</v>
      </c>
    </row>
    <row r="1081" spans="1:4" x14ac:dyDescent="0.25">
      <c r="A1081" t="s">
        <v>2121</v>
      </c>
      <c r="B1081" t="s">
        <v>129</v>
      </c>
      <c r="C1081">
        <v>9</v>
      </c>
      <c r="D1081" s="1">
        <v>46116</v>
      </c>
    </row>
    <row r="1082" spans="1:4" x14ac:dyDescent="0.25">
      <c r="A1082" t="s">
        <v>2122</v>
      </c>
      <c r="B1082" t="s">
        <v>77</v>
      </c>
      <c r="C1082">
        <v>29</v>
      </c>
      <c r="D1082" s="1">
        <v>46059</v>
      </c>
    </row>
    <row r="1083" spans="1:4" x14ac:dyDescent="0.25">
      <c r="A1083" t="s">
        <v>2123</v>
      </c>
      <c r="B1083" t="s">
        <v>87</v>
      </c>
      <c r="C1083">
        <v>13</v>
      </c>
      <c r="D1083" s="1">
        <v>46104</v>
      </c>
    </row>
    <row r="1084" spans="1:4" x14ac:dyDescent="0.25">
      <c r="A1084" t="s">
        <v>2124</v>
      </c>
      <c r="B1084" t="s">
        <v>72</v>
      </c>
      <c r="C1084">
        <v>16</v>
      </c>
      <c r="D1084" s="1">
        <v>46097</v>
      </c>
    </row>
    <row r="1085" spans="1:4" x14ac:dyDescent="0.25">
      <c r="A1085" t="s">
        <v>2125</v>
      </c>
      <c r="B1085" t="s">
        <v>129</v>
      </c>
      <c r="C1085">
        <v>20</v>
      </c>
      <c r="D1085" s="1">
        <v>46036</v>
      </c>
    </row>
    <row r="1086" spans="1:4" x14ac:dyDescent="0.25">
      <c r="A1086" t="s">
        <v>2126</v>
      </c>
      <c r="B1086" t="s">
        <v>48</v>
      </c>
      <c r="C1086">
        <v>20</v>
      </c>
      <c r="D1086" s="1">
        <v>46066</v>
      </c>
    </row>
    <row r="1087" spans="1:4" x14ac:dyDescent="0.25">
      <c r="A1087" t="s">
        <v>2127</v>
      </c>
      <c r="B1087" t="s">
        <v>66</v>
      </c>
      <c r="C1087">
        <v>15</v>
      </c>
      <c r="D1087" s="1">
        <v>46101</v>
      </c>
    </row>
    <row r="1088" spans="1:4" x14ac:dyDescent="0.25">
      <c r="A1088" t="s">
        <v>2128</v>
      </c>
      <c r="B1088" t="s">
        <v>125</v>
      </c>
      <c r="C1088">
        <v>26</v>
      </c>
      <c r="D1088" s="1">
        <v>46048</v>
      </c>
    </row>
    <row r="1089" spans="1:4" x14ac:dyDescent="0.25">
      <c r="A1089" t="s">
        <v>2129</v>
      </c>
      <c r="B1089" t="s">
        <v>76</v>
      </c>
      <c r="C1089">
        <v>12</v>
      </c>
      <c r="D1089" s="1">
        <v>46031</v>
      </c>
    </row>
    <row r="1090" spans="1:4" x14ac:dyDescent="0.25">
      <c r="A1090" t="s">
        <v>2130</v>
      </c>
      <c r="B1090" t="s">
        <v>63</v>
      </c>
      <c r="C1090">
        <v>2</v>
      </c>
      <c r="D1090" s="1">
        <v>46081</v>
      </c>
    </row>
    <row r="1091" spans="1:4" x14ac:dyDescent="0.25">
      <c r="A1091" t="s">
        <v>2131</v>
      </c>
      <c r="B1091" t="s">
        <v>60</v>
      </c>
      <c r="C1091">
        <v>5</v>
      </c>
      <c r="D1091" s="1">
        <v>46061</v>
      </c>
    </row>
    <row r="1092" spans="1:4" x14ac:dyDescent="0.25">
      <c r="A1092" t="s">
        <v>2132</v>
      </c>
      <c r="B1092" t="s">
        <v>64</v>
      </c>
      <c r="C1092">
        <v>16</v>
      </c>
      <c r="D1092" s="1">
        <v>46076</v>
      </c>
    </row>
    <row r="1093" spans="1:4" x14ac:dyDescent="0.25">
      <c r="A1093" t="s">
        <v>2133</v>
      </c>
      <c r="B1093" t="s">
        <v>66</v>
      </c>
      <c r="C1093">
        <v>15</v>
      </c>
      <c r="D1093" s="1">
        <v>46114</v>
      </c>
    </row>
    <row r="1094" spans="1:4" x14ac:dyDescent="0.25">
      <c r="A1094" t="s">
        <v>2134</v>
      </c>
      <c r="B1094" t="s">
        <v>126</v>
      </c>
      <c r="C1094">
        <v>24</v>
      </c>
      <c r="D1094" s="1">
        <v>46111</v>
      </c>
    </row>
    <row r="1095" spans="1:4" x14ac:dyDescent="0.25">
      <c r="A1095" t="s">
        <v>2135</v>
      </c>
      <c r="B1095" t="s">
        <v>53</v>
      </c>
      <c r="C1095">
        <v>1</v>
      </c>
      <c r="D1095" s="1">
        <v>46047</v>
      </c>
    </row>
    <row r="1096" spans="1:4" x14ac:dyDescent="0.25">
      <c r="A1096" t="s">
        <v>2136</v>
      </c>
      <c r="B1096" t="s">
        <v>60</v>
      </c>
      <c r="C1096">
        <v>5</v>
      </c>
      <c r="D1096" s="1">
        <v>46117</v>
      </c>
    </row>
    <row r="1097" spans="1:4" x14ac:dyDescent="0.25">
      <c r="A1097" t="s">
        <v>2137</v>
      </c>
      <c r="B1097" t="s">
        <v>124</v>
      </c>
      <c r="C1097">
        <v>23</v>
      </c>
      <c r="D1097" s="1">
        <v>46042</v>
      </c>
    </row>
    <row r="1098" spans="1:4" x14ac:dyDescent="0.25">
      <c r="A1098" t="s">
        <v>2138</v>
      </c>
      <c r="B1098" t="s">
        <v>46</v>
      </c>
      <c r="C1098">
        <v>10</v>
      </c>
      <c r="D1098" s="1">
        <v>46046</v>
      </c>
    </row>
    <row r="1099" spans="1:4" x14ac:dyDescent="0.25">
      <c r="A1099" t="s">
        <v>2139</v>
      </c>
      <c r="B1099" t="s">
        <v>136</v>
      </c>
      <c r="C1099">
        <v>30</v>
      </c>
      <c r="D1099" s="1">
        <v>46085</v>
      </c>
    </row>
    <row r="1100" spans="1:4" x14ac:dyDescent="0.25">
      <c r="A1100" t="s">
        <v>2140</v>
      </c>
      <c r="B1100" t="s">
        <v>43</v>
      </c>
      <c r="C1100">
        <v>3</v>
      </c>
      <c r="D1100" s="1">
        <v>46113</v>
      </c>
    </row>
    <row r="1101" spans="1:4" x14ac:dyDescent="0.25">
      <c r="A1101" t="s">
        <v>2141</v>
      </c>
      <c r="B1101" t="s">
        <v>136</v>
      </c>
      <c r="C1101">
        <v>7</v>
      </c>
      <c r="D1101" s="1">
        <v>46054</v>
      </c>
    </row>
    <row r="1102" spans="1:4" x14ac:dyDescent="0.25">
      <c r="A1102" t="s">
        <v>2142</v>
      </c>
      <c r="B1102" t="s">
        <v>57</v>
      </c>
      <c r="C1102">
        <v>19</v>
      </c>
      <c r="D1102" s="1">
        <v>46118</v>
      </c>
    </row>
    <row r="1103" spans="1:4" x14ac:dyDescent="0.25">
      <c r="A1103" t="s">
        <v>2143</v>
      </c>
      <c r="B1103" t="s">
        <v>69</v>
      </c>
      <c r="C1103">
        <v>8</v>
      </c>
      <c r="D1103" s="1">
        <v>46065</v>
      </c>
    </row>
    <row r="1104" spans="1:4" x14ac:dyDescent="0.25">
      <c r="A1104" t="s">
        <v>2144</v>
      </c>
      <c r="B1104" t="s">
        <v>60</v>
      </c>
      <c r="C1104">
        <v>18</v>
      </c>
      <c r="D1104" s="1">
        <v>46093</v>
      </c>
    </row>
    <row r="1105" spans="1:4" x14ac:dyDescent="0.25">
      <c r="A1105" t="s">
        <v>2145</v>
      </c>
      <c r="B1105" t="s">
        <v>135</v>
      </c>
      <c r="C1105">
        <v>13</v>
      </c>
      <c r="D1105" s="1">
        <v>46064</v>
      </c>
    </row>
    <row r="1106" spans="1:4" x14ac:dyDescent="0.25">
      <c r="A1106" t="s">
        <v>2146</v>
      </c>
      <c r="B1106" t="s">
        <v>87</v>
      </c>
      <c r="C1106">
        <v>19</v>
      </c>
      <c r="D1106" s="1">
        <v>46039</v>
      </c>
    </row>
    <row r="1107" spans="1:4" x14ac:dyDescent="0.25">
      <c r="A1107" t="s">
        <v>2147</v>
      </c>
      <c r="B1107" t="s">
        <v>86</v>
      </c>
      <c r="C1107">
        <v>21</v>
      </c>
      <c r="D1107" s="1">
        <v>46036</v>
      </c>
    </row>
    <row r="1108" spans="1:4" x14ac:dyDescent="0.25">
      <c r="A1108" t="s">
        <v>2148</v>
      </c>
      <c r="B1108" t="s">
        <v>77</v>
      </c>
      <c r="C1108">
        <v>5</v>
      </c>
      <c r="D1108" s="1">
        <v>46074</v>
      </c>
    </row>
    <row r="1109" spans="1:4" x14ac:dyDescent="0.25">
      <c r="A1109" t="s">
        <v>2149</v>
      </c>
      <c r="B1109" t="s">
        <v>132</v>
      </c>
      <c r="C1109">
        <v>21</v>
      </c>
      <c r="D1109" s="1">
        <v>46062</v>
      </c>
    </row>
    <row r="1110" spans="1:4" x14ac:dyDescent="0.25">
      <c r="A1110" t="s">
        <v>2150</v>
      </c>
      <c r="B1110" t="s">
        <v>51</v>
      </c>
      <c r="C1110">
        <v>29</v>
      </c>
      <c r="D1110" s="1">
        <v>46071</v>
      </c>
    </row>
    <row r="1111" spans="1:4" x14ac:dyDescent="0.25">
      <c r="A1111" t="s">
        <v>2151</v>
      </c>
      <c r="B1111" t="s">
        <v>133</v>
      </c>
      <c r="C1111">
        <v>19</v>
      </c>
      <c r="D1111" s="1">
        <v>46073</v>
      </c>
    </row>
    <row r="1112" spans="1:4" x14ac:dyDescent="0.25">
      <c r="A1112" t="s">
        <v>2152</v>
      </c>
      <c r="B1112" t="s">
        <v>33</v>
      </c>
      <c r="C1112">
        <v>6</v>
      </c>
      <c r="D1112" s="1">
        <v>46045</v>
      </c>
    </row>
    <row r="1113" spans="1:4" x14ac:dyDescent="0.25">
      <c r="A1113" t="s">
        <v>2153</v>
      </c>
      <c r="B1113" t="s">
        <v>127</v>
      </c>
      <c r="C1113">
        <v>4</v>
      </c>
      <c r="D1113" s="1">
        <v>46034</v>
      </c>
    </row>
    <row r="1114" spans="1:4" x14ac:dyDescent="0.25">
      <c r="A1114" t="s">
        <v>2154</v>
      </c>
      <c r="B1114" t="s">
        <v>128</v>
      </c>
      <c r="C1114">
        <v>12</v>
      </c>
      <c r="D1114" s="1">
        <v>46115</v>
      </c>
    </row>
    <row r="1115" spans="1:4" x14ac:dyDescent="0.25">
      <c r="A1115" t="s">
        <v>2155</v>
      </c>
      <c r="B1115" t="s">
        <v>77</v>
      </c>
      <c r="C1115">
        <v>29</v>
      </c>
      <c r="D1115" s="1">
        <v>46094</v>
      </c>
    </row>
    <row r="1116" spans="1:4" x14ac:dyDescent="0.25">
      <c r="A1116" t="s">
        <v>2156</v>
      </c>
      <c r="B1116" t="s">
        <v>121</v>
      </c>
      <c r="C1116">
        <v>26</v>
      </c>
      <c r="D1116" s="1">
        <v>46061</v>
      </c>
    </row>
    <row r="1117" spans="1:4" x14ac:dyDescent="0.25">
      <c r="A1117" t="s">
        <v>2157</v>
      </c>
      <c r="B1117" t="s">
        <v>95</v>
      </c>
      <c r="C1117">
        <v>9</v>
      </c>
      <c r="D1117" s="1">
        <v>46062</v>
      </c>
    </row>
    <row r="1118" spans="1:4" x14ac:dyDescent="0.25">
      <c r="A1118" t="s">
        <v>2158</v>
      </c>
      <c r="B1118" t="s">
        <v>90</v>
      </c>
      <c r="C1118">
        <v>27</v>
      </c>
      <c r="D1118" s="1">
        <v>46063</v>
      </c>
    </row>
    <row r="1119" spans="1:4" x14ac:dyDescent="0.25">
      <c r="A1119" t="s">
        <v>2159</v>
      </c>
      <c r="B1119" t="s">
        <v>88</v>
      </c>
      <c r="C1119">
        <v>14</v>
      </c>
      <c r="D1119" s="1">
        <v>46109</v>
      </c>
    </row>
    <row r="1120" spans="1:4" x14ac:dyDescent="0.25">
      <c r="A1120" t="s">
        <v>2160</v>
      </c>
      <c r="B1120" t="s">
        <v>62</v>
      </c>
      <c r="C1120">
        <v>8</v>
      </c>
      <c r="D1120" s="1">
        <v>46096</v>
      </c>
    </row>
    <row r="1121" spans="1:4" x14ac:dyDescent="0.25">
      <c r="A1121" t="s">
        <v>2161</v>
      </c>
      <c r="B1121" t="s">
        <v>57</v>
      </c>
      <c r="C1121">
        <v>9</v>
      </c>
      <c r="D1121" s="1">
        <v>46046</v>
      </c>
    </row>
    <row r="1122" spans="1:4" x14ac:dyDescent="0.25">
      <c r="A1122" t="s">
        <v>2162</v>
      </c>
      <c r="B1122" t="s">
        <v>72</v>
      </c>
      <c r="C1122">
        <v>20</v>
      </c>
      <c r="D1122" s="1">
        <v>46038</v>
      </c>
    </row>
    <row r="1123" spans="1:4" x14ac:dyDescent="0.25">
      <c r="A1123" t="s">
        <v>2163</v>
      </c>
      <c r="B1123" t="s">
        <v>66</v>
      </c>
      <c r="C1123">
        <v>3</v>
      </c>
      <c r="D1123" s="1">
        <v>46106</v>
      </c>
    </row>
    <row r="1124" spans="1:4" x14ac:dyDescent="0.25">
      <c r="A1124" t="s">
        <v>2164</v>
      </c>
      <c r="B1124" t="s">
        <v>132</v>
      </c>
      <c r="C1124">
        <v>17</v>
      </c>
      <c r="D1124" s="1">
        <v>46088</v>
      </c>
    </row>
    <row r="1125" spans="1:4" x14ac:dyDescent="0.25">
      <c r="A1125" t="s">
        <v>2165</v>
      </c>
      <c r="B1125" t="s">
        <v>123</v>
      </c>
      <c r="C1125">
        <v>29</v>
      </c>
      <c r="D1125" s="1">
        <v>46079</v>
      </c>
    </row>
    <row r="1126" spans="1:4" x14ac:dyDescent="0.25">
      <c r="A1126" t="s">
        <v>2166</v>
      </c>
      <c r="B1126" t="s">
        <v>106</v>
      </c>
      <c r="C1126">
        <v>15</v>
      </c>
      <c r="D1126" s="1">
        <v>46095</v>
      </c>
    </row>
    <row r="1127" spans="1:4" x14ac:dyDescent="0.25">
      <c r="A1127" t="s">
        <v>2167</v>
      </c>
      <c r="B1127" t="s">
        <v>108</v>
      </c>
      <c r="C1127">
        <v>13</v>
      </c>
      <c r="D1127" s="1">
        <v>46077</v>
      </c>
    </row>
    <row r="1128" spans="1:4" x14ac:dyDescent="0.25">
      <c r="A1128" t="s">
        <v>2168</v>
      </c>
      <c r="B1128" t="s">
        <v>124</v>
      </c>
      <c r="C1128">
        <v>22</v>
      </c>
      <c r="D1128" s="1">
        <v>46087</v>
      </c>
    </row>
    <row r="1129" spans="1:4" x14ac:dyDescent="0.25">
      <c r="A1129" t="s">
        <v>2169</v>
      </c>
      <c r="B1129" t="s">
        <v>86</v>
      </c>
      <c r="C1129">
        <v>21</v>
      </c>
      <c r="D1129" s="1">
        <v>46113</v>
      </c>
    </row>
    <row r="1130" spans="1:4" x14ac:dyDescent="0.25">
      <c r="A1130" t="s">
        <v>2170</v>
      </c>
      <c r="B1130" t="s">
        <v>105</v>
      </c>
      <c r="C1130">
        <v>5</v>
      </c>
      <c r="D1130" s="1">
        <v>46115</v>
      </c>
    </row>
    <row r="1131" spans="1:4" x14ac:dyDescent="0.25">
      <c r="A1131" t="s">
        <v>2171</v>
      </c>
      <c r="B1131" t="s">
        <v>129</v>
      </c>
      <c r="C1131">
        <v>21</v>
      </c>
      <c r="D1131" s="1">
        <v>46047</v>
      </c>
    </row>
    <row r="1132" spans="1:4" x14ac:dyDescent="0.25">
      <c r="A1132" t="s">
        <v>2172</v>
      </c>
      <c r="B1132" t="s">
        <v>61</v>
      </c>
      <c r="C1132">
        <v>27</v>
      </c>
      <c r="D1132" s="1">
        <v>46098</v>
      </c>
    </row>
    <row r="1133" spans="1:4" x14ac:dyDescent="0.25">
      <c r="A1133" t="s">
        <v>2173</v>
      </c>
      <c r="B1133" t="s">
        <v>70</v>
      </c>
      <c r="C1133">
        <v>18</v>
      </c>
      <c r="D1133" s="1">
        <v>46066</v>
      </c>
    </row>
    <row r="1134" spans="1:4" x14ac:dyDescent="0.25">
      <c r="A1134" t="s">
        <v>2174</v>
      </c>
      <c r="B1134" t="s">
        <v>47</v>
      </c>
      <c r="C1134">
        <v>25</v>
      </c>
      <c r="D1134" s="1">
        <v>46039</v>
      </c>
    </row>
    <row r="1135" spans="1:4" x14ac:dyDescent="0.25">
      <c r="A1135" t="s">
        <v>2175</v>
      </c>
      <c r="B1135" t="s">
        <v>86</v>
      </c>
      <c r="C1135">
        <v>25</v>
      </c>
      <c r="D1135" s="1">
        <v>46063</v>
      </c>
    </row>
    <row r="1136" spans="1:4" x14ac:dyDescent="0.25">
      <c r="A1136" t="s">
        <v>2176</v>
      </c>
      <c r="B1136" t="s">
        <v>91</v>
      </c>
      <c r="C1136">
        <v>13</v>
      </c>
      <c r="D1136" s="1">
        <v>46071</v>
      </c>
    </row>
    <row r="1137" spans="1:4" x14ac:dyDescent="0.25">
      <c r="A1137" t="s">
        <v>2177</v>
      </c>
      <c r="B1137" t="s">
        <v>118</v>
      </c>
      <c r="C1137">
        <v>2</v>
      </c>
      <c r="D1137" s="1">
        <v>46061</v>
      </c>
    </row>
    <row r="1138" spans="1:4" x14ac:dyDescent="0.25">
      <c r="A1138" t="s">
        <v>2178</v>
      </c>
      <c r="B1138" t="s">
        <v>72</v>
      </c>
      <c r="C1138">
        <v>12</v>
      </c>
      <c r="D1138" s="1">
        <v>46091</v>
      </c>
    </row>
    <row r="1139" spans="1:4" x14ac:dyDescent="0.25">
      <c r="A1139" t="s">
        <v>2179</v>
      </c>
      <c r="B1139" t="s">
        <v>50</v>
      </c>
      <c r="C1139">
        <v>10</v>
      </c>
      <c r="D1139" s="1">
        <v>46094</v>
      </c>
    </row>
    <row r="1140" spans="1:4" x14ac:dyDescent="0.25">
      <c r="A1140" t="s">
        <v>2180</v>
      </c>
      <c r="B1140" t="s">
        <v>120</v>
      </c>
      <c r="C1140">
        <v>24</v>
      </c>
      <c r="D1140" s="1">
        <v>46109</v>
      </c>
    </row>
    <row r="1141" spans="1:4" x14ac:dyDescent="0.25">
      <c r="A1141" t="s">
        <v>2181</v>
      </c>
      <c r="B1141" t="s">
        <v>92</v>
      </c>
      <c r="C1141">
        <v>27</v>
      </c>
      <c r="D1141" s="1">
        <v>46046</v>
      </c>
    </row>
    <row r="1142" spans="1:4" x14ac:dyDescent="0.25">
      <c r="A1142" t="s">
        <v>2182</v>
      </c>
      <c r="B1142" t="s">
        <v>37</v>
      </c>
      <c r="C1142">
        <v>6</v>
      </c>
      <c r="D1142" s="1">
        <v>46107</v>
      </c>
    </row>
    <row r="1143" spans="1:4" x14ac:dyDescent="0.25">
      <c r="A1143" t="s">
        <v>2183</v>
      </c>
      <c r="B1143" t="s">
        <v>100</v>
      </c>
      <c r="C1143">
        <v>16</v>
      </c>
      <c r="D1143" s="1">
        <v>46090</v>
      </c>
    </row>
    <row r="1144" spans="1:4" x14ac:dyDescent="0.25">
      <c r="A1144" t="s">
        <v>2184</v>
      </c>
      <c r="B1144" t="s">
        <v>135</v>
      </c>
      <c r="C1144">
        <v>6</v>
      </c>
      <c r="D1144" s="1">
        <v>46063</v>
      </c>
    </row>
    <row r="1145" spans="1:4" x14ac:dyDescent="0.25">
      <c r="A1145" t="s">
        <v>2185</v>
      </c>
      <c r="B1145" t="s">
        <v>131</v>
      </c>
      <c r="C1145">
        <v>30</v>
      </c>
      <c r="D1145" s="1">
        <v>46069</v>
      </c>
    </row>
    <row r="1146" spans="1:4" x14ac:dyDescent="0.25">
      <c r="A1146" t="s">
        <v>2186</v>
      </c>
      <c r="B1146" t="s">
        <v>70</v>
      </c>
      <c r="C1146">
        <v>8</v>
      </c>
      <c r="D1146" s="1">
        <v>46054</v>
      </c>
    </row>
    <row r="1147" spans="1:4" x14ac:dyDescent="0.25">
      <c r="A1147" t="s">
        <v>2187</v>
      </c>
      <c r="B1147" t="s">
        <v>115</v>
      </c>
      <c r="C1147">
        <v>29</v>
      </c>
      <c r="D1147" s="1">
        <v>46046</v>
      </c>
    </row>
    <row r="1148" spans="1:4" x14ac:dyDescent="0.25">
      <c r="A1148" t="s">
        <v>2188</v>
      </c>
      <c r="B1148" t="s">
        <v>133</v>
      </c>
      <c r="C1148">
        <v>13</v>
      </c>
      <c r="D1148" s="1">
        <v>46055</v>
      </c>
    </row>
    <row r="1149" spans="1:4" x14ac:dyDescent="0.25">
      <c r="A1149" t="s">
        <v>2189</v>
      </c>
      <c r="B1149" t="s">
        <v>107</v>
      </c>
      <c r="C1149">
        <v>22</v>
      </c>
      <c r="D1149" s="1">
        <v>46100</v>
      </c>
    </row>
    <row r="1150" spans="1:4" x14ac:dyDescent="0.25">
      <c r="A1150" t="s">
        <v>2190</v>
      </c>
      <c r="B1150" t="s">
        <v>41</v>
      </c>
      <c r="C1150">
        <v>16</v>
      </c>
      <c r="D1150" s="1">
        <v>46037</v>
      </c>
    </row>
    <row r="1151" spans="1:4" x14ac:dyDescent="0.25">
      <c r="A1151" t="s">
        <v>2191</v>
      </c>
      <c r="B1151" t="s">
        <v>89</v>
      </c>
      <c r="C1151">
        <v>9</v>
      </c>
      <c r="D1151" s="1">
        <v>46071</v>
      </c>
    </row>
    <row r="1152" spans="1:4" x14ac:dyDescent="0.25">
      <c r="A1152" t="s">
        <v>2192</v>
      </c>
      <c r="B1152" t="s">
        <v>110</v>
      </c>
      <c r="C1152">
        <v>8</v>
      </c>
      <c r="D1152" s="1">
        <v>46037</v>
      </c>
    </row>
    <row r="1153" spans="1:4" x14ac:dyDescent="0.25">
      <c r="A1153" t="s">
        <v>2193</v>
      </c>
      <c r="B1153" t="s">
        <v>106</v>
      </c>
      <c r="C1153">
        <v>14</v>
      </c>
      <c r="D1153" s="1">
        <v>46115</v>
      </c>
    </row>
    <row r="1154" spans="1:4" x14ac:dyDescent="0.25">
      <c r="A1154" t="s">
        <v>2194</v>
      </c>
      <c r="B1154" t="s">
        <v>57</v>
      </c>
      <c r="C1154">
        <v>14</v>
      </c>
      <c r="D1154" s="1">
        <v>46109</v>
      </c>
    </row>
    <row r="1155" spans="1:4" x14ac:dyDescent="0.25">
      <c r="A1155" t="s">
        <v>2195</v>
      </c>
      <c r="B1155" t="s">
        <v>39</v>
      </c>
      <c r="C1155">
        <v>10</v>
      </c>
      <c r="D1155" s="1">
        <v>46103</v>
      </c>
    </row>
    <row r="1156" spans="1:4" x14ac:dyDescent="0.25">
      <c r="A1156" t="s">
        <v>2196</v>
      </c>
      <c r="B1156" t="s">
        <v>94</v>
      </c>
      <c r="C1156">
        <v>13</v>
      </c>
      <c r="D1156" s="1">
        <v>46063</v>
      </c>
    </row>
    <row r="1157" spans="1:4" x14ac:dyDescent="0.25">
      <c r="A1157" t="s">
        <v>2197</v>
      </c>
      <c r="B1157" t="s">
        <v>84</v>
      </c>
      <c r="C1157">
        <v>12</v>
      </c>
      <c r="D1157" s="1">
        <v>46104</v>
      </c>
    </row>
    <row r="1158" spans="1:4" x14ac:dyDescent="0.25">
      <c r="A1158" t="s">
        <v>2198</v>
      </c>
      <c r="B1158" t="s">
        <v>122</v>
      </c>
      <c r="C1158">
        <v>21</v>
      </c>
      <c r="D1158" s="1">
        <v>46057</v>
      </c>
    </row>
    <row r="1159" spans="1:4" x14ac:dyDescent="0.25">
      <c r="A1159" t="s">
        <v>2199</v>
      </c>
      <c r="B1159" t="s">
        <v>123</v>
      </c>
      <c r="C1159">
        <v>12</v>
      </c>
      <c r="D1159" s="1">
        <v>46112</v>
      </c>
    </row>
    <row r="1160" spans="1:4" x14ac:dyDescent="0.25">
      <c r="A1160" t="s">
        <v>2200</v>
      </c>
      <c r="B1160" t="s">
        <v>102</v>
      </c>
      <c r="C1160">
        <v>21</v>
      </c>
      <c r="D1160" s="1">
        <v>46032</v>
      </c>
    </row>
    <row r="1161" spans="1:4" x14ac:dyDescent="0.25">
      <c r="A1161" t="s">
        <v>2201</v>
      </c>
      <c r="B1161" t="s">
        <v>116</v>
      </c>
      <c r="C1161">
        <v>23</v>
      </c>
      <c r="D1161" s="1">
        <v>46091</v>
      </c>
    </row>
    <row r="1162" spans="1:4" x14ac:dyDescent="0.25">
      <c r="A1162" t="s">
        <v>2202</v>
      </c>
      <c r="B1162" t="s">
        <v>98</v>
      </c>
      <c r="C1162">
        <v>19</v>
      </c>
      <c r="D1162" s="1">
        <v>46074</v>
      </c>
    </row>
    <row r="1163" spans="1:4" x14ac:dyDescent="0.25">
      <c r="A1163" t="s">
        <v>2203</v>
      </c>
      <c r="B1163" t="s">
        <v>88</v>
      </c>
      <c r="C1163">
        <v>22</v>
      </c>
      <c r="D1163" s="1">
        <v>46033</v>
      </c>
    </row>
    <row r="1164" spans="1:4" x14ac:dyDescent="0.25">
      <c r="A1164" t="s">
        <v>2204</v>
      </c>
      <c r="B1164" t="s">
        <v>90</v>
      </c>
      <c r="C1164">
        <v>27</v>
      </c>
      <c r="D1164" s="1">
        <v>46040</v>
      </c>
    </row>
    <row r="1165" spans="1:4" x14ac:dyDescent="0.25">
      <c r="A1165" t="s">
        <v>2205</v>
      </c>
      <c r="B1165" t="s">
        <v>127</v>
      </c>
      <c r="C1165">
        <v>25</v>
      </c>
      <c r="D1165" s="1">
        <v>46040</v>
      </c>
    </row>
    <row r="1166" spans="1:4" x14ac:dyDescent="0.25">
      <c r="A1166" t="s">
        <v>2206</v>
      </c>
      <c r="B1166" t="s">
        <v>134</v>
      </c>
      <c r="C1166">
        <v>12</v>
      </c>
      <c r="D1166" s="1">
        <v>46091</v>
      </c>
    </row>
    <row r="1167" spans="1:4" x14ac:dyDescent="0.25">
      <c r="A1167" t="s">
        <v>2207</v>
      </c>
      <c r="B1167" t="s">
        <v>75</v>
      </c>
      <c r="C1167">
        <v>7</v>
      </c>
      <c r="D1167" s="1">
        <v>46029</v>
      </c>
    </row>
    <row r="1168" spans="1:4" x14ac:dyDescent="0.25">
      <c r="A1168" t="s">
        <v>2208</v>
      </c>
      <c r="B1168" t="s">
        <v>106</v>
      </c>
      <c r="C1168">
        <v>11</v>
      </c>
      <c r="D1168" s="1">
        <v>46062</v>
      </c>
    </row>
    <row r="1169" spans="1:4" x14ac:dyDescent="0.25">
      <c r="A1169" t="s">
        <v>2209</v>
      </c>
      <c r="B1169" t="s">
        <v>124</v>
      </c>
      <c r="C1169">
        <v>18</v>
      </c>
      <c r="D1169" s="1">
        <v>46073</v>
      </c>
    </row>
    <row r="1170" spans="1:4" x14ac:dyDescent="0.25">
      <c r="A1170" t="s">
        <v>2210</v>
      </c>
      <c r="B1170" t="s">
        <v>46</v>
      </c>
      <c r="C1170">
        <v>23</v>
      </c>
      <c r="D1170" s="1">
        <v>46058</v>
      </c>
    </row>
    <row r="1171" spans="1:4" x14ac:dyDescent="0.25">
      <c r="A1171" t="s">
        <v>2211</v>
      </c>
      <c r="B1171" t="s">
        <v>42</v>
      </c>
      <c r="C1171">
        <v>1</v>
      </c>
      <c r="D1171" s="1">
        <v>46033</v>
      </c>
    </row>
    <row r="1172" spans="1:4" x14ac:dyDescent="0.25">
      <c r="A1172" t="s">
        <v>2212</v>
      </c>
      <c r="B1172" t="s">
        <v>74</v>
      </c>
      <c r="C1172">
        <v>8</v>
      </c>
      <c r="D1172" s="1">
        <v>46054</v>
      </c>
    </row>
    <row r="1173" spans="1:4" x14ac:dyDescent="0.25">
      <c r="A1173" t="s">
        <v>2213</v>
      </c>
      <c r="B1173" t="s">
        <v>78</v>
      </c>
      <c r="C1173">
        <v>7</v>
      </c>
      <c r="D1173" s="1">
        <v>46069</v>
      </c>
    </row>
    <row r="1174" spans="1:4" x14ac:dyDescent="0.25">
      <c r="A1174" t="s">
        <v>2214</v>
      </c>
      <c r="B1174" t="s">
        <v>81</v>
      </c>
      <c r="C1174">
        <v>10</v>
      </c>
      <c r="D1174" s="1">
        <v>46060</v>
      </c>
    </row>
    <row r="1175" spans="1:4" x14ac:dyDescent="0.25">
      <c r="A1175" t="s">
        <v>2215</v>
      </c>
      <c r="B1175" t="s">
        <v>39</v>
      </c>
      <c r="C1175">
        <v>27</v>
      </c>
      <c r="D1175" s="1">
        <v>46044</v>
      </c>
    </row>
    <row r="1176" spans="1:4" x14ac:dyDescent="0.25">
      <c r="A1176" t="s">
        <v>2216</v>
      </c>
      <c r="B1176" t="s">
        <v>59</v>
      </c>
      <c r="C1176">
        <v>29</v>
      </c>
      <c r="D1176" s="1">
        <v>46061</v>
      </c>
    </row>
    <row r="1177" spans="1:4" x14ac:dyDescent="0.25">
      <c r="A1177" t="s">
        <v>2217</v>
      </c>
      <c r="B1177" t="s">
        <v>53</v>
      </c>
      <c r="C1177">
        <v>22</v>
      </c>
      <c r="D1177" s="1">
        <v>46084</v>
      </c>
    </row>
    <row r="1178" spans="1:4" x14ac:dyDescent="0.25">
      <c r="A1178" t="s">
        <v>2218</v>
      </c>
      <c r="B1178" t="s">
        <v>112</v>
      </c>
      <c r="C1178">
        <v>6</v>
      </c>
      <c r="D1178" s="1">
        <v>46070</v>
      </c>
    </row>
    <row r="1179" spans="1:4" x14ac:dyDescent="0.25">
      <c r="A1179" t="s">
        <v>2219</v>
      </c>
      <c r="B1179" t="s">
        <v>72</v>
      </c>
      <c r="C1179">
        <v>12</v>
      </c>
      <c r="D1179" s="1">
        <v>46043</v>
      </c>
    </row>
    <row r="1180" spans="1:4" x14ac:dyDescent="0.25">
      <c r="A1180" t="s">
        <v>2220</v>
      </c>
      <c r="B1180" t="s">
        <v>81</v>
      </c>
      <c r="C1180">
        <v>24</v>
      </c>
      <c r="D1180" s="1">
        <v>46047</v>
      </c>
    </row>
    <row r="1181" spans="1:4" x14ac:dyDescent="0.25">
      <c r="A1181" t="s">
        <v>2221</v>
      </c>
      <c r="B1181" t="s">
        <v>82</v>
      </c>
      <c r="C1181">
        <v>13</v>
      </c>
      <c r="D1181" s="1">
        <v>46032</v>
      </c>
    </row>
    <row r="1182" spans="1:4" x14ac:dyDescent="0.25">
      <c r="A1182" t="s">
        <v>2222</v>
      </c>
      <c r="B1182" t="s">
        <v>77</v>
      </c>
      <c r="C1182">
        <v>7</v>
      </c>
      <c r="D1182" s="1">
        <v>46111</v>
      </c>
    </row>
    <row r="1183" spans="1:4" x14ac:dyDescent="0.25">
      <c r="A1183" t="s">
        <v>2223</v>
      </c>
      <c r="B1183" t="s">
        <v>130</v>
      </c>
      <c r="C1183">
        <v>27</v>
      </c>
      <c r="D1183" s="1">
        <v>46074</v>
      </c>
    </row>
    <row r="1184" spans="1:4" x14ac:dyDescent="0.25">
      <c r="A1184" t="s">
        <v>2224</v>
      </c>
      <c r="B1184" t="s">
        <v>95</v>
      </c>
      <c r="C1184">
        <v>17</v>
      </c>
      <c r="D1184" s="1">
        <v>46042</v>
      </c>
    </row>
    <row r="1185" spans="1:4" x14ac:dyDescent="0.25">
      <c r="A1185" t="s">
        <v>2225</v>
      </c>
      <c r="B1185" t="s">
        <v>66</v>
      </c>
      <c r="C1185">
        <v>12</v>
      </c>
      <c r="D1185" s="1">
        <v>46055</v>
      </c>
    </row>
    <row r="1186" spans="1:4" x14ac:dyDescent="0.25">
      <c r="A1186" t="s">
        <v>2226</v>
      </c>
      <c r="B1186" t="s">
        <v>98</v>
      </c>
      <c r="C1186">
        <v>6</v>
      </c>
      <c r="D1186" s="1">
        <v>46108</v>
      </c>
    </row>
    <row r="1187" spans="1:4" x14ac:dyDescent="0.25">
      <c r="A1187" t="s">
        <v>2227</v>
      </c>
      <c r="B1187" t="s">
        <v>70</v>
      </c>
      <c r="C1187">
        <v>30</v>
      </c>
      <c r="D1187" s="1">
        <v>46048</v>
      </c>
    </row>
    <row r="1188" spans="1:4" x14ac:dyDescent="0.25">
      <c r="A1188" t="s">
        <v>2228</v>
      </c>
      <c r="B1188" t="s">
        <v>85</v>
      </c>
      <c r="C1188">
        <v>20</v>
      </c>
      <c r="D1188" s="1">
        <v>46059</v>
      </c>
    </row>
    <row r="1189" spans="1:4" x14ac:dyDescent="0.25">
      <c r="A1189" t="s">
        <v>2229</v>
      </c>
      <c r="B1189" t="s">
        <v>96</v>
      </c>
      <c r="C1189">
        <v>22</v>
      </c>
      <c r="D1189" s="1">
        <v>46046</v>
      </c>
    </row>
    <row r="1190" spans="1:4" x14ac:dyDescent="0.25">
      <c r="A1190" t="s">
        <v>2230</v>
      </c>
      <c r="B1190" t="s">
        <v>102</v>
      </c>
      <c r="C1190">
        <v>12</v>
      </c>
      <c r="D1190" s="1">
        <v>46100</v>
      </c>
    </row>
    <row r="1191" spans="1:4" x14ac:dyDescent="0.25">
      <c r="A1191" t="s">
        <v>2231</v>
      </c>
      <c r="B1191" t="s">
        <v>66</v>
      </c>
      <c r="C1191">
        <v>9</v>
      </c>
      <c r="D1191" s="1">
        <v>46118</v>
      </c>
    </row>
    <row r="1192" spans="1:4" x14ac:dyDescent="0.25">
      <c r="A1192" t="s">
        <v>2232</v>
      </c>
      <c r="B1192" t="s">
        <v>101</v>
      </c>
      <c r="C1192">
        <v>21</v>
      </c>
      <c r="D1192" s="1">
        <v>46117</v>
      </c>
    </row>
    <row r="1193" spans="1:4" x14ac:dyDescent="0.25">
      <c r="A1193" t="s">
        <v>2233</v>
      </c>
      <c r="B1193" t="s">
        <v>63</v>
      </c>
      <c r="C1193">
        <v>15</v>
      </c>
      <c r="D1193" s="1">
        <v>46103</v>
      </c>
    </row>
    <row r="1194" spans="1:4" x14ac:dyDescent="0.25">
      <c r="A1194" t="s">
        <v>2234</v>
      </c>
      <c r="B1194" t="s">
        <v>116</v>
      </c>
      <c r="C1194">
        <v>12</v>
      </c>
      <c r="D1194" s="1">
        <v>46037</v>
      </c>
    </row>
    <row r="1195" spans="1:4" x14ac:dyDescent="0.25">
      <c r="A1195" t="s">
        <v>2235</v>
      </c>
      <c r="B1195" t="s">
        <v>72</v>
      </c>
      <c r="C1195">
        <v>9</v>
      </c>
      <c r="D1195" s="1">
        <v>46057</v>
      </c>
    </row>
    <row r="1196" spans="1:4" x14ac:dyDescent="0.25">
      <c r="A1196" t="s">
        <v>2236</v>
      </c>
      <c r="B1196" t="s">
        <v>76</v>
      </c>
      <c r="C1196">
        <v>1</v>
      </c>
      <c r="D1196" s="1">
        <v>46072</v>
      </c>
    </row>
    <row r="1197" spans="1:4" x14ac:dyDescent="0.25">
      <c r="A1197" t="s">
        <v>2237</v>
      </c>
      <c r="B1197" t="s">
        <v>66</v>
      </c>
      <c r="C1197">
        <v>19</v>
      </c>
      <c r="D1197" s="1">
        <v>46037</v>
      </c>
    </row>
    <row r="1198" spans="1:4" x14ac:dyDescent="0.25">
      <c r="A1198" t="s">
        <v>2238</v>
      </c>
      <c r="B1198" t="s">
        <v>122</v>
      </c>
      <c r="C1198">
        <v>15</v>
      </c>
      <c r="D1198" s="1">
        <v>46069</v>
      </c>
    </row>
    <row r="1199" spans="1:4" x14ac:dyDescent="0.25">
      <c r="A1199" t="s">
        <v>2239</v>
      </c>
      <c r="B1199" t="s">
        <v>74</v>
      </c>
      <c r="C1199">
        <v>27</v>
      </c>
      <c r="D1199" s="1">
        <v>46079</v>
      </c>
    </row>
    <row r="1200" spans="1:4" x14ac:dyDescent="0.25">
      <c r="A1200" t="s">
        <v>2240</v>
      </c>
      <c r="B1200" t="s">
        <v>111</v>
      </c>
      <c r="C1200">
        <v>27</v>
      </c>
      <c r="D1200" s="1">
        <v>46110</v>
      </c>
    </row>
    <row r="1201" spans="1:4" x14ac:dyDescent="0.25">
      <c r="A1201" t="s">
        <v>2241</v>
      </c>
      <c r="B1201" t="s">
        <v>50</v>
      </c>
      <c r="C1201">
        <v>6</v>
      </c>
      <c r="D1201" s="1">
        <v>46073</v>
      </c>
    </row>
    <row r="1202" spans="1:4" x14ac:dyDescent="0.25">
      <c r="A1202" t="s">
        <v>2242</v>
      </c>
      <c r="B1202" t="s">
        <v>137</v>
      </c>
      <c r="C1202">
        <v>11</v>
      </c>
      <c r="D1202" s="1">
        <v>46056</v>
      </c>
    </row>
    <row r="1203" spans="1:4" x14ac:dyDescent="0.25">
      <c r="A1203" t="s">
        <v>2243</v>
      </c>
      <c r="B1203" t="s">
        <v>81</v>
      </c>
      <c r="C1203">
        <v>11</v>
      </c>
      <c r="D1203" s="1">
        <v>46070</v>
      </c>
    </row>
    <row r="1204" spans="1:4" x14ac:dyDescent="0.25">
      <c r="A1204" t="s">
        <v>2244</v>
      </c>
      <c r="B1204" t="s">
        <v>59</v>
      </c>
      <c r="C1204">
        <v>9</v>
      </c>
      <c r="D1204" s="1">
        <v>46056</v>
      </c>
    </row>
    <row r="1205" spans="1:4" x14ac:dyDescent="0.25">
      <c r="A1205" t="s">
        <v>2245</v>
      </c>
      <c r="B1205" t="s">
        <v>124</v>
      </c>
      <c r="C1205">
        <v>25</v>
      </c>
      <c r="D1205" s="1">
        <v>46055</v>
      </c>
    </row>
    <row r="1206" spans="1:4" x14ac:dyDescent="0.25">
      <c r="A1206" t="s">
        <v>2246</v>
      </c>
      <c r="B1206" t="s">
        <v>52</v>
      </c>
      <c r="C1206">
        <v>20</v>
      </c>
      <c r="D1206" s="1">
        <v>46117</v>
      </c>
    </row>
    <row r="1207" spans="1:4" x14ac:dyDescent="0.25">
      <c r="A1207" t="s">
        <v>2247</v>
      </c>
      <c r="B1207" t="s">
        <v>88</v>
      </c>
      <c r="C1207">
        <v>3</v>
      </c>
      <c r="D1207" s="1">
        <v>46098</v>
      </c>
    </row>
    <row r="1208" spans="1:4" x14ac:dyDescent="0.25">
      <c r="A1208" t="s">
        <v>2248</v>
      </c>
      <c r="B1208" t="s">
        <v>80</v>
      </c>
      <c r="C1208">
        <v>1</v>
      </c>
      <c r="D1208" s="1">
        <v>46096</v>
      </c>
    </row>
    <row r="1209" spans="1:4" x14ac:dyDescent="0.25">
      <c r="A1209" t="s">
        <v>2249</v>
      </c>
      <c r="B1209" t="s">
        <v>57</v>
      </c>
      <c r="C1209">
        <v>19</v>
      </c>
      <c r="D1209" s="1">
        <v>46033</v>
      </c>
    </row>
    <row r="1210" spans="1:4" x14ac:dyDescent="0.25">
      <c r="A1210" t="s">
        <v>2250</v>
      </c>
      <c r="B1210" t="s">
        <v>104</v>
      </c>
      <c r="C1210">
        <v>27</v>
      </c>
      <c r="D1210" s="1">
        <v>46043</v>
      </c>
    </row>
    <row r="1211" spans="1:4" x14ac:dyDescent="0.25">
      <c r="A1211" t="s">
        <v>2251</v>
      </c>
      <c r="B1211" t="s">
        <v>93</v>
      </c>
      <c r="C1211">
        <v>23</v>
      </c>
      <c r="D1211" s="1">
        <v>46056</v>
      </c>
    </row>
    <row r="1212" spans="1:4" x14ac:dyDescent="0.25">
      <c r="A1212" t="s">
        <v>2252</v>
      </c>
      <c r="B1212" t="s">
        <v>78</v>
      </c>
      <c r="C1212">
        <v>2</v>
      </c>
      <c r="D1212" s="1">
        <v>46068</v>
      </c>
    </row>
    <row r="1213" spans="1:4" x14ac:dyDescent="0.25">
      <c r="A1213" t="s">
        <v>2253</v>
      </c>
      <c r="B1213" t="s">
        <v>125</v>
      </c>
      <c r="C1213">
        <v>20</v>
      </c>
      <c r="D1213" s="1">
        <v>46095</v>
      </c>
    </row>
    <row r="1214" spans="1:4" x14ac:dyDescent="0.25">
      <c r="A1214" t="s">
        <v>2254</v>
      </c>
      <c r="B1214" t="s">
        <v>43</v>
      </c>
      <c r="C1214">
        <v>30</v>
      </c>
      <c r="D1214" s="1">
        <v>46116</v>
      </c>
    </row>
    <row r="1215" spans="1:4" x14ac:dyDescent="0.25">
      <c r="A1215" t="s">
        <v>2255</v>
      </c>
      <c r="B1215" t="s">
        <v>55</v>
      </c>
      <c r="C1215">
        <v>9</v>
      </c>
      <c r="D1215" s="1">
        <v>46046</v>
      </c>
    </row>
    <row r="1216" spans="1:4" x14ac:dyDescent="0.25">
      <c r="A1216" t="s">
        <v>2256</v>
      </c>
      <c r="B1216" t="s">
        <v>123</v>
      </c>
      <c r="C1216">
        <v>5</v>
      </c>
      <c r="D1216" s="1">
        <v>46085</v>
      </c>
    </row>
    <row r="1217" spans="1:4" x14ac:dyDescent="0.25">
      <c r="A1217" t="s">
        <v>2257</v>
      </c>
      <c r="B1217" t="s">
        <v>110</v>
      </c>
      <c r="C1217">
        <v>11</v>
      </c>
      <c r="D1217" s="1">
        <v>46108</v>
      </c>
    </row>
    <row r="1218" spans="1:4" x14ac:dyDescent="0.25">
      <c r="A1218" t="s">
        <v>2258</v>
      </c>
      <c r="B1218" t="s">
        <v>115</v>
      </c>
      <c r="C1218">
        <v>18</v>
      </c>
      <c r="D1218" s="1">
        <v>46045</v>
      </c>
    </row>
    <row r="1219" spans="1:4" x14ac:dyDescent="0.25">
      <c r="A1219" t="s">
        <v>2259</v>
      </c>
      <c r="B1219" t="s">
        <v>63</v>
      </c>
      <c r="C1219">
        <v>11</v>
      </c>
      <c r="D1219" s="1">
        <v>46062</v>
      </c>
    </row>
    <row r="1220" spans="1:4" x14ac:dyDescent="0.25">
      <c r="A1220" t="s">
        <v>2260</v>
      </c>
      <c r="B1220" t="s">
        <v>122</v>
      </c>
      <c r="C1220">
        <v>27</v>
      </c>
      <c r="D1220" s="1">
        <v>46095</v>
      </c>
    </row>
    <row r="1221" spans="1:4" x14ac:dyDescent="0.25">
      <c r="A1221" t="s">
        <v>2261</v>
      </c>
      <c r="B1221" t="s">
        <v>70</v>
      </c>
      <c r="C1221">
        <v>3</v>
      </c>
      <c r="D1221" s="1">
        <v>46082</v>
      </c>
    </row>
    <row r="1222" spans="1:4" x14ac:dyDescent="0.25">
      <c r="A1222" t="s">
        <v>2262</v>
      </c>
      <c r="B1222" t="s">
        <v>127</v>
      </c>
      <c r="C1222">
        <v>2</v>
      </c>
      <c r="D1222" s="1">
        <v>46036</v>
      </c>
    </row>
    <row r="1223" spans="1:4" x14ac:dyDescent="0.25">
      <c r="A1223" t="s">
        <v>2263</v>
      </c>
      <c r="B1223" t="s">
        <v>77</v>
      </c>
      <c r="C1223">
        <v>21</v>
      </c>
      <c r="D1223" s="1">
        <v>46038</v>
      </c>
    </row>
    <row r="1224" spans="1:4" x14ac:dyDescent="0.25">
      <c r="A1224" t="s">
        <v>2264</v>
      </c>
      <c r="B1224" t="s">
        <v>56</v>
      </c>
      <c r="C1224">
        <v>2</v>
      </c>
      <c r="D1224" s="1">
        <v>46041</v>
      </c>
    </row>
    <row r="1225" spans="1:4" x14ac:dyDescent="0.25">
      <c r="A1225" t="s">
        <v>2265</v>
      </c>
      <c r="B1225" t="s">
        <v>76</v>
      </c>
      <c r="C1225">
        <v>29</v>
      </c>
      <c r="D1225" s="1">
        <v>46053</v>
      </c>
    </row>
    <row r="1226" spans="1:4" x14ac:dyDescent="0.25">
      <c r="A1226" t="s">
        <v>2266</v>
      </c>
      <c r="B1226" t="s">
        <v>87</v>
      </c>
      <c r="C1226">
        <v>30</v>
      </c>
      <c r="D1226" s="1">
        <v>46086</v>
      </c>
    </row>
    <row r="1227" spans="1:4" x14ac:dyDescent="0.25">
      <c r="A1227" t="s">
        <v>2267</v>
      </c>
      <c r="B1227" t="s">
        <v>136</v>
      </c>
      <c r="C1227">
        <v>3</v>
      </c>
      <c r="D1227" s="1">
        <v>46065</v>
      </c>
    </row>
    <row r="1228" spans="1:4" x14ac:dyDescent="0.25">
      <c r="A1228" t="s">
        <v>2268</v>
      </c>
      <c r="B1228" t="s">
        <v>99</v>
      </c>
      <c r="C1228">
        <v>15</v>
      </c>
      <c r="D1228" s="1">
        <v>46063</v>
      </c>
    </row>
    <row r="1229" spans="1:4" x14ac:dyDescent="0.25">
      <c r="A1229" t="s">
        <v>2269</v>
      </c>
      <c r="B1229" t="s">
        <v>83</v>
      </c>
      <c r="C1229">
        <v>22</v>
      </c>
      <c r="D1229" s="1">
        <v>46039</v>
      </c>
    </row>
    <row r="1230" spans="1:4" x14ac:dyDescent="0.25">
      <c r="A1230" t="s">
        <v>2270</v>
      </c>
      <c r="B1230" t="s">
        <v>37</v>
      </c>
      <c r="C1230">
        <v>7</v>
      </c>
      <c r="D1230" s="1">
        <v>46109</v>
      </c>
    </row>
    <row r="1231" spans="1:4" x14ac:dyDescent="0.25">
      <c r="A1231" t="s">
        <v>2271</v>
      </c>
      <c r="B1231" t="s">
        <v>75</v>
      </c>
      <c r="C1231">
        <v>10</v>
      </c>
      <c r="D1231" s="1">
        <v>46073</v>
      </c>
    </row>
    <row r="1232" spans="1:4" x14ac:dyDescent="0.25">
      <c r="A1232" t="s">
        <v>2272</v>
      </c>
      <c r="B1232" t="s">
        <v>120</v>
      </c>
      <c r="C1232">
        <v>3</v>
      </c>
      <c r="D1232" s="1">
        <v>46044</v>
      </c>
    </row>
    <row r="1233" spans="1:4" x14ac:dyDescent="0.25">
      <c r="A1233" t="s">
        <v>2273</v>
      </c>
      <c r="B1233" t="s">
        <v>124</v>
      </c>
      <c r="C1233">
        <v>4</v>
      </c>
      <c r="D1233" s="1">
        <v>46083</v>
      </c>
    </row>
    <row r="1234" spans="1:4" x14ac:dyDescent="0.25">
      <c r="A1234" t="s">
        <v>2274</v>
      </c>
      <c r="B1234" t="s">
        <v>87</v>
      </c>
      <c r="C1234">
        <v>15</v>
      </c>
      <c r="D1234" s="1">
        <v>46099</v>
      </c>
    </row>
    <row r="1235" spans="1:4" x14ac:dyDescent="0.25">
      <c r="A1235" t="s">
        <v>2275</v>
      </c>
      <c r="B1235" t="s">
        <v>135</v>
      </c>
      <c r="C1235">
        <v>28</v>
      </c>
      <c r="D1235" s="1">
        <v>46095</v>
      </c>
    </row>
    <row r="1236" spans="1:4" x14ac:dyDescent="0.25">
      <c r="A1236" t="s">
        <v>2276</v>
      </c>
      <c r="B1236" t="s">
        <v>94</v>
      </c>
      <c r="C1236">
        <v>3</v>
      </c>
      <c r="D1236" s="1">
        <v>46069</v>
      </c>
    </row>
    <row r="1237" spans="1:4" x14ac:dyDescent="0.25">
      <c r="A1237" t="s">
        <v>2277</v>
      </c>
      <c r="B1237" t="s">
        <v>58</v>
      </c>
      <c r="C1237">
        <v>27</v>
      </c>
      <c r="D1237" s="1">
        <v>46090</v>
      </c>
    </row>
    <row r="1238" spans="1:4" x14ac:dyDescent="0.25">
      <c r="A1238" t="s">
        <v>2278</v>
      </c>
      <c r="B1238" t="s">
        <v>76</v>
      </c>
      <c r="C1238">
        <v>26</v>
      </c>
      <c r="D1238" s="1">
        <v>46038</v>
      </c>
    </row>
    <row r="1239" spans="1:4" x14ac:dyDescent="0.25">
      <c r="A1239" t="s">
        <v>2279</v>
      </c>
      <c r="B1239" t="s">
        <v>87</v>
      </c>
      <c r="C1239">
        <v>18</v>
      </c>
      <c r="D1239" s="1">
        <v>46103</v>
      </c>
    </row>
    <row r="1240" spans="1:4" x14ac:dyDescent="0.25">
      <c r="A1240" t="s">
        <v>2280</v>
      </c>
      <c r="B1240" t="s">
        <v>81</v>
      </c>
      <c r="C1240">
        <v>7</v>
      </c>
      <c r="D1240" s="1">
        <v>46089</v>
      </c>
    </row>
    <row r="1241" spans="1:4" x14ac:dyDescent="0.25">
      <c r="A1241" t="s">
        <v>2281</v>
      </c>
      <c r="B1241" t="s">
        <v>63</v>
      </c>
      <c r="C1241">
        <v>9</v>
      </c>
      <c r="D1241" s="1">
        <v>46100</v>
      </c>
    </row>
    <row r="1242" spans="1:4" x14ac:dyDescent="0.25">
      <c r="A1242" t="s">
        <v>2282</v>
      </c>
      <c r="B1242" t="s">
        <v>117</v>
      </c>
      <c r="C1242">
        <v>12</v>
      </c>
      <c r="D1242" s="1">
        <v>46090</v>
      </c>
    </row>
    <row r="1243" spans="1:4" x14ac:dyDescent="0.25">
      <c r="A1243" t="s">
        <v>2283</v>
      </c>
      <c r="B1243" t="s">
        <v>79</v>
      </c>
      <c r="C1243">
        <v>20</v>
      </c>
      <c r="D1243" s="1">
        <v>46112</v>
      </c>
    </row>
    <row r="1244" spans="1:4" x14ac:dyDescent="0.25">
      <c r="A1244" t="s">
        <v>2284</v>
      </c>
      <c r="B1244" t="s">
        <v>53</v>
      </c>
      <c r="C1244">
        <v>26</v>
      </c>
      <c r="D1244" s="1">
        <v>46077</v>
      </c>
    </row>
    <row r="1245" spans="1:4" x14ac:dyDescent="0.25">
      <c r="A1245" t="s">
        <v>2285</v>
      </c>
      <c r="B1245" t="s">
        <v>138</v>
      </c>
      <c r="C1245">
        <v>19</v>
      </c>
      <c r="D1245" s="1">
        <v>46105</v>
      </c>
    </row>
    <row r="1246" spans="1:4" x14ac:dyDescent="0.25">
      <c r="A1246" t="s">
        <v>2286</v>
      </c>
      <c r="B1246" t="s">
        <v>93</v>
      </c>
      <c r="C1246">
        <v>1</v>
      </c>
      <c r="D1246" s="1">
        <v>46083</v>
      </c>
    </row>
    <row r="1247" spans="1:4" x14ac:dyDescent="0.25">
      <c r="A1247" t="s">
        <v>2287</v>
      </c>
      <c r="B1247" t="s">
        <v>33</v>
      </c>
      <c r="C1247">
        <v>10</v>
      </c>
      <c r="D1247" s="1">
        <v>46070</v>
      </c>
    </row>
    <row r="1248" spans="1:4" x14ac:dyDescent="0.25">
      <c r="A1248" t="s">
        <v>2288</v>
      </c>
      <c r="B1248" t="s">
        <v>123</v>
      </c>
      <c r="C1248">
        <v>12</v>
      </c>
      <c r="D1248" s="1">
        <v>46060</v>
      </c>
    </row>
    <row r="1249" spans="1:4" x14ac:dyDescent="0.25">
      <c r="A1249" t="s">
        <v>2289</v>
      </c>
      <c r="B1249" t="s">
        <v>105</v>
      </c>
      <c r="C1249">
        <v>27</v>
      </c>
      <c r="D1249" s="1">
        <v>46046</v>
      </c>
    </row>
    <row r="1250" spans="1:4" x14ac:dyDescent="0.25">
      <c r="A1250" t="s">
        <v>2290</v>
      </c>
      <c r="B1250" t="s">
        <v>52</v>
      </c>
      <c r="C1250">
        <v>12</v>
      </c>
      <c r="D1250" s="1">
        <v>46078</v>
      </c>
    </row>
    <row r="1251" spans="1:4" x14ac:dyDescent="0.25">
      <c r="A1251" t="s">
        <v>2291</v>
      </c>
      <c r="B1251" t="s">
        <v>71</v>
      </c>
      <c r="C1251">
        <v>7</v>
      </c>
      <c r="D1251" s="1">
        <v>46045</v>
      </c>
    </row>
    <row r="1252" spans="1:4" x14ac:dyDescent="0.25">
      <c r="A1252" t="s">
        <v>2292</v>
      </c>
      <c r="B1252" t="s">
        <v>58</v>
      </c>
      <c r="C1252">
        <v>5</v>
      </c>
      <c r="D1252" s="1">
        <v>46045</v>
      </c>
    </row>
    <row r="1253" spans="1:4" x14ac:dyDescent="0.25">
      <c r="A1253" t="s">
        <v>2293</v>
      </c>
      <c r="B1253" t="s">
        <v>39</v>
      </c>
      <c r="C1253">
        <v>8</v>
      </c>
      <c r="D1253" s="1">
        <v>46051</v>
      </c>
    </row>
    <row r="1254" spans="1:4" x14ac:dyDescent="0.25">
      <c r="A1254" t="s">
        <v>2294</v>
      </c>
      <c r="B1254" t="s">
        <v>101</v>
      </c>
      <c r="C1254">
        <v>4</v>
      </c>
      <c r="D1254" s="1">
        <v>46051</v>
      </c>
    </row>
    <row r="1255" spans="1:4" x14ac:dyDescent="0.25">
      <c r="A1255" t="s">
        <v>2295</v>
      </c>
      <c r="B1255" t="s">
        <v>137</v>
      </c>
      <c r="C1255">
        <v>10</v>
      </c>
      <c r="D1255" s="1">
        <v>46113</v>
      </c>
    </row>
    <row r="1256" spans="1:4" x14ac:dyDescent="0.25">
      <c r="A1256" t="s">
        <v>2296</v>
      </c>
      <c r="B1256" t="s">
        <v>55</v>
      </c>
      <c r="C1256">
        <v>13</v>
      </c>
      <c r="D1256" s="1">
        <v>46081</v>
      </c>
    </row>
    <row r="1257" spans="1:4" x14ac:dyDescent="0.25">
      <c r="A1257" t="s">
        <v>2297</v>
      </c>
      <c r="B1257" t="s">
        <v>77</v>
      </c>
      <c r="C1257">
        <v>8</v>
      </c>
      <c r="D1257" s="1">
        <v>46086</v>
      </c>
    </row>
    <row r="1258" spans="1:4" x14ac:dyDescent="0.25">
      <c r="A1258" t="s">
        <v>2298</v>
      </c>
      <c r="B1258" t="s">
        <v>126</v>
      </c>
      <c r="C1258">
        <v>22</v>
      </c>
      <c r="D1258" s="1">
        <v>46069</v>
      </c>
    </row>
    <row r="1259" spans="1:4" x14ac:dyDescent="0.25">
      <c r="A1259" t="s">
        <v>2299</v>
      </c>
      <c r="B1259" t="s">
        <v>130</v>
      </c>
      <c r="C1259">
        <v>5</v>
      </c>
      <c r="D1259" s="1">
        <v>46064</v>
      </c>
    </row>
    <row r="1260" spans="1:4" x14ac:dyDescent="0.25">
      <c r="A1260" t="s">
        <v>2300</v>
      </c>
      <c r="B1260" t="s">
        <v>59</v>
      </c>
      <c r="C1260">
        <v>23</v>
      </c>
      <c r="D1260" s="1">
        <v>46095</v>
      </c>
    </row>
    <row r="1261" spans="1:4" x14ac:dyDescent="0.25">
      <c r="A1261" t="s">
        <v>2301</v>
      </c>
      <c r="B1261" t="s">
        <v>42</v>
      </c>
      <c r="C1261">
        <v>9</v>
      </c>
      <c r="D1261" s="1">
        <v>46062</v>
      </c>
    </row>
    <row r="1262" spans="1:4" x14ac:dyDescent="0.25">
      <c r="A1262" t="s">
        <v>2302</v>
      </c>
      <c r="B1262" t="s">
        <v>109</v>
      </c>
      <c r="C1262">
        <v>12</v>
      </c>
      <c r="D1262" s="1">
        <v>46038</v>
      </c>
    </row>
    <row r="1263" spans="1:4" x14ac:dyDescent="0.25">
      <c r="A1263" t="s">
        <v>2303</v>
      </c>
      <c r="B1263" t="s">
        <v>71</v>
      </c>
      <c r="C1263">
        <v>4</v>
      </c>
      <c r="D1263" s="1">
        <v>46064</v>
      </c>
    </row>
    <row r="1264" spans="1:4" x14ac:dyDescent="0.25">
      <c r="A1264" t="s">
        <v>2304</v>
      </c>
      <c r="B1264" t="s">
        <v>122</v>
      </c>
      <c r="C1264">
        <v>28</v>
      </c>
      <c r="D1264" s="1">
        <v>46088</v>
      </c>
    </row>
    <row r="1265" spans="1:4" x14ac:dyDescent="0.25">
      <c r="A1265" t="s">
        <v>2305</v>
      </c>
      <c r="B1265" t="s">
        <v>100</v>
      </c>
      <c r="C1265">
        <v>22</v>
      </c>
      <c r="D1265" s="1">
        <v>46112</v>
      </c>
    </row>
    <row r="1266" spans="1:4" x14ac:dyDescent="0.25">
      <c r="A1266" t="s">
        <v>2306</v>
      </c>
      <c r="B1266" t="s">
        <v>134</v>
      </c>
      <c r="C1266">
        <v>12</v>
      </c>
      <c r="D1266" s="1">
        <v>46104</v>
      </c>
    </row>
    <row r="1267" spans="1:4" x14ac:dyDescent="0.25">
      <c r="A1267" t="s">
        <v>2307</v>
      </c>
      <c r="B1267" t="s">
        <v>52</v>
      </c>
      <c r="C1267">
        <v>29</v>
      </c>
      <c r="D1267" s="1">
        <v>46109</v>
      </c>
    </row>
    <row r="1268" spans="1:4" x14ac:dyDescent="0.25">
      <c r="A1268" t="s">
        <v>2308</v>
      </c>
      <c r="B1268" t="s">
        <v>83</v>
      </c>
      <c r="C1268">
        <v>27</v>
      </c>
      <c r="D1268" s="1">
        <v>46095</v>
      </c>
    </row>
    <row r="1269" spans="1:4" x14ac:dyDescent="0.25">
      <c r="A1269" t="s">
        <v>2309</v>
      </c>
      <c r="B1269" t="s">
        <v>135</v>
      </c>
      <c r="C1269">
        <v>20</v>
      </c>
      <c r="D1269" s="1">
        <v>46100</v>
      </c>
    </row>
    <row r="1270" spans="1:4" x14ac:dyDescent="0.25">
      <c r="A1270" t="s">
        <v>2310</v>
      </c>
      <c r="B1270" t="s">
        <v>102</v>
      </c>
      <c r="C1270">
        <v>28</v>
      </c>
      <c r="D1270" s="1">
        <v>46052</v>
      </c>
    </row>
    <row r="1271" spans="1:4" x14ac:dyDescent="0.25">
      <c r="A1271" t="s">
        <v>2311</v>
      </c>
      <c r="B1271" t="s">
        <v>67</v>
      </c>
      <c r="C1271">
        <v>19</v>
      </c>
      <c r="D1271" s="1">
        <v>46097</v>
      </c>
    </row>
    <row r="1272" spans="1:4" x14ac:dyDescent="0.25">
      <c r="A1272" t="s">
        <v>2312</v>
      </c>
      <c r="B1272" t="s">
        <v>101</v>
      </c>
      <c r="C1272">
        <v>13</v>
      </c>
      <c r="D1272" s="1">
        <v>46054</v>
      </c>
    </row>
    <row r="1273" spans="1:4" x14ac:dyDescent="0.25">
      <c r="A1273" t="s">
        <v>2313</v>
      </c>
      <c r="B1273" t="s">
        <v>105</v>
      </c>
      <c r="C1273">
        <v>21</v>
      </c>
      <c r="D1273" s="1">
        <v>46052</v>
      </c>
    </row>
    <row r="1274" spans="1:4" x14ac:dyDescent="0.25">
      <c r="A1274" t="s">
        <v>2314</v>
      </c>
      <c r="B1274" t="s">
        <v>110</v>
      </c>
      <c r="C1274">
        <v>25</v>
      </c>
      <c r="D1274" s="1">
        <v>46099</v>
      </c>
    </row>
    <row r="1275" spans="1:4" x14ac:dyDescent="0.25">
      <c r="A1275" t="s">
        <v>2315</v>
      </c>
      <c r="B1275" t="s">
        <v>54</v>
      </c>
      <c r="C1275">
        <v>4</v>
      </c>
      <c r="D1275" s="1">
        <v>46077</v>
      </c>
    </row>
    <row r="1276" spans="1:4" x14ac:dyDescent="0.25">
      <c r="A1276" t="s">
        <v>2316</v>
      </c>
      <c r="B1276" t="s">
        <v>99</v>
      </c>
      <c r="C1276">
        <v>21</v>
      </c>
      <c r="D1276" s="1">
        <v>46086</v>
      </c>
    </row>
    <row r="1277" spans="1:4" x14ac:dyDescent="0.25">
      <c r="A1277" t="s">
        <v>2317</v>
      </c>
      <c r="B1277" t="s">
        <v>128</v>
      </c>
      <c r="C1277">
        <v>1</v>
      </c>
      <c r="D1277" s="1">
        <v>46070</v>
      </c>
    </row>
    <row r="1278" spans="1:4" x14ac:dyDescent="0.25">
      <c r="A1278" t="s">
        <v>2318</v>
      </c>
      <c r="B1278" t="s">
        <v>114</v>
      </c>
      <c r="C1278">
        <v>9</v>
      </c>
      <c r="D1278" s="1">
        <v>46049</v>
      </c>
    </row>
    <row r="1279" spans="1:4" x14ac:dyDescent="0.25">
      <c r="A1279" t="s">
        <v>2319</v>
      </c>
      <c r="B1279" t="s">
        <v>117</v>
      </c>
      <c r="C1279">
        <v>16</v>
      </c>
      <c r="D1279" s="1">
        <v>46104</v>
      </c>
    </row>
    <row r="1280" spans="1:4" x14ac:dyDescent="0.25">
      <c r="A1280" t="s">
        <v>2320</v>
      </c>
      <c r="B1280" t="s">
        <v>128</v>
      </c>
      <c r="C1280">
        <v>30</v>
      </c>
      <c r="D1280" s="1">
        <v>46112</v>
      </c>
    </row>
    <row r="1281" spans="1:4" x14ac:dyDescent="0.25">
      <c r="A1281" t="s">
        <v>2321</v>
      </c>
      <c r="B1281" t="s">
        <v>129</v>
      </c>
      <c r="C1281">
        <v>28</v>
      </c>
      <c r="D1281" s="1">
        <v>46059</v>
      </c>
    </row>
    <row r="1282" spans="1:4" x14ac:dyDescent="0.25">
      <c r="A1282" t="s">
        <v>2322</v>
      </c>
      <c r="B1282" t="s">
        <v>104</v>
      </c>
      <c r="C1282">
        <v>29</v>
      </c>
      <c r="D1282" s="1">
        <v>46071</v>
      </c>
    </row>
    <row r="1283" spans="1:4" x14ac:dyDescent="0.25">
      <c r="A1283" t="s">
        <v>2323</v>
      </c>
      <c r="B1283" t="s">
        <v>41</v>
      </c>
      <c r="C1283">
        <v>11</v>
      </c>
      <c r="D1283" s="1">
        <v>46109</v>
      </c>
    </row>
    <row r="1284" spans="1:4" x14ac:dyDescent="0.25">
      <c r="A1284" t="s">
        <v>2324</v>
      </c>
      <c r="B1284" t="s">
        <v>51</v>
      </c>
      <c r="C1284">
        <v>16</v>
      </c>
      <c r="D1284" s="1">
        <v>46101</v>
      </c>
    </row>
    <row r="1285" spans="1:4" x14ac:dyDescent="0.25">
      <c r="A1285" t="s">
        <v>2325</v>
      </c>
      <c r="B1285" t="s">
        <v>46</v>
      </c>
      <c r="C1285">
        <v>21</v>
      </c>
      <c r="D1285" s="1">
        <v>46118</v>
      </c>
    </row>
    <row r="1286" spans="1:4" x14ac:dyDescent="0.25">
      <c r="A1286" t="s">
        <v>2326</v>
      </c>
      <c r="B1286" t="s">
        <v>45</v>
      </c>
      <c r="C1286">
        <v>25</v>
      </c>
      <c r="D1286" s="1">
        <v>46075</v>
      </c>
    </row>
    <row r="1287" spans="1:4" x14ac:dyDescent="0.25">
      <c r="A1287" t="s">
        <v>2327</v>
      </c>
      <c r="B1287" t="s">
        <v>93</v>
      </c>
      <c r="C1287">
        <v>2</v>
      </c>
      <c r="D1287" s="1">
        <v>46118</v>
      </c>
    </row>
    <row r="1288" spans="1:4" x14ac:dyDescent="0.25">
      <c r="A1288" t="s">
        <v>2328</v>
      </c>
      <c r="B1288" t="s">
        <v>76</v>
      </c>
      <c r="C1288">
        <v>1</v>
      </c>
      <c r="D1288" s="1">
        <v>46047</v>
      </c>
    </row>
    <row r="1289" spans="1:4" x14ac:dyDescent="0.25">
      <c r="A1289" t="s">
        <v>2329</v>
      </c>
      <c r="B1289" t="s">
        <v>112</v>
      </c>
      <c r="C1289">
        <v>13</v>
      </c>
      <c r="D1289" s="1">
        <v>46075</v>
      </c>
    </row>
    <row r="1290" spans="1:4" x14ac:dyDescent="0.25">
      <c r="A1290" t="s">
        <v>2330</v>
      </c>
      <c r="B1290" t="s">
        <v>82</v>
      </c>
      <c r="C1290">
        <v>3</v>
      </c>
      <c r="D1290" s="1">
        <v>46061</v>
      </c>
    </row>
    <row r="1291" spans="1:4" x14ac:dyDescent="0.25">
      <c r="A1291" t="s">
        <v>2331</v>
      </c>
      <c r="B1291" t="s">
        <v>118</v>
      </c>
      <c r="C1291">
        <v>12</v>
      </c>
      <c r="D1291" s="1">
        <v>46029</v>
      </c>
    </row>
    <row r="1292" spans="1:4" x14ac:dyDescent="0.25">
      <c r="A1292" t="s">
        <v>2332</v>
      </c>
      <c r="B1292" t="s">
        <v>119</v>
      </c>
      <c r="C1292">
        <v>18</v>
      </c>
      <c r="D1292" s="1">
        <v>46056</v>
      </c>
    </row>
    <row r="1293" spans="1:4" x14ac:dyDescent="0.25">
      <c r="A1293" t="s">
        <v>2333</v>
      </c>
      <c r="B1293" t="s">
        <v>106</v>
      </c>
      <c r="C1293">
        <v>26</v>
      </c>
      <c r="D1293" s="1">
        <v>46103</v>
      </c>
    </row>
    <row r="1294" spans="1:4" x14ac:dyDescent="0.25">
      <c r="A1294" t="s">
        <v>2334</v>
      </c>
      <c r="B1294" t="s">
        <v>133</v>
      </c>
      <c r="C1294">
        <v>13</v>
      </c>
      <c r="D1294" s="1">
        <v>46056</v>
      </c>
    </row>
    <row r="1295" spans="1:4" x14ac:dyDescent="0.25">
      <c r="A1295" t="s">
        <v>2335</v>
      </c>
      <c r="B1295" t="s">
        <v>81</v>
      </c>
      <c r="C1295">
        <v>7</v>
      </c>
      <c r="D1295" s="1">
        <v>46062</v>
      </c>
    </row>
    <row r="1296" spans="1:4" x14ac:dyDescent="0.25">
      <c r="A1296" t="s">
        <v>2336</v>
      </c>
      <c r="B1296" t="s">
        <v>90</v>
      </c>
      <c r="C1296">
        <v>23</v>
      </c>
      <c r="D1296" s="1">
        <v>46031</v>
      </c>
    </row>
    <row r="1297" spans="1:4" x14ac:dyDescent="0.25">
      <c r="A1297" t="s">
        <v>2337</v>
      </c>
      <c r="B1297" t="s">
        <v>74</v>
      </c>
      <c r="C1297">
        <v>15</v>
      </c>
      <c r="D1297" s="1">
        <v>46109</v>
      </c>
    </row>
    <row r="1298" spans="1:4" x14ac:dyDescent="0.25">
      <c r="A1298" t="s">
        <v>2338</v>
      </c>
      <c r="B1298" t="s">
        <v>94</v>
      </c>
      <c r="C1298">
        <v>27</v>
      </c>
      <c r="D1298" s="1">
        <v>46071</v>
      </c>
    </row>
    <row r="1299" spans="1:4" x14ac:dyDescent="0.25">
      <c r="A1299" t="s">
        <v>2339</v>
      </c>
      <c r="B1299" t="s">
        <v>95</v>
      </c>
      <c r="C1299">
        <v>30</v>
      </c>
      <c r="D1299" s="1">
        <v>46117</v>
      </c>
    </row>
    <row r="1300" spans="1:4" x14ac:dyDescent="0.25">
      <c r="A1300" t="s">
        <v>2340</v>
      </c>
      <c r="B1300" t="s">
        <v>133</v>
      </c>
      <c r="C1300">
        <v>7</v>
      </c>
      <c r="D1300" s="1">
        <v>46090</v>
      </c>
    </row>
    <row r="1301" spans="1:4" x14ac:dyDescent="0.25">
      <c r="A1301" t="s">
        <v>2341</v>
      </c>
      <c r="B1301" t="s">
        <v>124</v>
      </c>
      <c r="C1301">
        <v>29</v>
      </c>
      <c r="D1301" s="1">
        <v>46115</v>
      </c>
    </row>
    <row r="1302" spans="1:4" x14ac:dyDescent="0.25">
      <c r="A1302" t="s">
        <v>2342</v>
      </c>
      <c r="B1302" t="s">
        <v>94</v>
      </c>
      <c r="C1302">
        <v>11</v>
      </c>
      <c r="D1302" s="1">
        <v>46103</v>
      </c>
    </row>
    <row r="1303" spans="1:4" x14ac:dyDescent="0.25">
      <c r="A1303" t="s">
        <v>2343</v>
      </c>
      <c r="B1303" t="s">
        <v>109</v>
      </c>
      <c r="C1303">
        <v>23</v>
      </c>
      <c r="D1303" s="1">
        <v>46039</v>
      </c>
    </row>
    <row r="1304" spans="1:4" x14ac:dyDescent="0.25">
      <c r="A1304" t="s">
        <v>2344</v>
      </c>
      <c r="B1304" t="s">
        <v>77</v>
      </c>
      <c r="C1304">
        <v>22</v>
      </c>
      <c r="D1304" s="1">
        <v>46060</v>
      </c>
    </row>
    <row r="1305" spans="1:4" x14ac:dyDescent="0.25">
      <c r="A1305" t="s">
        <v>2345</v>
      </c>
      <c r="B1305" t="s">
        <v>41</v>
      </c>
      <c r="C1305">
        <v>4</v>
      </c>
      <c r="D1305" s="1">
        <v>46070</v>
      </c>
    </row>
    <row r="1306" spans="1:4" x14ac:dyDescent="0.25">
      <c r="A1306" t="s">
        <v>2346</v>
      </c>
      <c r="B1306" t="s">
        <v>135</v>
      </c>
      <c r="C1306">
        <v>5</v>
      </c>
      <c r="D1306" s="1">
        <v>46099</v>
      </c>
    </row>
    <row r="1307" spans="1:4" x14ac:dyDescent="0.25">
      <c r="A1307" t="s">
        <v>2347</v>
      </c>
      <c r="B1307" t="s">
        <v>61</v>
      </c>
      <c r="C1307">
        <v>6</v>
      </c>
      <c r="D1307" s="1">
        <v>46051</v>
      </c>
    </row>
    <row r="1308" spans="1:4" x14ac:dyDescent="0.25">
      <c r="A1308" t="s">
        <v>2348</v>
      </c>
      <c r="B1308" t="s">
        <v>96</v>
      </c>
      <c r="C1308">
        <v>16</v>
      </c>
      <c r="D1308" s="1">
        <v>46102</v>
      </c>
    </row>
    <row r="1309" spans="1:4" x14ac:dyDescent="0.25">
      <c r="A1309" t="s">
        <v>2349</v>
      </c>
      <c r="B1309" t="s">
        <v>48</v>
      </c>
      <c r="C1309">
        <v>8</v>
      </c>
      <c r="D1309" s="1">
        <v>46066</v>
      </c>
    </row>
    <row r="1310" spans="1:4" x14ac:dyDescent="0.25">
      <c r="A1310" t="s">
        <v>2350</v>
      </c>
      <c r="B1310" t="s">
        <v>123</v>
      </c>
      <c r="C1310">
        <v>25</v>
      </c>
      <c r="D1310" s="1">
        <v>46115</v>
      </c>
    </row>
    <row r="1311" spans="1:4" x14ac:dyDescent="0.25">
      <c r="A1311" t="s">
        <v>2351</v>
      </c>
      <c r="B1311" t="s">
        <v>48</v>
      </c>
      <c r="C1311">
        <v>29</v>
      </c>
      <c r="D1311" s="1">
        <v>46096</v>
      </c>
    </row>
    <row r="1312" spans="1:4" x14ac:dyDescent="0.25">
      <c r="A1312" t="s">
        <v>2352</v>
      </c>
      <c r="B1312" t="s">
        <v>85</v>
      </c>
      <c r="C1312">
        <v>13</v>
      </c>
      <c r="D1312" s="1">
        <v>46048</v>
      </c>
    </row>
    <row r="1313" spans="1:4" x14ac:dyDescent="0.25">
      <c r="A1313" t="s">
        <v>2353</v>
      </c>
      <c r="B1313" t="s">
        <v>91</v>
      </c>
      <c r="C1313">
        <v>8</v>
      </c>
      <c r="D1313" s="1">
        <v>46100</v>
      </c>
    </row>
    <row r="1314" spans="1:4" x14ac:dyDescent="0.25">
      <c r="A1314" t="s">
        <v>2354</v>
      </c>
      <c r="B1314" t="s">
        <v>124</v>
      </c>
      <c r="C1314">
        <v>11</v>
      </c>
      <c r="D1314" s="1">
        <v>46036</v>
      </c>
    </row>
    <row r="1315" spans="1:4" x14ac:dyDescent="0.25">
      <c r="A1315" t="s">
        <v>2355</v>
      </c>
      <c r="B1315" t="s">
        <v>80</v>
      </c>
      <c r="C1315">
        <v>30</v>
      </c>
      <c r="D1315" s="1">
        <v>46100</v>
      </c>
    </row>
    <row r="1316" spans="1:4" x14ac:dyDescent="0.25">
      <c r="A1316" t="s">
        <v>2356</v>
      </c>
      <c r="B1316" t="s">
        <v>100</v>
      </c>
      <c r="C1316">
        <v>8</v>
      </c>
      <c r="D1316" s="1">
        <v>46078</v>
      </c>
    </row>
    <row r="1317" spans="1:4" x14ac:dyDescent="0.25">
      <c r="A1317" t="s">
        <v>2357</v>
      </c>
      <c r="B1317" t="s">
        <v>76</v>
      </c>
      <c r="C1317">
        <v>28</v>
      </c>
      <c r="D1317" s="1">
        <v>46056</v>
      </c>
    </row>
    <row r="1318" spans="1:4" x14ac:dyDescent="0.25">
      <c r="A1318" t="s">
        <v>2358</v>
      </c>
      <c r="B1318" t="s">
        <v>69</v>
      </c>
      <c r="C1318">
        <v>5</v>
      </c>
      <c r="D1318" s="1">
        <v>46072</v>
      </c>
    </row>
    <row r="1319" spans="1:4" x14ac:dyDescent="0.25">
      <c r="A1319" t="s">
        <v>2359</v>
      </c>
      <c r="B1319" t="s">
        <v>78</v>
      </c>
      <c r="C1319">
        <v>4</v>
      </c>
      <c r="D1319" s="1">
        <v>46058</v>
      </c>
    </row>
    <row r="1320" spans="1:4" x14ac:dyDescent="0.25">
      <c r="A1320" t="s">
        <v>2360</v>
      </c>
      <c r="B1320" t="s">
        <v>89</v>
      </c>
      <c r="C1320">
        <v>5</v>
      </c>
      <c r="D1320" s="1">
        <v>46084</v>
      </c>
    </row>
    <row r="1321" spans="1:4" x14ac:dyDescent="0.25">
      <c r="A1321" t="s">
        <v>2361</v>
      </c>
      <c r="B1321" t="s">
        <v>56</v>
      </c>
      <c r="C1321">
        <v>25</v>
      </c>
      <c r="D1321" s="1">
        <v>46029</v>
      </c>
    </row>
    <row r="1322" spans="1:4" x14ac:dyDescent="0.25">
      <c r="A1322" t="s">
        <v>2362</v>
      </c>
      <c r="B1322" t="s">
        <v>105</v>
      </c>
      <c r="C1322">
        <v>17</v>
      </c>
      <c r="D1322" s="1">
        <v>46082</v>
      </c>
    </row>
    <row r="1323" spans="1:4" x14ac:dyDescent="0.25">
      <c r="A1323" t="s">
        <v>2363</v>
      </c>
      <c r="B1323" t="s">
        <v>77</v>
      </c>
      <c r="C1323">
        <v>14</v>
      </c>
      <c r="D1323" s="1">
        <v>46117</v>
      </c>
    </row>
    <row r="1324" spans="1:4" x14ac:dyDescent="0.25">
      <c r="A1324" t="s">
        <v>2364</v>
      </c>
      <c r="B1324" t="s">
        <v>63</v>
      </c>
      <c r="C1324">
        <v>8</v>
      </c>
      <c r="D1324" s="1">
        <v>46046</v>
      </c>
    </row>
    <row r="1325" spans="1:4" x14ac:dyDescent="0.25">
      <c r="A1325" t="s">
        <v>2365</v>
      </c>
      <c r="B1325" t="s">
        <v>109</v>
      </c>
      <c r="C1325">
        <v>27</v>
      </c>
      <c r="D1325" s="1">
        <v>46098</v>
      </c>
    </row>
    <row r="1326" spans="1:4" x14ac:dyDescent="0.25">
      <c r="A1326" t="s">
        <v>2366</v>
      </c>
      <c r="B1326" t="s">
        <v>33</v>
      </c>
      <c r="C1326">
        <v>30</v>
      </c>
      <c r="D1326" s="1">
        <v>46038</v>
      </c>
    </row>
    <row r="1327" spans="1:4" x14ac:dyDescent="0.25">
      <c r="A1327" t="s">
        <v>2367</v>
      </c>
      <c r="B1327" t="s">
        <v>138</v>
      </c>
      <c r="C1327">
        <v>13</v>
      </c>
      <c r="D1327" s="1">
        <v>46085</v>
      </c>
    </row>
    <row r="1328" spans="1:4" x14ac:dyDescent="0.25">
      <c r="A1328" t="s">
        <v>2368</v>
      </c>
      <c r="B1328" t="s">
        <v>69</v>
      </c>
      <c r="C1328">
        <v>18</v>
      </c>
      <c r="D1328" s="1">
        <v>46079</v>
      </c>
    </row>
    <row r="1329" spans="1:4" x14ac:dyDescent="0.25">
      <c r="A1329" t="s">
        <v>2369</v>
      </c>
      <c r="B1329" t="s">
        <v>125</v>
      </c>
      <c r="C1329">
        <v>11</v>
      </c>
      <c r="D1329" s="1">
        <v>46057</v>
      </c>
    </row>
    <row r="1330" spans="1:4" x14ac:dyDescent="0.25">
      <c r="A1330" t="s">
        <v>2370</v>
      </c>
      <c r="B1330" t="s">
        <v>128</v>
      </c>
      <c r="C1330">
        <v>17</v>
      </c>
      <c r="D1330" s="1">
        <v>46064</v>
      </c>
    </row>
    <row r="1331" spans="1:4" x14ac:dyDescent="0.25">
      <c r="A1331" t="s">
        <v>2371</v>
      </c>
      <c r="B1331" t="s">
        <v>134</v>
      </c>
      <c r="C1331">
        <v>4</v>
      </c>
      <c r="D1331" s="1">
        <v>46116</v>
      </c>
    </row>
    <row r="1332" spans="1:4" x14ac:dyDescent="0.25">
      <c r="A1332" t="s">
        <v>2372</v>
      </c>
      <c r="B1332" t="s">
        <v>47</v>
      </c>
      <c r="C1332">
        <v>27</v>
      </c>
      <c r="D1332" s="1">
        <v>46057</v>
      </c>
    </row>
    <row r="1333" spans="1:4" x14ac:dyDescent="0.25">
      <c r="A1333" t="s">
        <v>2373</v>
      </c>
      <c r="B1333" t="s">
        <v>95</v>
      </c>
      <c r="C1333">
        <v>7</v>
      </c>
      <c r="D1333" s="1">
        <v>46032</v>
      </c>
    </row>
    <row r="1334" spans="1:4" x14ac:dyDescent="0.25">
      <c r="A1334" t="s">
        <v>2374</v>
      </c>
      <c r="B1334" t="s">
        <v>127</v>
      </c>
      <c r="C1334">
        <v>17</v>
      </c>
      <c r="D1334" s="1">
        <v>46112</v>
      </c>
    </row>
    <row r="1335" spans="1:4" x14ac:dyDescent="0.25">
      <c r="A1335" t="s">
        <v>2375</v>
      </c>
      <c r="B1335" t="s">
        <v>45</v>
      </c>
      <c r="C1335">
        <v>1</v>
      </c>
      <c r="D1335" s="1">
        <v>46044</v>
      </c>
    </row>
    <row r="1336" spans="1:4" x14ac:dyDescent="0.25">
      <c r="A1336" t="s">
        <v>2376</v>
      </c>
      <c r="B1336" t="s">
        <v>61</v>
      </c>
      <c r="C1336">
        <v>29</v>
      </c>
      <c r="D1336" s="1">
        <v>46067</v>
      </c>
    </row>
    <row r="1337" spans="1:4" x14ac:dyDescent="0.25">
      <c r="A1337" t="s">
        <v>2377</v>
      </c>
      <c r="B1337" t="s">
        <v>56</v>
      </c>
      <c r="C1337">
        <v>22</v>
      </c>
      <c r="D1337" s="1">
        <v>46068</v>
      </c>
    </row>
    <row r="1338" spans="1:4" x14ac:dyDescent="0.25">
      <c r="A1338" t="s">
        <v>2378</v>
      </c>
      <c r="B1338" t="s">
        <v>63</v>
      </c>
      <c r="C1338">
        <v>13</v>
      </c>
      <c r="D1338" s="1">
        <v>46078</v>
      </c>
    </row>
    <row r="1339" spans="1:4" x14ac:dyDescent="0.25">
      <c r="A1339" t="s">
        <v>2379</v>
      </c>
      <c r="B1339" t="s">
        <v>39</v>
      </c>
      <c r="C1339">
        <v>21</v>
      </c>
      <c r="D1339" s="1">
        <v>46102</v>
      </c>
    </row>
    <row r="1340" spans="1:4" x14ac:dyDescent="0.25">
      <c r="A1340" t="s">
        <v>2380</v>
      </c>
      <c r="B1340" t="s">
        <v>89</v>
      </c>
      <c r="C1340">
        <v>17</v>
      </c>
      <c r="D1340" s="1">
        <v>46083</v>
      </c>
    </row>
    <row r="1341" spans="1:4" x14ac:dyDescent="0.25">
      <c r="A1341" t="s">
        <v>2381</v>
      </c>
      <c r="B1341" t="s">
        <v>52</v>
      </c>
      <c r="C1341">
        <v>21</v>
      </c>
      <c r="D1341" s="1">
        <v>46065</v>
      </c>
    </row>
    <row r="1342" spans="1:4" x14ac:dyDescent="0.25">
      <c r="A1342" t="s">
        <v>2382</v>
      </c>
      <c r="B1342" t="s">
        <v>93</v>
      </c>
      <c r="C1342">
        <v>21</v>
      </c>
      <c r="D1342" s="1">
        <v>46056</v>
      </c>
    </row>
    <row r="1343" spans="1:4" x14ac:dyDescent="0.25">
      <c r="A1343" t="s">
        <v>2383</v>
      </c>
      <c r="B1343" t="s">
        <v>96</v>
      </c>
      <c r="C1343">
        <v>27</v>
      </c>
      <c r="D1343" s="1">
        <v>46097</v>
      </c>
    </row>
    <row r="1344" spans="1:4" x14ac:dyDescent="0.25">
      <c r="A1344" t="s">
        <v>2384</v>
      </c>
      <c r="B1344" t="s">
        <v>86</v>
      </c>
      <c r="C1344">
        <v>14</v>
      </c>
      <c r="D1344" s="1">
        <v>46111</v>
      </c>
    </row>
    <row r="1345" spans="1:4" x14ac:dyDescent="0.25">
      <c r="A1345" t="s">
        <v>2385</v>
      </c>
      <c r="B1345" t="s">
        <v>68</v>
      </c>
      <c r="C1345">
        <v>12</v>
      </c>
      <c r="D1345" s="1">
        <v>46067</v>
      </c>
    </row>
    <row r="1346" spans="1:4" x14ac:dyDescent="0.25">
      <c r="A1346" t="s">
        <v>2386</v>
      </c>
      <c r="B1346" t="s">
        <v>63</v>
      </c>
      <c r="C1346">
        <v>19</v>
      </c>
      <c r="D1346" s="1">
        <v>46047</v>
      </c>
    </row>
    <row r="1347" spans="1:4" x14ac:dyDescent="0.25">
      <c r="A1347" t="s">
        <v>2387</v>
      </c>
      <c r="B1347" t="s">
        <v>90</v>
      </c>
      <c r="C1347">
        <v>6</v>
      </c>
      <c r="D1347" s="1">
        <v>46065</v>
      </c>
    </row>
    <row r="1348" spans="1:4" x14ac:dyDescent="0.25">
      <c r="A1348" t="s">
        <v>2388</v>
      </c>
      <c r="B1348" t="s">
        <v>106</v>
      </c>
      <c r="C1348">
        <v>7</v>
      </c>
      <c r="D1348" s="1">
        <v>46034</v>
      </c>
    </row>
    <row r="1349" spans="1:4" x14ac:dyDescent="0.25">
      <c r="A1349" t="s">
        <v>2389</v>
      </c>
      <c r="B1349" t="s">
        <v>71</v>
      </c>
      <c r="C1349">
        <v>25</v>
      </c>
      <c r="D1349" s="1">
        <v>46113</v>
      </c>
    </row>
    <row r="1350" spans="1:4" x14ac:dyDescent="0.25">
      <c r="A1350" t="s">
        <v>2390</v>
      </c>
      <c r="B1350" t="s">
        <v>33</v>
      </c>
      <c r="C1350">
        <v>14</v>
      </c>
      <c r="D1350" s="1">
        <v>46039</v>
      </c>
    </row>
    <row r="1351" spans="1:4" x14ac:dyDescent="0.25">
      <c r="A1351" t="s">
        <v>2391</v>
      </c>
      <c r="B1351" t="s">
        <v>59</v>
      </c>
      <c r="C1351">
        <v>18</v>
      </c>
      <c r="D1351" s="1">
        <v>46080</v>
      </c>
    </row>
    <row r="1352" spans="1:4" x14ac:dyDescent="0.25">
      <c r="A1352" t="s">
        <v>2392</v>
      </c>
      <c r="B1352" t="s">
        <v>54</v>
      </c>
      <c r="C1352">
        <v>11</v>
      </c>
      <c r="D1352" s="1">
        <v>46030</v>
      </c>
    </row>
    <row r="1353" spans="1:4" x14ac:dyDescent="0.25">
      <c r="A1353" t="s">
        <v>2393</v>
      </c>
      <c r="B1353" t="s">
        <v>91</v>
      </c>
      <c r="C1353">
        <v>13</v>
      </c>
      <c r="D1353" s="1">
        <v>46053</v>
      </c>
    </row>
    <row r="1354" spans="1:4" x14ac:dyDescent="0.25">
      <c r="A1354" t="s">
        <v>2394</v>
      </c>
      <c r="B1354" t="s">
        <v>116</v>
      </c>
      <c r="C1354">
        <v>22</v>
      </c>
      <c r="D1354" s="1">
        <v>46046</v>
      </c>
    </row>
    <row r="1355" spans="1:4" x14ac:dyDescent="0.25">
      <c r="A1355" t="s">
        <v>2395</v>
      </c>
      <c r="B1355" t="s">
        <v>76</v>
      </c>
      <c r="C1355">
        <v>27</v>
      </c>
      <c r="D1355" s="1">
        <v>46084</v>
      </c>
    </row>
    <row r="1356" spans="1:4" x14ac:dyDescent="0.25">
      <c r="A1356" t="s">
        <v>2396</v>
      </c>
      <c r="B1356" t="s">
        <v>95</v>
      </c>
      <c r="C1356">
        <v>26</v>
      </c>
      <c r="D1356" s="1">
        <v>46065</v>
      </c>
    </row>
    <row r="1357" spans="1:4" x14ac:dyDescent="0.25">
      <c r="A1357" t="s">
        <v>2397</v>
      </c>
      <c r="B1357" t="s">
        <v>137</v>
      </c>
      <c r="C1357">
        <v>4</v>
      </c>
      <c r="D1357" s="1">
        <v>46034</v>
      </c>
    </row>
    <row r="1358" spans="1:4" x14ac:dyDescent="0.25">
      <c r="A1358" t="s">
        <v>2398</v>
      </c>
      <c r="B1358" t="s">
        <v>66</v>
      </c>
      <c r="C1358">
        <v>8</v>
      </c>
      <c r="D1358" s="1">
        <v>46032</v>
      </c>
    </row>
    <row r="1359" spans="1:4" x14ac:dyDescent="0.25">
      <c r="A1359" t="s">
        <v>2399</v>
      </c>
      <c r="B1359" t="s">
        <v>70</v>
      </c>
      <c r="C1359">
        <v>5</v>
      </c>
      <c r="D1359" s="1">
        <v>46086</v>
      </c>
    </row>
    <row r="1360" spans="1:4" x14ac:dyDescent="0.25">
      <c r="A1360" t="s">
        <v>2400</v>
      </c>
      <c r="B1360" t="s">
        <v>58</v>
      </c>
      <c r="C1360">
        <v>1</v>
      </c>
      <c r="D1360" s="1">
        <v>46071</v>
      </c>
    </row>
    <row r="1361" spans="1:4" x14ac:dyDescent="0.25">
      <c r="A1361" t="s">
        <v>2401</v>
      </c>
      <c r="B1361" t="s">
        <v>115</v>
      </c>
      <c r="C1361">
        <v>6</v>
      </c>
      <c r="D1361" s="1">
        <v>46039</v>
      </c>
    </row>
    <row r="1362" spans="1:4" x14ac:dyDescent="0.25">
      <c r="A1362" t="s">
        <v>2402</v>
      </c>
      <c r="B1362" t="s">
        <v>63</v>
      </c>
      <c r="C1362">
        <v>17</v>
      </c>
      <c r="D1362" s="1">
        <v>46092</v>
      </c>
    </row>
    <row r="1363" spans="1:4" x14ac:dyDescent="0.25">
      <c r="A1363" t="s">
        <v>2403</v>
      </c>
      <c r="B1363" t="s">
        <v>53</v>
      </c>
      <c r="C1363">
        <v>2</v>
      </c>
      <c r="D1363" s="1">
        <v>46110</v>
      </c>
    </row>
    <row r="1364" spans="1:4" x14ac:dyDescent="0.25">
      <c r="A1364" t="s">
        <v>2404</v>
      </c>
      <c r="B1364" t="s">
        <v>99</v>
      </c>
      <c r="C1364">
        <v>14</v>
      </c>
      <c r="D1364" s="1">
        <v>46041</v>
      </c>
    </row>
    <row r="1365" spans="1:4" x14ac:dyDescent="0.25">
      <c r="A1365" t="s">
        <v>2405</v>
      </c>
      <c r="B1365" t="s">
        <v>39</v>
      </c>
      <c r="C1365">
        <v>8</v>
      </c>
      <c r="D1365" s="1">
        <v>46082</v>
      </c>
    </row>
    <row r="1366" spans="1:4" x14ac:dyDescent="0.25">
      <c r="A1366" t="s">
        <v>2406</v>
      </c>
      <c r="B1366" t="s">
        <v>102</v>
      </c>
      <c r="C1366">
        <v>29</v>
      </c>
      <c r="D1366" s="1">
        <v>46041</v>
      </c>
    </row>
    <row r="1367" spans="1:4" x14ac:dyDescent="0.25">
      <c r="A1367" t="s">
        <v>2407</v>
      </c>
      <c r="B1367" t="s">
        <v>106</v>
      </c>
      <c r="C1367">
        <v>16</v>
      </c>
      <c r="D1367" s="1">
        <v>46035</v>
      </c>
    </row>
    <row r="1368" spans="1:4" x14ac:dyDescent="0.25">
      <c r="A1368" t="s">
        <v>2408</v>
      </c>
      <c r="B1368" t="s">
        <v>48</v>
      </c>
      <c r="C1368">
        <v>20</v>
      </c>
      <c r="D1368" s="1">
        <v>46077</v>
      </c>
    </row>
    <row r="1369" spans="1:4" x14ac:dyDescent="0.25">
      <c r="A1369" t="s">
        <v>2409</v>
      </c>
      <c r="B1369" t="s">
        <v>55</v>
      </c>
      <c r="C1369">
        <v>30</v>
      </c>
      <c r="D1369" s="1">
        <v>46102</v>
      </c>
    </row>
    <row r="1370" spans="1:4" x14ac:dyDescent="0.25">
      <c r="A1370" t="s">
        <v>2410</v>
      </c>
      <c r="B1370" t="s">
        <v>84</v>
      </c>
      <c r="C1370">
        <v>3</v>
      </c>
      <c r="D1370" s="1">
        <v>46081</v>
      </c>
    </row>
    <row r="1371" spans="1:4" x14ac:dyDescent="0.25">
      <c r="A1371" t="s">
        <v>2411</v>
      </c>
      <c r="B1371" t="s">
        <v>64</v>
      </c>
      <c r="C1371">
        <v>14</v>
      </c>
      <c r="D1371" s="1">
        <v>46082</v>
      </c>
    </row>
    <row r="1372" spans="1:4" x14ac:dyDescent="0.25">
      <c r="A1372" t="s">
        <v>2412</v>
      </c>
      <c r="B1372" t="s">
        <v>68</v>
      </c>
      <c r="C1372">
        <v>2</v>
      </c>
      <c r="D1372" s="1">
        <v>46073</v>
      </c>
    </row>
    <row r="1373" spans="1:4" x14ac:dyDescent="0.25">
      <c r="A1373" t="s">
        <v>2413</v>
      </c>
      <c r="B1373" t="s">
        <v>136</v>
      </c>
      <c r="C1373">
        <v>2</v>
      </c>
      <c r="D1373" s="1">
        <v>46095</v>
      </c>
    </row>
    <row r="1374" spans="1:4" x14ac:dyDescent="0.25">
      <c r="A1374" t="s">
        <v>2414</v>
      </c>
      <c r="B1374" t="s">
        <v>126</v>
      </c>
      <c r="C1374">
        <v>17</v>
      </c>
      <c r="D1374" s="1">
        <v>46058</v>
      </c>
    </row>
    <row r="1375" spans="1:4" x14ac:dyDescent="0.25">
      <c r="A1375" t="s">
        <v>2415</v>
      </c>
      <c r="B1375" t="s">
        <v>80</v>
      </c>
      <c r="C1375">
        <v>2</v>
      </c>
      <c r="D1375" s="1">
        <v>46059</v>
      </c>
    </row>
    <row r="1376" spans="1:4" x14ac:dyDescent="0.25">
      <c r="A1376" t="s">
        <v>2416</v>
      </c>
      <c r="B1376" t="s">
        <v>84</v>
      </c>
      <c r="C1376">
        <v>25</v>
      </c>
      <c r="D1376" s="1">
        <v>46070</v>
      </c>
    </row>
    <row r="1377" spans="1:4" x14ac:dyDescent="0.25">
      <c r="A1377" t="s">
        <v>2417</v>
      </c>
      <c r="B1377" t="s">
        <v>70</v>
      </c>
      <c r="C1377">
        <v>16</v>
      </c>
      <c r="D1377" s="1">
        <v>46058</v>
      </c>
    </row>
    <row r="1378" spans="1:4" x14ac:dyDescent="0.25">
      <c r="A1378" t="s">
        <v>2418</v>
      </c>
      <c r="B1378" t="s">
        <v>110</v>
      </c>
      <c r="C1378">
        <v>7</v>
      </c>
      <c r="D1378" s="1">
        <v>46102</v>
      </c>
    </row>
    <row r="1379" spans="1:4" x14ac:dyDescent="0.25">
      <c r="A1379" t="s">
        <v>2419</v>
      </c>
      <c r="B1379" t="s">
        <v>69</v>
      </c>
      <c r="C1379">
        <v>6</v>
      </c>
      <c r="D1379" s="1">
        <v>46058</v>
      </c>
    </row>
    <row r="1380" spans="1:4" x14ac:dyDescent="0.25">
      <c r="A1380" t="s">
        <v>2420</v>
      </c>
      <c r="B1380" t="s">
        <v>98</v>
      </c>
      <c r="C1380">
        <v>14</v>
      </c>
      <c r="D1380" s="1">
        <v>46094</v>
      </c>
    </row>
    <row r="1381" spans="1:4" x14ac:dyDescent="0.25">
      <c r="A1381" t="s">
        <v>2421</v>
      </c>
      <c r="B1381" t="s">
        <v>66</v>
      </c>
      <c r="C1381">
        <v>4</v>
      </c>
      <c r="D1381" s="1">
        <v>46074</v>
      </c>
    </row>
    <row r="1382" spans="1:4" x14ac:dyDescent="0.25">
      <c r="A1382" t="s">
        <v>2422</v>
      </c>
      <c r="B1382" t="s">
        <v>60</v>
      </c>
      <c r="C1382">
        <v>9</v>
      </c>
      <c r="D1382" s="1">
        <v>46045</v>
      </c>
    </row>
    <row r="1383" spans="1:4" x14ac:dyDescent="0.25">
      <c r="A1383" t="s">
        <v>2423</v>
      </c>
      <c r="B1383" t="s">
        <v>77</v>
      </c>
      <c r="C1383">
        <v>9</v>
      </c>
      <c r="D1383" s="1">
        <v>46108</v>
      </c>
    </row>
    <row r="1384" spans="1:4" x14ac:dyDescent="0.25">
      <c r="A1384" t="s">
        <v>2424</v>
      </c>
      <c r="B1384" t="s">
        <v>104</v>
      </c>
      <c r="C1384">
        <v>9</v>
      </c>
      <c r="D1384" s="1">
        <v>46035</v>
      </c>
    </row>
    <row r="1385" spans="1:4" x14ac:dyDescent="0.25">
      <c r="A1385" t="s">
        <v>2425</v>
      </c>
      <c r="B1385" t="s">
        <v>139</v>
      </c>
      <c r="C1385">
        <v>2</v>
      </c>
      <c r="D1385" s="1">
        <v>46101</v>
      </c>
    </row>
    <row r="1386" spans="1:4" x14ac:dyDescent="0.25">
      <c r="A1386" t="s">
        <v>2426</v>
      </c>
      <c r="B1386" t="s">
        <v>131</v>
      </c>
      <c r="C1386">
        <v>3</v>
      </c>
      <c r="D1386" s="1">
        <v>46078</v>
      </c>
    </row>
    <row r="1387" spans="1:4" x14ac:dyDescent="0.25">
      <c r="A1387" t="s">
        <v>2427</v>
      </c>
      <c r="B1387" t="s">
        <v>97</v>
      </c>
      <c r="C1387">
        <v>29</v>
      </c>
      <c r="D1387" s="1">
        <v>46106</v>
      </c>
    </row>
    <row r="1388" spans="1:4" x14ac:dyDescent="0.25">
      <c r="A1388" t="s">
        <v>2428</v>
      </c>
      <c r="B1388" t="s">
        <v>133</v>
      </c>
      <c r="C1388">
        <v>21</v>
      </c>
      <c r="D1388" s="1">
        <v>46030</v>
      </c>
    </row>
    <row r="1389" spans="1:4" x14ac:dyDescent="0.25">
      <c r="A1389" t="s">
        <v>2429</v>
      </c>
      <c r="B1389" t="s">
        <v>45</v>
      </c>
      <c r="C1389">
        <v>1</v>
      </c>
      <c r="D1389" s="1">
        <v>46061</v>
      </c>
    </row>
    <row r="1390" spans="1:4" x14ac:dyDescent="0.25">
      <c r="A1390" t="s">
        <v>2430</v>
      </c>
      <c r="B1390" t="s">
        <v>139</v>
      </c>
      <c r="C1390">
        <v>13</v>
      </c>
      <c r="D1390" s="1">
        <v>46097</v>
      </c>
    </row>
    <row r="1391" spans="1:4" x14ac:dyDescent="0.25">
      <c r="A1391" t="s">
        <v>2431</v>
      </c>
      <c r="B1391" t="s">
        <v>45</v>
      </c>
      <c r="C1391">
        <v>18</v>
      </c>
      <c r="D1391" s="1">
        <v>46042</v>
      </c>
    </row>
    <row r="1392" spans="1:4" x14ac:dyDescent="0.25">
      <c r="A1392" t="s">
        <v>2432</v>
      </c>
      <c r="B1392" t="s">
        <v>120</v>
      </c>
      <c r="C1392">
        <v>16</v>
      </c>
      <c r="D1392" s="1">
        <v>46097</v>
      </c>
    </row>
    <row r="1393" spans="1:4" x14ac:dyDescent="0.25">
      <c r="A1393" t="s">
        <v>2433</v>
      </c>
      <c r="B1393" t="s">
        <v>122</v>
      </c>
      <c r="C1393">
        <v>20</v>
      </c>
      <c r="D1393" s="1">
        <v>46083</v>
      </c>
    </row>
    <row r="1394" spans="1:4" x14ac:dyDescent="0.25">
      <c r="A1394" t="s">
        <v>2434</v>
      </c>
      <c r="B1394" t="s">
        <v>64</v>
      </c>
      <c r="C1394">
        <v>9</v>
      </c>
      <c r="D1394" s="1">
        <v>46042</v>
      </c>
    </row>
    <row r="1395" spans="1:4" x14ac:dyDescent="0.25">
      <c r="A1395" t="s">
        <v>2435</v>
      </c>
      <c r="B1395" t="s">
        <v>92</v>
      </c>
      <c r="C1395">
        <v>10</v>
      </c>
      <c r="D1395" s="1">
        <v>46071</v>
      </c>
    </row>
    <row r="1396" spans="1:4" x14ac:dyDescent="0.25">
      <c r="A1396" t="s">
        <v>2436</v>
      </c>
      <c r="B1396" t="s">
        <v>99</v>
      </c>
      <c r="C1396">
        <v>17</v>
      </c>
      <c r="D1396" s="1">
        <v>46029</v>
      </c>
    </row>
    <row r="1397" spans="1:4" x14ac:dyDescent="0.25">
      <c r="A1397" t="s">
        <v>2437</v>
      </c>
      <c r="B1397" t="s">
        <v>98</v>
      </c>
      <c r="C1397">
        <v>19</v>
      </c>
      <c r="D1397" s="1">
        <v>46072</v>
      </c>
    </row>
    <row r="1398" spans="1:4" x14ac:dyDescent="0.25">
      <c r="A1398" t="s">
        <v>2438</v>
      </c>
      <c r="B1398" t="s">
        <v>92</v>
      </c>
      <c r="C1398">
        <v>12</v>
      </c>
      <c r="D1398" s="1">
        <v>46035</v>
      </c>
    </row>
    <row r="1399" spans="1:4" x14ac:dyDescent="0.25">
      <c r="A1399" t="s">
        <v>2439</v>
      </c>
      <c r="B1399" t="s">
        <v>55</v>
      </c>
      <c r="C1399">
        <v>17</v>
      </c>
      <c r="D1399" s="1">
        <v>46044</v>
      </c>
    </row>
    <row r="1400" spans="1:4" x14ac:dyDescent="0.25">
      <c r="A1400" t="s">
        <v>2440</v>
      </c>
      <c r="B1400" t="s">
        <v>108</v>
      </c>
      <c r="C1400">
        <v>14</v>
      </c>
      <c r="D1400" s="1">
        <v>46039</v>
      </c>
    </row>
    <row r="1401" spans="1:4" x14ac:dyDescent="0.25">
      <c r="A1401" t="s">
        <v>2441</v>
      </c>
      <c r="B1401" t="s">
        <v>64</v>
      </c>
      <c r="C1401">
        <v>17</v>
      </c>
      <c r="D1401" s="1">
        <v>46068</v>
      </c>
    </row>
    <row r="1402" spans="1:4" x14ac:dyDescent="0.25">
      <c r="A1402" t="s">
        <v>2442</v>
      </c>
      <c r="B1402" t="s">
        <v>72</v>
      </c>
      <c r="C1402">
        <v>27</v>
      </c>
      <c r="D1402" s="1">
        <v>46094</v>
      </c>
    </row>
    <row r="1403" spans="1:4" x14ac:dyDescent="0.25">
      <c r="A1403" t="s">
        <v>2443</v>
      </c>
      <c r="B1403" t="s">
        <v>82</v>
      </c>
      <c r="C1403">
        <v>3</v>
      </c>
      <c r="D1403" s="1">
        <v>46039</v>
      </c>
    </row>
    <row r="1404" spans="1:4" x14ac:dyDescent="0.25">
      <c r="A1404" t="s">
        <v>2444</v>
      </c>
      <c r="B1404" t="s">
        <v>68</v>
      </c>
      <c r="C1404">
        <v>30</v>
      </c>
      <c r="D1404" s="1">
        <v>46045</v>
      </c>
    </row>
    <row r="1405" spans="1:4" x14ac:dyDescent="0.25">
      <c r="A1405" t="s">
        <v>2445</v>
      </c>
      <c r="B1405" t="s">
        <v>67</v>
      </c>
      <c r="C1405">
        <v>22</v>
      </c>
      <c r="D1405" s="1">
        <v>46041</v>
      </c>
    </row>
    <row r="1406" spans="1:4" x14ac:dyDescent="0.25">
      <c r="A1406" t="s">
        <v>2446</v>
      </c>
      <c r="B1406" t="s">
        <v>113</v>
      </c>
      <c r="C1406">
        <v>14</v>
      </c>
      <c r="D1406" s="1">
        <v>46099</v>
      </c>
    </row>
    <row r="1407" spans="1:4" x14ac:dyDescent="0.25">
      <c r="A1407" t="s">
        <v>2447</v>
      </c>
      <c r="B1407" t="s">
        <v>128</v>
      </c>
      <c r="C1407">
        <v>16</v>
      </c>
      <c r="D1407" s="1">
        <v>46070</v>
      </c>
    </row>
    <row r="1408" spans="1:4" x14ac:dyDescent="0.25">
      <c r="A1408" t="s">
        <v>2448</v>
      </c>
      <c r="B1408" t="s">
        <v>132</v>
      </c>
      <c r="C1408">
        <v>6</v>
      </c>
      <c r="D1408" s="1">
        <v>46053</v>
      </c>
    </row>
    <row r="1409" spans="1:4" x14ac:dyDescent="0.25">
      <c r="A1409" t="s">
        <v>2449</v>
      </c>
      <c r="B1409" t="s">
        <v>46</v>
      </c>
      <c r="C1409">
        <v>23</v>
      </c>
      <c r="D1409" s="1">
        <v>46053</v>
      </c>
    </row>
    <row r="1410" spans="1:4" x14ac:dyDescent="0.25">
      <c r="A1410" t="s">
        <v>2450</v>
      </c>
      <c r="B1410" t="s">
        <v>69</v>
      </c>
      <c r="C1410">
        <v>20</v>
      </c>
      <c r="D1410" s="1">
        <v>46082</v>
      </c>
    </row>
    <row r="1411" spans="1:4" x14ac:dyDescent="0.25">
      <c r="A1411" t="s">
        <v>2451</v>
      </c>
      <c r="B1411" t="s">
        <v>112</v>
      </c>
      <c r="C1411">
        <v>13</v>
      </c>
      <c r="D1411" s="1">
        <v>46079</v>
      </c>
    </row>
    <row r="1412" spans="1:4" x14ac:dyDescent="0.25">
      <c r="A1412" t="s">
        <v>2452</v>
      </c>
      <c r="B1412" t="s">
        <v>118</v>
      </c>
      <c r="C1412">
        <v>7</v>
      </c>
      <c r="D1412" s="1">
        <v>46058</v>
      </c>
    </row>
    <row r="1413" spans="1:4" x14ac:dyDescent="0.25">
      <c r="A1413" t="s">
        <v>2453</v>
      </c>
      <c r="B1413" t="s">
        <v>70</v>
      </c>
      <c r="C1413">
        <v>10</v>
      </c>
      <c r="D1413" s="1">
        <v>46085</v>
      </c>
    </row>
    <row r="1414" spans="1:4" x14ac:dyDescent="0.25">
      <c r="A1414" t="s">
        <v>2454</v>
      </c>
      <c r="B1414" t="s">
        <v>92</v>
      </c>
      <c r="C1414">
        <v>8</v>
      </c>
      <c r="D1414" s="1">
        <v>46054</v>
      </c>
    </row>
    <row r="1415" spans="1:4" x14ac:dyDescent="0.25">
      <c r="A1415" t="s">
        <v>2455</v>
      </c>
      <c r="B1415" t="s">
        <v>106</v>
      </c>
      <c r="C1415">
        <v>21</v>
      </c>
      <c r="D1415" s="1">
        <v>46107</v>
      </c>
    </row>
    <row r="1416" spans="1:4" x14ac:dyDescent="0.25">
      <c r="A1416" t="s">
        <v>2456</v>
      </c>
      <c r="B1416" t="s">
        <v>52</v>
      </c>
      <c r="C1416">
        <v>28</v>
      </c>
      <c r="D1416" s="1">
        <v>46054</v>
      </c>
    </row>
    <row r="1417" spans="1:4" x14ac:dyDescent="0.25">
      <c r="A1417" t="s">
        <v>2457</v>
      </c>
      <c r="B1417" t="s">
        <v>121</v>
      </c>
      <c r="C1417">
        <v>15</v>
      </c>
      <c r="D1417" s="1">
        <v>46071</v>
      </c>
    </row>
    <row r="1418" spans="1:4" x14ac:dyDescent="0.25">
      <c r="A1418" t="s">
        <v>2458</v>
      </c>
      <c r="B1418" t="s">
        <v>47</v>
      </c>
      <c r="C1418">
        <v>24</v>
      </c>
      <c r="D1418" s="1">
        <v>46059</v>
      </c>
    </row>
    <row r="1419" spans="1:4" x14ac:dyDescent="0.25">
      <c r="A1419" t="s">
        <v>2459</v>
      </c>
      <c r="B1419" t="s">
        <v>98</v>
      </c>
      <c r="C1419">
        <v>9</v>
      </c>
      <c r="D1419" s="1">
        <v>46084</v>
      </c>
    </row>
    <row r="1420" spans="1:4" x14ac:dyDescent="0.25">
      <c r="A1420" t="s">
        <v>2460</v>
      </c>
      <c r="B1420" t="s">
        <v>71</v>
      </c>
      <c r="C1420">
        <v>11</v>
      </c>
      <c r="D1420" s="1">
        <v>46030</v>
      </c>
    </row>
    <row r="1421" spans="1:4" x14ac:dyDescent="0.25">
      <c r="A1421" t="s">
        <v>2461</v>
      </c>
      <c r="B1421" t="s">
        <v>112</v>
      </c>
      <c r="C1421">
        <v>1</v>
      </c>
      <c r="D1421" s="1">
        <v>46102</v>
      </c>
    </row>
    <row r="1422" spans="1:4" x14ac:dyDescent="0.25">
      <c r="A1422" t="s">
        <v>2462</v>
      </c>
      <c r="B1422" t="s">
        <v>62</v>
      </c>
      <c r="C1422">
        <v>10</v>
      </c>
      <c r="D1422" s="1">
        <v>46041</v>
      </c>
    </row>
    <row r="1423" spans="1:4" x14ac:dyDescent="0.25">
      <c r="A1423" t="s">
        <v>2463</v>
      </c>
      <c r="B1423" t="s">
        <v>100</v>
      </c>
      <c r="C1423">
        <v>5</v>
      </c>
      <c r="D1423" s="1">
        <v>46041</v>
      </c>
    </row>
    <row r="1424" spans="1:4" x14ac:dyDescent="0.25">
      <c r="A1424" t="s">
        <v>2464</v>
      </c>
      <c r="B1424" t="s">
        <v>48</v>
      </c>
      <c r="C1424">
        <v>29</v>
      </c>
      <c r="D1424" s="1">
        <v>46067</v>
      </c>
    </row>
    <row r="1425" spans="1:4" x14ac:dyDescent="0.25">
      <c r="A1425" t="s">
        <v>2465</v>
      </c>
      <c r="B1425" t="s">
        <v>93</v>
      </c>
      <c r="C1425">
        <v>22</v>
      </c>
      <c r="D1425" s="1">
        <v>46073</v>
      </c>
    </row>
    <row r="1426" spans="1:4" x14ac:dyDescent="0.25">
      <c r="A1426" t="s">
        <v>2466</v>
      </c>
      <c r="B1426" t="s">
        <v>132</v>
      </c>
      <c r="C1426">
        <v>18</v>
      </c>
      <c r="D1426" s="1">
        <v>46075</v>
      </c>
    </row>
    <row r="1427" spans="1:4" x14ac:dyDescent="0.25">
      <c r="A1427" t="s">
        <v>2467</v>
      </c>
      <c r="B1427" t="s">
        <v>84</v>
      </c>
      <c r="C1427">
        <v>12</v>
      </c>
      <c r="D1427" s="1">
        <v>46114</v>
      </c>
    </row>
    <row r="1428" spans="1:4" x14ac:dyDescent="0.25">
      <c r="A1428" t="s">
        <v>2468</v>
      </c>
      <c r="B1428" t="s">
        <v>100</v>
      </c>
      <c r="C1428">
        <v>7</v>
      </c>
      <c r="D1428" s="1">
        <v>46079</v>
      </c>
    </row>
    <row r="1429" spans="1:4" x14ac:dyDescent="0.25">
      <c r="A1429" t="s">
        <v>2469</v>
      </c>
      <c r="B1429" t="s">
        <v>72</v>
      </c>
      <c r="C1429">
        <v>14</v>
      </c>
      <c r="D1429" s="1">
        <v>46114</v>
      </c>
    </row>
    <row r="1430" spans="1:4" x14ac:dyDescent="0.25">
      <c r="A1430" t="s">
        <v>2470</v>
      </c>
      <c r="B1430" t="s">
        <v>104</v>
      </c>
      <c r="C1430">
        <v>16</v>
      </c>
      <c r="D1430" s="1">
        <v>46115</v>
      </c>
    </row>
    <row r="1431" spans="1:4" x14ac:dyDescent="0.25">
      <c r="A1431" t="s">
        <v>2471</v>
      </c>
      <c r="B1431" t="s">
        <v>137</v>
      </c>
      <c r="C1431">
        <v>18</v>
      </c>
      <c r="D1431" s="1">
        <v>46040</v>
      </c>
    </row>
    <row r="1432" spans="1:4" x14ac:dyDescent="0.25">
      <c r="A1432" t="s">
        <v>2472</v>
      </c>
      <c r="B1432" t="s">
        <v>139</v>
      </c>
      <c r="C1432">
        <v>9</v>
      </c>
      <c r="D1432" s="1">
        <v>46081</v>
      </c>
    </row>
    <row r="1433" spans="1:4" x14ac:dyDescent="0.25">
      <c r="A1433" t="s">
        <v>2473</v>
      </c>
      <c r="B1433" t="s">
        <v>91</v>
      </c>
      <c r="C1433">
        <v>23</v>
      </c>
      <c r="D1433" s="1">
        <v>46041</v>
      </c>
    </row>
    <row r="1434" spans="1:4" x14ac:dyDescent="0.25">
      <c r="A1434" t="s">
        <v>2474</v>
      </c>
      <c r="B1434" t="s">
        <v>56</v>
      </c>
      <c r="C1434">
        <v>12</v>
      </c>
      <c r="D1434" s="1">
        <v>46096</v>
      </c>
    </row>
    <row r="1435" spans="1:4" x14ac:dyDescent="0.25">
      <c r="A1435" t="s">
        <v>2475</v>
      </c>
      <c r="B1435" t="s">
        <v>71</v>
      </c>
      <c r="C1435">
        <v>28</v>
      </c>
      <c r="D1435" s="1">
        <v>46110</v>
      </c>
    </row>
    <row r="1436" spans="1:4" x14ac:dyDescent="0.25">
      <c r="A1436" t="s">
        <v>2476</v>
      </c>
      <c r="B1436" t="s">
        <v>114</v>
      </c>
      <c r="C1436">
        <v>16</v>
      </c>
      <c r="D1436" s="1">
        <v>46036</v>
      </c>
    </row>
    <row r="1437" spans="1:4" x14ac:dyDescent="0.25">
      <c r="A1437" t="s">
        <v>2477</v>
      </c>
      <c r="B1437" t="s">
        <v>131</v>
      </c>
      <c r="C1437">
        <v>5</v>
      </c>
      <c r="D1437" s="1">
        <v>46079</v>
      </c>
    </row>
    <row r="1438" spans="1:4" x14ac:dyDescent="0.25">
      <c r="A1438" t="s">
        <v>2478</v>
      </c>
      <c r="B1438" t="s">
        <v>126</v>
      </c>
      <c r="C1438">
        <v>17</v>
      </c>
      <c r="D1438" s="1">
        <v>46057</v>
      </c>
    </row>
    <row r="1439" spans="1:4" x14ac:dyDescent="0.25">
      <c r="A1439" t="s">
        <v>2479</v>
      </c>
      <c r="B1439" t="s">
        <v>106</v>
      </c>
      <c r="C1439">
        <v>13</v>
      </c>
      <c r="D1439" s="1">
        <v>46088</v>
      </c>
    </row>
    <row r="1440" spans="1:4" x14ac:dyDescent="0.25">
      <c r="A1440" t="s">
        <v>2480</v>
      </c>
      <c r="B1440" t="s">
        <v>119</v>
      </c>
      <c r="C1440">
        <v>14</v>
      </c>
      <c r="D1440" s="1">
        <v>46054</v>
      </c>
    </row>
    <row r="1441" spans="1:4" x14ac:dyDescent="0.25">
      <c r="A1441" t="s">
        <v>2481</v>
      </c>
      <c r="B1441" t="s">
        <v>101</v>
      </c>
      <c r="C1441">
        <v>15</v>
      </c>
      <c r="D1441" s="1">
        <v>46051</v>
      </c>
    </row>
    <row r="1442" spans="1:4" x14ac:dyDescent="0.25">
      <c r="A1442" t="s">
        <v>2482</v>
      </c>
      <c r="B1442" t="s">
        <v>130</v>
      </c>
      <c r="C1442">
        <v>4</v>
      </c>
      <c r="D1442" s="1">
        <v>46035</v>
      </c>
    </row>
    <row r="1443" spans="1:4" x14ac:dyDescent="0.25">
      <c r="A1443" t="s">
        <v>2483</v>
      </c>
      <c r="B1443" t="s">
        <v>58</v>
      </c>
      <c r="C1443">
        <v>30</v>
      </c>
      <c r="D1443" s="1">
        <v>46036</v>
      </c>
    </row>
    <row r="1444" spans="1:4" x14ac:dyDescent="0.25">
      <c r="A1444" t="s">
        <v>2484</v>
      </c>
      <c r="B1444" t="s">
        <v>80</v>
      </c>
      <c r="C1444">
        <v>12</v>
      </c>
      <c r="D1444" s="1">
        <v>46059</v>
      </c>
    </row>
    <row r="1445" spans="1:4" x14ac:dyDescent="0.25">
      <c r="A1445" t="s">
        <v>2485</v>
      </c>
      <c r="B1445" t="s">
        <v>51</v>
      </c>
      <c r="C1445">
        <v>28</v>
      </c>
      <c r="D1445" s="1">
        <v>46115</v>
      </c>
    </row>
    <row r="1446" spans="1:4" x14ac:dyDescent="0.25">
      <c r="A1446" t="s">
        <v>2486</v>
      </c>
      <c r="B1446" t="s">
        <v>118</v>
      </c>
      <c r="C1446">
        <v>24</v>
      </c>
      <c r="D1446" s="1">
        <v>46116</v>
      </c>
    </row>
    <row r="1447" spans="1:4" x14ac:dyDescent="0.25">
      <c r="A1447" t="s">
        <v>2487</v>
      </c>
      <c r="B1447" t="s">
        <v>135</v>
      </c>
      <c r="C1447">
        <v>22</v>
      </c>
      <c r="D1447" s="1">
        <v>46080</v>
      </c>
    </row>
    <row r="1448" spans="1:4" x14ac:dyDescent="0.25">
      <c r="A1448" t="s">
        <v>2488</v>
      </c>
      <c r="B1448" t="s">
        <v>67</v>
      </c>
      <c r="C1448">
        <v>26</v>
      </c>
      <c r="D1448" s="1">
        <v>46114</v>
      </c>
    </row>
    <row r="1449" spans="1:4" x14ac:dyDescent="0.25">
      <c r="A1449" t="s">
        <v>2489</v>
      </c>
      <c r="B1449" t="s">
        <v>90</v>
      </c>
      <c r="C1449">
        <v>21</v>
      </c>
      <c r="D1449" s="1">
        <v>46056</v>
      </c>
    </row>
    <row r="1450" spans="1:4" x14ac:dyDescent="0.25">
      <c r="A1450" t="s">
        <v>2490</v>
      </c>
      <c r="B1450" t="s">
        <v>45</v>
      </c>
      <c r="C1450">
        <v>27</v>
      </c>
      <c r="D1450" s="1">
        <v>46081</v>
      </c>
    </row>
    <row r="1451" spans="1:4" x14ac:dyDescent="0.25">
      <c r="A1451" t="s">
        <v>2491</v>
      </c>
      <c r="B1451" t="s">
        <v>71</v>
      </c>
      <c r="C1451">
        <v>28</v>
      </c>
      <c r="D1451" s="1">
        <v>46063</v>
      </c>
    </row>
    <row r="1452" spans="1:4" x14ac:dyDescent="0.25">
      <c r="A1452" t="s">
        <v>2492</v>
      </c>
      <c r="B1452" t="s">
        <v>131</v>
      </c>
      <c r="C1452">
        <v>14</v>
      </c>
      <c r="D1452" s="1">
        <v>46079</v>
      </c>
    </row>
    <row r="1453" spans="1:4" x14ac:dyDescent="0.25">
      <c r="A1453" t="s">
        <v>2493</v>
      </c>
      <c r="B1453" t="s">
        <v>52</v>
      </c>
      <c r="C1453">
        <v>30</v>
      </c>
      <c r="D1453" s="1">
        <v>46064</v>
      </c>
    </row>
    <row r="1454" spans="1:4" x14ac:dyDescent="0.25">
      <c r="A1454" t="s">
        <v>2494</v>
      </c>
      <c r="B1454" t="s">
        <v>120</v>
      </c>
      <c r="C1454">
        <v>16</v>
      </c>
      <c r="D1454" s="1">
        <v>46094</v>
      </c>
    </row>
    <row r="1455" spans="1:4" x14ac:dyDescent="0.25">
      <c r="A1455" t="s">
        <v>2495</v>
      </c>
      <c r="B1455" t="s">
        <v>83</v>
      </c>
      <c r="C1455">
        <v>15</v>
      </c>
      <c r="D1455" s="1">
        <v>46101</v>
      </c>
    </row>
    <row r="1456" spans="1:4" x14ac:dyDescent="0.25">
      <c r="A1456" t="s">
        <v>2496</v>
      </c>
      <c r="B1456" t="s">
        <v>65</v>
      </c>
      <c r="C1456">
        <v>10</v>
      </c>
      <c r="D1456" s="1">
        <v>46054</v>
      </c>
    </row>
    <row r="1457" spans="1:4" x14ac:dyDescent="0.25">
      <c r="A1457" t="s">
        <v>2497</v>
      </c>
      <c r="B1457" t="s">
        <v>45</v>
      </c>
      <c r="C1457">
        <v>11</v>
      </c>
      <c r="D1457" s="1">
        <v>46029</v>
      </c>
    </row>
    <row r="1458" spans="1:4" x14ac:dyDescent="0.25">
      <c r="A1458" t="s">
        <v>2498</v>
      </c>
      <c r="B1458" t="s">
        <v>98</v>
      </c>
      <c r="C1458">
        <v>22</v>
      </c>
      <c r="D1458" s="1">
        <v>46073</v>
      </c>
    </row>
    <row r="1459" spans="1:4" x14ac:dyDescent="0.25">
      <c r="A1459" t="s">
        <v>2499</v>
      </c>
      <c r="B1459" t="s">
        <v>100</v>
      </c>
      <c r="C1459">
        <v>5</v>
      </c>
      <c r="D1459" s="1">
        <v>46040</v>
      </c>
    </row>
    <row r="1460" spans="1:4" x14ac:dyDescent="0.25">
      <c r="A1460" t="s">
        <v>2500</v>
      </c>
      <c r="B1460" t="s">
        <v>95</v>
      </c>
      <c r="C1460">
        <v>11</v>
      </c>
      <c r="D1460" s="1">
        <v>46071</v>
      </c>
    </row>
    <row r="1461" spans="1:4" x14ac:dyDescent="0.25">
      <c r="A1461" t="s">
        <v>2501</v>
      </c>
      <c r="B1461" t="s">
        <v>67</v>
      </c>
      <c r="C1461">
        <v>13</v>
      </c>
      <c r="D1461" s="1">
        <v>46032</v>
      </c>
    </row>
    <row r="1462" spans="1:4" x14ac:dyDescent="0.25">
      <c r="A1462" t="s">
        <v>2502</v>
      </c>
      <c r="B1462" t="s">
        <v>72</v>
      </c>
      <c r="C1462">
        <v>22</v>
      </c>
      <c r="D1462" s="1">
        <v>46073</v>
      </c>
    </row>
    <row r="1463" spans="1:4" x14ac:dyDescent="0.25">
      <c r="A1463" t="s">
        <v>2503</v>
      </c>
      <c r="B1463" t="s">
        <v>135</v>
      </c>
      <c r="C1463">
        <v>5</v>
      </c>
      <c r="D1463" s="1">
        <v>46079</v>
      </c>
    </row>
    <row r="1464" spans="1:4" x14ac:dyDescent="0.25">
      <c r="A1464" t="s">
        <v>2504</v>
      </c>
      <c r="B1464" t="s">
        <v>138</v>
      </c>
      <c r="C1464">
        <v>5</v>
      </c>
      <c r="D1464" s="1">
        <v>46110</v>
      </c>
    </row>
    <row r="1465" spans="1:4" x14ac:dyDescent="0.25">
      <c r="A1465" t="s">
        <v>2505</v>
      </c>
      <c r="B1465" t="s">
        <v>108</v>
      </c>
      <c r="C1465">
        <v>16</v>
      </c>
      <c r="D1465" s="1">
        <v>46048</v>
      </c>
    </row>
    <row r="1466" spans="1:4" x14ac:dyDescent="0.25">
      <c r="A1466" t="s">
        <v>2506</v>
      </c>
      <c r="B1466" t="s">
        <v>96</v>
      </c>
      <c r="C1466">
        <v>14</v>
      </c>
      <c r="D1466" s="1">
        <v>46081</v>
      </c>
    </row>
    <row r="1467" spans="1:4" x14ac:dyDescent="0.25">
      <c r="A1467" t="s">
        <v>2507</v>
      </c>
      <c r="B1467" t="s">
        <v>64</v>
      </c>
      <c r="C1467">
        <v>24</v>
      </c>
      <c r="D1467" s="1">
        <v>46054</v>
      </c>
    </row>
    <row r="1468" spans="1:4" x14ac:dyDescent="0.25">
      <c r="A1468" t="s">
        <v>2508</v>
      </c>
      <c r="B1468" t="s">
        <v>50</v>
      </c>
      <c r="C1468">
        <v>25</v>
      </c>
      <c r="D1468" s="1">
        <v>46094</v>
      </c>
    </row>
    <row r="1469" spans="1:4" x14ac:dyDescent="0.25">
      <c r="A1469" t="s">
        <v>2509</v>
      </c>
      <c r="B1469" t="s">
        <v>57</v>
      </c>
      <c r="C1469">
        <v>29</v>
      </c>
      <c r="D1469" s="1">
        <v>46100</v>
      </c>
    </row>
    <row r="1470" spans="1:4" x14ac:dyDescent="0.25">
      <c r="A1470" t="s">
        <v>2510</v>
      </c>
      <c r="B1470" t="s">
        <v>52</v>
      </c>
      <c r="C1470">
        <v>16</v>
      </c>
      <c r="D1470" s="1">
        <v>46100</v>
      </c>
    </row>
    <row r="1471" spans="1:4" x14ac:dyDescent="0.25">
      <c r="A1471" t="s">
        <v>2511</v>
      </c>
      <c r="B1471" t="s">
        <v>114</v>
      </c>
      <c r="C1471">
        <v>19</v>
      </c>
      <c r="D1471" s="1">
        <v>46063</v>
      </c>
    </row>
    <row r="1472" spans="1:4" x14ac:dyDescent="0.25">
      <c r="A1472" t="s">
        <v>2512</v>
      </c>
      <c r="B1472" t="s">
        <v>101</v>
      </c>
      <c r="C1472">
        <v>15</v>
      </c>
      <c r="D1472" s="1">
        <v>46040</v>
      </c>
    </row>
    <row r="1473" spans="1:4" x14ac:dyDescent="0.25">
      <c r="A1473" t="s">
        <v>2513</v>
      </c>
      <c r="B1473" t="s">
        <v>112</v>
      </c>
      <c r="C1473">
        <v>13</v>
      </c>
      <c r="D1473" s="1">
        <v>46068</v>
      </c>
    </row>
    <row r="1474" spans="1:4" x14ac:dyDescent="0.25">
      <c r="A1474" t="s">
        <v>2514</v>
      </c>
      <c r="B1474" t="s">
        <v>37</v>
      </c>
      <c r="C1474">
        <v>9</v>
      </c>
      <c r="D1474" s="1">
        <v>46057</v>
      </c>
    </row>
    <row r="1475" spans="1:4" x14ac:dyDescent="0.25">
      <c r="A1475" t="s">
        <v>2515</v>
      </c>
      <c r="B1475" t="s">
        <v>79</v>
      </c>
      <c r="C1475">
        <v>16</v>
      </c>
      <c r="D1475" s="1">
        <v>46076</v>
      </c>
    </row>
    <row r="1476" spans="1:4" x14ac:dyDescent="0.25">
      <c r="A1476" t="s">
        <v>2516</v>
      </c>
      <c r="B1476" t="s">
        <v>77</v>
      </c>
      <c r="C1476">
        <v>25</v>
      </c>
      <c r="D1476" s="1">
        <v>46035</v>
      </c>
    </row>
    <row r="1477" spans="1:4" x14ac:dyDescent="0.25">
      <c r="A1477" t="s">
        <v>2517</v>
      </c>
      <c r="B1477" t="s">
        <v>64</v>
      </c>
      <c r="C1477">
        <v>26</v>
      </c>
      <c r="D1477" s="1">
        <v>46076</v>
      </c>
    </row>
    <row r="1478" spans="1:4" x14ac:dyDescent="0.25">
      <c r="A1478" t="s">
        <v>2518</v>
      </c>
      <c r="B1478" t="s">
        <v>110</v>
      </c>
      <c r="C1478">
        <v>14</v>
      </c>
      <c r="D1478" s="1">
        <v>46109</v>
      </c>
    </row>
    <row r="1479" spans="1:4" x14ac:dyDescent="0.25">
      <c r="A1479" t="s">
        <v>2519</v>
      </c>
      <c r="B1479" t="s">
        <v>125</v>
      </c>
      <c r="C1479">
        <v>4</v>
      </c>
      <c r="D1479" s="1">
        <v>46084</v>
      </c>
    </row>
    <row r="1480" spans="1:4" x14ac:dyDescent="0.25">
      <c r="A1480" t="s">
        <v>2520</v>
      </c>
      <c r="B1480" t="s">
        <v>136</v>
      </c>
      <c r="C1480">
        <v>6</v>
      </c>
      <c r="D1480" s="1">
        <v>46094</v>
      </c>
    </row>
    <row r="1481" spans="1:4" x14ac:dyDescent="0.25">
      <c r="A1481" t="s">
        <v>2521</v>
      </c>
      <c r="B1481" t="s">
        <v>42</v>
      </c>
      <c r="C1481">
        <v>14</v>
      </c>
      <c r="D1481" s="1">
        <v>46091</v>
      </c>
    </row>
    <row r="1482" spans="1:4" x14ac:dyDescent="0.25">
      <c r="A1482" t="s">
        <v>2522</v>
      </c>
      <c r="B1482" t="s">
        <v>89</v>
      </c>
      <c r="C1482">
        <v>30</v>
      </c>
      <c r="D1482" s="1">
        <v>46076</v>
      </c>
    </row>
    <row r="1483" spans="1:4" x14ac:dyDescent="0.25">
      <c r="A1483" t="s">
        <v>2523</v>
      </c>
      <c r="B1483" t="s">
        <v>118</v>
      </c>
      <c r="C1483">
        <v>11</v>
      </c>
      <c r="D1483" s="1">
        <v>46073</v>
      </c>
    </row>
    <row r="1484" spans="1:4" x14ac:dyDescent="0.25">
      <c r="A1484" t="s">
        <v>2524</v>
      </c>
      <c r="B1484" t="s">
        <v>56</v>
      </c>
      <c r="C1484">
        <v>23</v>
      </c>
      <c r="D1484" s="1">
        <v>46058</v>
      </c>
    </row>
    <row r="1485" spans="1:4" x14ac:dyDescent="0.25">
      <c r="A1485" t="s">
        <v>2525</v>
      </c>
      <c r="B1485" t="s">
        <v>90</v>
      </c>
      <c r="C1485">
        <v>11</v>
      </c>
      <c r="D1485" s="1">
        <v>46110</v>
      </c>
    </row>
    <row r="1486" spans="1:4" x14ac:dyDescent="0.25">
      <c r="A1486" t="s">
        <v>2526</v>
      </c>
      <c r="B1486" t="s">
        <v>47</v>
      </c>
      <c r="C1486">
        <v>10</v>
      </c>
      <c r="D1486" s="1">
        <v>46107</v>
      </c>
    </row>
    <row r="1487" spans="1:4" x14ac:dyDescent="0.25">
      <c r="A1487" t="s">
        <v>2527</v>
      </c>
      <c r="B1487" t="s">
        <v>130</v>
      </c>
      <c r="C1487">
        <v>30</v>
      </c>
      <c r="D1487" s="1">
        <v>46063</v>
      </c>
    </row>
    <row r="1488" spans="1:4" x14ac:dyDescent="0.25">
      <c r="A1488" t="s">
        <v>2528</v>
      </c>
      <c r="B1488" t="s">
        <v>81</v>
      </c>
      <c r="C1488">
        <v>4</v>
      </c>
      <c r="D1488" s="1">
        <v>46099</v>
      </c>
    </row>
    <row r="1489" spans="1:4" x14ac:dyDescent="0.25">
      <c r="A1489" t="s">
        <v>2529</v>
      </c>
      <c r="B1489" t="s">
        <v>60</v>
      </c>
      <c r="C1489">
        <v>26</v>
      </c>
      <c r="D1489" s="1">
        <v>46102</v>
      </c>
    </row>
    <row r="1490" spans="1:4" x14ac:dyDescent="0.25">
      <c r="A1490" t="s">
        <v>2530</v>
      </c>
      <c r="B1490" t="s">
        <v>139</v>
      </c>
      <c r="C1490">
        <v>30</v>
      </c>
      <c r="D1490" s="1">
        <v>46039</v>
      </c>
    </row>
    <row r="1491" spans="1:4" x14ac:dyDescent="0.25">
      <c r="A1491" t="s">
        <v>2531</v>
      </c>
      <c r="B1491" t="s">
        <v>52</v>
      </c>
      <c r="C1491">
        <v>10</v>
      </c>
      <c r="D1491" s="1">
        <v>46043</v>
      </c>
    </row>
    <row r="1492" spans="1:4" x14ac:dyDescent="0.25">
      <c r="A1492" t="s">
        <v>2532</v>
      </c>
      <c r="B1492" t="s">
        <v>98</v>
      </c>
      <c r="C1492">
        <v>11</v>
      </c>
      <c r="D1492" s="1">
        <v>46080</v>
      </c>
    </row>
    <row r="1493" spans="1:4" x14ac:dyDescent="0.25">
      <c r="A1493" t="s">
        <v>2533</v>
      </c>
      <c r="B1493" t="s">
        <v>118</v>
      </c>
      <c r="C1493">
        <v>14</v>
      </c>
      <c r="D1493" s="1">
        <v>46100</v>
      </c>
    </row>
    <row r="1494" spans="1:4" x14ac:dyDescent="0.25">
      <c r="A1494" t="s">
        <v>2534</v>
      </c>
      <c r="B1494" t="s">
        <v>61</v>
      </c>
      <c r="C1494">
        <v>18</v>
      </c>
      <c r="D1494" s="1">
        <v>46038</v>
      </c>
    </row>
    <row r="1495" spans="1:4" x14ac:dyDescent="0.25">
      <c r="A1495" t="s">
        <v>2535</v>
      </c>
      <c r="B1495" t="s">
        <v>116</v>
      </c>
      <c r="C1495">
        <v>13</v>
      </c>
      <c r="D1495" s="1">
        <v>46034</v>
      </c>
    </row>
    <row r="1496" spans="1:4" x14ac:dyDescent="0.25">
      <c r="A1496" t="s">
        <v>2536</v>
      </c>
      <c r="B1496" t="s">
        <v>71</v>
      </c>
      <c r="C1496">
        <v>19</v>
      </c>
      <c r="D1496" s="1">
        <v>46033</v>
      </c>
    </row>
    <row r="1497" spans="1:4" x14ac:dyDescent="0.25">
      <c r="A1497" t="s">
        <v>2537</v>
      </c>
      <c r="B1497" t="s">
        <v>64</v>
      </c>
      <c r="C1497">
        <v>18</v>
      </c>
      <c r="D1497" s="1">
        <v>46049</v>
      </c>
    </row>
    <row r="1498" spans="1:4" x14ac:dyDescent="0.25">
      <c r="A1498" t="s">
        <v>2538</v>
      </c>
      <c r="B1498" t="s">
        <v>102</v>
      </c>
      <c r="C1498">
        <v>14</v>
      </c>
      <c r="D1498" s="1">
        <v>46044</v>
      </c>
    </row>
    <row r="1499" spans="1:4" x14ac:dyDescent="0.25">
      <c r="A1499" t="s">
        <v>2539</v>
      </c>
      <c r="B1499" t="s">
        <v>76</v>
      </c>
      <c r="C1499">
        <v>3</v>
      </c>
      <c r="D1499" s="1">
        <v>46115</v>
      </c>
    </row>
    <row r="1500" spans="1:4" x14ac:dyDescent="0.25">
      <c r="A1500" t="s">
        <v>2540</v>
      </c>
      <c r="B1500" t="s">
        <v>129</v>
      </c>
      <c r="C1500">
        <v>22</v>
      </c>
      <c r="D1500" s="1">
        <v>46035</v>
      </c>
    </row>
    <row r="1501" spans="1:4" x14ac:dyDescent="0.25">
      <c r="A1501" t="s">
        <v>2541</v>
      </c>
      <c r="B1501" t="s">
        <v>136</v>
      </c>
      <c r="C1501">
        <v>11</v>
      </c>
      <c r="D1501" s="1">
        <v>46109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6FC6-9B62-43CF-9A35-F9F78903EC84}">
  <dimension ref="A1:B11"/>
  <sheetViews>
    <sheetView workbookViewId="0">
      <selection activeCell="C4" sqref="C3:C4"/>
    </sheetView>
  </sheetViews>
  <sheetFormatPr defaultRowHeight="15" x14ac:dyDescent="0.25"/>
  <cols>
    <col min="1" max="1" width="20.42578125" bestFit="1" customWidth="1"/>
    <col min="2" max="2" width="13.71093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13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22</v>
      </c>
    </row>
    <row r="8" spans="1:2" x14ac:dyDescent="0.25">
      <c r="A8" t="s">
        <v>23</v>
      </c>
      <c r="B8" t="s">
        <v>24</v>
      </c>
    </row>
    <row r="9" spans="1:2" x14ac:dyDescent="0.25">
      <c r="A9" t="s">
        <v>25</v>
      </c>
      <c r="B9" t="s">
        <v>15</v>
      </c>
    </row>
    <row r="10" spans="1:2" x14ac:dyDescent="0.25">
      <c r="A10" t="s">
        <v>26</v>
      </c>
      <c r="B10" t="s">
        <v>22</v>
      </c>
    </row>
    <row r="11" spans="1:2" x14ac:dyDescent="0.25">
      <c r="A11" t="s">
        <v>27</v>
      </c>
      <c r="B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meds_formula</vt:lpstr>
      <vt:lpstr>meds_data</vt:lpstr>
      <vt:lpstr>sales_formula</vt:lpstr>
      <vt:lpstr>sales_data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2026-04-07T04:42:55Z</dcterms:created>
  <dcterms:modified xsi:type="dcterms:W3CDTF">2026-04-07T05:03:24Z</dcterms:modified>
</cp:coreProperties>
</file>